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DariusBorisas\Downloads\"/>
    </mc:Choice>
  </mc:AlternateContent>
  <xr:revisionPtr revIDLastSave="0" documentId="8_{2CC50AAD-CE2F-46D4-A799-2378A6A7327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endra įskaita" sheetId="1" r:id="rId1"/>
    <sheet name="Panevezys" sheetId="16" r:id="rId2"/>
    <sheet name="Kaisiadorys" sheetId="4" state="hidden" r:id="rId3"/>
    <sheet name="Veisiejai" sheetId="13" state="hidden" r:id="rId4"/>
    <sheet name="Gdanskas" sheetId="10" state="hidden" r:id="rId5"/>
    <sheet name="Trakai" sheetId="12" state="hidden" r:id="rId6"/>
    <sheet name="Jonava" sheetId="5" state="hidden" r:id="rId7"/>
    <sheet name="Panevezys2" sheetId="18" state="hidden" r:id="rId8"/>
    <sheet name="Skaudvile" sheetId="20" state="hidden" r:id="rId9"/>
    <sheet name="Moletai" sheetId="21" state="hidden" r:id="rId10"/>
    <sheet name="Druskininkai" sheetId="14" state="hidden" r:id="rId11"/>
    <sheet name="Bendra įskaita (2025)" sheetId="19" state="hidden" r:id="rId12"/>
    <sheet name="Bendra įskaita (2024)" sheetId="22" state="hidden" r:id="rId13"/>
  </sheets>
  <definedNames>
    <definedName name="_xlnm._FilterDatabase" localSheetId="10" hidden="1">Druskininkai!$A$182:$R$182</definedName>
    <definedName name="_xlnm._FilterDatabase" localSheetId="4" hidden="1">Gdanskas!$A$45:$M$45</definedName>
    <definedName name="_xlnm._FilterDatabase" localSheetId="6" hidden="1">Jonava!$A$1:$T$217</definedName>
    <definedName name="_xlnm._FilterDatabase" localSheetId="2" hidden="1">Kaisiadorys!$A$1:$U$1</definedName>
    <definedName name="_xlnm._FilterDatabase" localSheetId="9" hidden="1">Moletai!$A$1:$T$189</definedName>
    <definedName name="_xlnm._FilterDatabase" localSheetId="7" hidden="1">Panevezys2!$A$1:$Y$121</definedName>
    <definedName name="_xlnm._FilterDatabase" localSheetId="8" hidden="1">Skaudvile!$A$1:$T$137</definedName>
    <definedName name="_xlnm._FilterDatabase" localSheetId="5" hidden="1">Trakai!$A$1:$R$449</definedName>
    <definedName name="_xlnm._FilterDatabase" localSheetId="3" hidden="1">Veisiejai!$A$1:$Q$178</definedName>
    <definedName name="_xlnm._FilterDatabase" localSheetId="1" hidden="1">Panevezys!$A$1:$P$59</definedName>
    <definedName name="list">#REF!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5" i="16" l="1"/>
  <c r="P45" i="16"/>
  <c r="M102" i="1"/>
  <c r="U101" i="1"/>
  <c r="T101" i="1"/>
  <c r="U100" i="1"/>
  <c r="T100" i="1"/>
  <c r="U99" i="1"/>
  <c r="T99" i="1"/>
  <c r="U52" i="1"/>
  <c r="T52" i="1"/>
  <c r="U98" i="1"/>
  <c r="T98" i="1"/>
  <c r="U66" i="1"/>
  <c r="T66" i="1"/>
  <c r="U97" i="1"/>
  <c r="T97" i="1"/>
  <c r="U40" i="1"/>
  <c r="T40" i="1"/>
  <c r="U96" i="1"/>
  <c r="T96" i="1"/>
  <c r="U95" i="1"/>
  <c r="T95" i="1"/>
  <c r="U76" i="1"/>
  <c r="T76" i="1"/>
  <c r="U63" i="1"/>
  <c r="T63" i="1"/>
  <c r="U59" i="1"/>
  <c r="T59" i="1"/>
  <c r="U61" i="1"/>
  <c r="T61" i="1"/>
  <c r="U94" i="1"/>
  <c r="T94" i="1"/>
  <c r="U57" i="1"/>
  <c r="T57" i="1"/>
  <c r="U65" i="1"/>
  <c r="T65" i="1"/>
  <c r="U51" i="1"/>
  <c r="T51" i="1"/>
  <c r="U75" i="1"/>
  <c r="T75" i="1"/>
  <c r="U72" i="1"/>
  <c r="T72" i="1"/>
  <c r="U93" i="1"/>
  <c r="T93" i="1"/>
  <c r="U92" i="1"/>
  <c r="T92" i="1"/>
  <c r="U91" i="1"/>
  <c r="T91" i="1"/>
  <c r="U90" i="1"/>
  <c r="T90" i="1"/>
  <c r="U68" i="1"/>
  <c r="T68" i="1"/>
  <c r="U89" i="1"/>
  <c r="T89" i="1"/>
  <c r="U64" i="1"/>
  <c r="T64" i="1"/>
  <c r="U69" i="1"/>
  <c r="T69" i="1"/>
  <c r="U71" i="1"/>
  <c r="T71" i="1"/>
  <c r="U60" i="1"/>
  <c r="T60" i="1"/>
  <c r="U87" i="1"/>
  <c r="T87" i="1"/>
  <c r="U54" i="1"/>
  <c r="T54" i="1"/>
  <c r="U86" i="1"/>
  <c r="T86" i="1"/>
  <c r="U85" i="1"/>
  <c r="T85" i="1"/>
  <c r="U31" i="1"/>
  <c r="T31" i="1"/>
  <c r="U84" i="1"/>
  <c r="T84" i="1"/>
  <c r="U58" i="1"/>
  <c r="T58" i="1"/>
  <c r="U83" i="1"/>
  <c r="T83" i="1"/>
  <c r="U56" i="1"/>
  <c r="T56" i="1"/>
  <c r="U73" i="1"/>
  <c r="T73" i="1"/>
  <c r="U70" i="1"/>
  <c r="T70" i="1"/>
  <c r="U80" i="1"/>
  <c r="T80" i="1"/>
  <c r="U79" i="1"/>
  <c r="T79" i="1"/>
  <c r="U78" i="1"/>
  <c r="T78" i="1"/>
  <c r="U77" i="1"/>
  <c r="T77" i="1"/>
  <c r="U67" i="1"/>
  <c r="T67" i="1"/>
  <c r="U81" i="1"/>
  <c r="T81" i="1"/>
  <c r="U82" i="1"/>
  <c r="T82" i="1"/>
  <c r="U50" i="1"/>
  <c r="T50" i="1"/>
  <c r="U55" i="1"/>
  <c r="T55" i="1"/>
  <c r="U48" i="1"/>
  <c r="T48" i="1"/>
  <c r="U45" i="1"/>
  <c r="T45" i="1"/>
  <c r="U42" i="1"/>
  <c r="T42" i="1"/>
  <c r="U39" i="1"/>
  <c r="T39" i="1"/>
  <c r="U30" i="1"/>
  <c r="T30" i="1"/>
  <c r="U38" i="1"/>
  <c r="T38" i="1"/>
  <c r="U37" i="1"/>
  <c r="T37" i="1"/>
  <c r="U35" i="1"/>
  <c r="T35" i="1"/>
  <c r="U33" i="1"/>
  <c r="T33" i="1"/>
  <c r="U32" i="1"/>
  <c r="T32" i="1"/>
  <c r="U49" i="1"/>
  <c r="T49" i="1"/>
  <c r="U47" i="1"/>
  <c r="T47" i="1"/>
  <c r="U46" i="1"/>
  <c r="T46" i="1"/>
  <c r="U44" i="1"/>
  <c r="T44" i="1"/>
  <c r="U43" i="1"/>
  <c r="T43" i="1"/>
  <c r="U41" i="1"/>
  <c r="T41" i="1"/>
  <c r="U36" i="1"/>
  <c r="T36" i="1"/>
  <c r="U34" i="1"/>
  <c r="T34" i="1"/>
  <c r="U29" i="1"/>
  <c r="T29" i="1"/>
  <c r="U28" i="1"/>
  <c r="T28" i="1"/>
  <c r="U26" i="1"/>
  <c r="T26" i="1"/>
  <c r="U24" i="1"/>
  <c r="T24" i="1"/>
  <c r="U22" i="1"/>
  <c r="T22" i="1"/>
  <c r="U19" i="1"/>
  <c r="T19" i="1"/>
  <c r="U17" i="1"/>
  <c r="T17" i="1"/>
  <c r="U25" i="1"/>
  <c r="T25" i="1"/>
  <c r="U23" i="1"/>
  <c r="T23" i="1"/>
  <c r="U14" i="1"/>
  <c r="T14" i="1"/>
  <c r="U13" i="1"/>
  <c r="T13" i="1"/>
  <c r="U10" i="1"/>
  <c r="T10" i="1"/>
  <c r="U21" i="1"/>
  <c r="T21" i="1"/>
  <c r="U18" i="1"/>
  <c r="T18" i="1"/>
  <c r="U5" i="1"/>
  <c r="T5" i="1"/>
  <c r="U20" i="1"/>
  <c r="T20" i="1"/>
  <c r="U7" i="1"/>
  <c r="T7" i="1"/>
  <c r="U6" i="1"/>
  <c r="T6" i="1"/>
  <c r="U12" i="1"/>
  <c r="T12" i="1"/>
  <c r="U11" i="1"/>
  <c r="T11" i="1"/>
  <c r="U8" i="1"/>
  <c r="T8" i="1"/>
  <c r="U15" i="1"/>
  <c r="T15" i="1"/>
  <c r="U9" i="1"/>
  <c r="T9" i="1"/>
  <c r="U16" i="1"/>
  <c r="T16" i="1"/>
  <c r="U4" i="1"/>
  <c r="T4" i="1"/>
  <c r="R76" i="1"/>
  <c r="S76" i="1"/>
  <c r="R95" i="1"/>
  <c r="S95" i="1"/>
  <c r="R96" i="1"/>
  <c r="S96" i="1"/>
  <c r="R40" i="1"/>
  <c r="S40" i="1"/>
  <c r="R97" i="1"/>
  <c r="S97" i="1"/>
  <c r="R66" i="1"/>
  <c r="S66" i="1"/>
  <c r="R98" i="1"/>
  <c r="S98" i="1"/>
  <c r="R52" i="1"/>
  <c r="B52" i="1" s="1"/>
  <c r="S52" i="1"/>
  <c r="R99" i="1"/>
  <c r="S99" i="1"/>
  <c r="R100" i="1"/>
  <c r="S100" i="1"/>
  <c r="R101" i="1"/>
  <c r="S101" i="1"/>
  <c r="R88" i="1"/>
  <c r="S88" i="1"/>
  <c r="R69" i="1"/>
  <c r="S69" i="1"/>
  <c r="R64" i="1"/>
  <c r="S64" i="1"/>
  <c r="R89" i="1"/>
  <c r="S89" i="1"/>
  <c r="R68" i="1"/>
  <c r="S68" i="1"/>
  <c r="R90" i="1"/>
  <c r="S90" i="1"/>
  <c r="R91" i="1"/>
  <c r="S91" i="1"/>
  <c r="R92" i="1"/>
  <c r="S92" i="1"/>
  <c r="R93" i="1"/>
  <c r="S93" i="1"/>
  <c r="R72" i="1"/>
  <c r="S72" i="1"/>
  <c r="R75" i="1"/>
  <c r="S75" i="1"/>
  <c r="R51" i="1"/>
  <c r="B51" i="1" s="1"/>
  <c r="S51" i="1"/>
  <c r="R65" i="1"/>
  <c r="S65" i="1"/>
  <c r="R57" i="1"/>
  <c r="S57" i="1"/>
  <c r="R94" i="1"/>
  <c r="S94" i="1"/>
  <c r="R61" i="1"/>
  <c r="S61" i="1"/>
  <c r="R59" i="1"/>
  <c r="S59" i="1"/>
  <c r="R63" i="1"/>
  <c r="S63" i="1"/>
  <c r="R81" i="1"/>
  <c r="S79" i="1"/>
  <c r="R82" i="1"/>
  <c r="S80" i="1"/>
  <c r="R70" i="1"/>
  <c r="S70" i="1"/>
  <c r="R73" i="1"/>
  <c r="S73" i="1"/>
  <c r="R56" i="1"/>
  <c r="S56" i="1"/>
  <c r="R62" i="1"/>
  <c r="S62" i="1"/>
  <c r="R83" i="1"/>
  <c r="S83" i="1"/>
  <c r="R58" i="1"/>
  <c r="S58" i="1"/>
  <c r="R84" i="1"/>
  <c r="S84" i="1"/>
  <c r="R31" i="1"/>
  <c r="B31" i="1" s="1"/>
  <c r="S31" i="1"/>
  <c r="R74" i="1"/>
  <c r="S74" i="1"/>
  <c r="R85" i="1"/>
  <c r="S85" i="1"/>
  <c r="R86" i="1"/>
  <c r="S86" i="1"/>
  <c r="R54" i="1"/>
  <c r="S54" i="1"/>
  <c r="R87" i="1"/>
  <c r="S87" i="1"/>
  <c r="R60" i="1"/>
  <c r="S60" i="1"/>
  <c r="R71" i="1"/>
  <c r="S71" i="1"/>
  <c r="R42" i="1"/>
  <c r="B42" i="1" s="1"/>
  <c r="S42" i="1"/>
  <c r="R45" i="1"/>
  <c r="B45" i="1" s="1"/>
  <c r="S45" i="1"/>
  <c r="R48" i="1"/>
  <c r="B48" i="1" s="1"/>
  <c r="S48" i="1"/>
  <c r="R55" i="1"/>
  <c r="S55" i="1"/>
  <c r="R50" i="1"/>
  <c r="B50" i="1" s="1"/>
  <c r="S50" i="1"/>
  <c r="R77" i="1"/>
  <c r="S82" i="1"/>
  <c r="R78" i="1"/>
  <c r="S81" i="1"/>
  <c r="R67" i="1"/>
  <c r="S67" i="1"/>
  <c r="R79" i="1"/>
  <c r="S77" i="1"/>
  <c r="R80" i="1"/>
  <c r="S78" i="1"/>
  <c r="R17" i="1"/>
  <c r="B17" i="1" s="1"/>
  <c r="S17" i="1"/>
  <c r="R19" i="1"/>
  <c r="B19" i="1" s="1"/>
  <c r="S19" i="1"/>
  <c r="R22" i="1"/>
  <c r="S22" i="1"/>
  <c r="R24" i="1"/>
  <c r="B24" i="1" s="1"/>
  <c r="S24" i="1"/>
  <c r="R26" i="1"/>
  <c r="B26" i="1" s="1"/>
  <c r="S26" i="1"/>
  <c r="R28" i="1"/>
  <c r="B28" i="1" s="1"/>
  <c r="S28" i="1"/>
  <c r="R29" i="1"/>
  <c r="B29" i="1" s="1"/>
  <c r="S29" i="1"/>
  <c r="R34" i="1"/>
  <c r="B34" i="1" s="1"/>
  <c r="S34" i="1"/>
  <c r="R36" i="1"/>
  <c r="B36" i="1" s="1"/>
  <c r="S36" i="1"/>
  <c r="R41" i="1"/>
  <c r="B41" i="1" s="1"/>
  <c r="S41" i="1"/>
  <c r="R43" i="1"/>
  <c r="B43" i="1" s="1"/>
  <c r="S43" i="1"/>
  <c r="R44" i="1"/>
  <c r="B44" i="1" s="1"/>
  <c r="S44" i="1"/>
  <c r="R46" i="1"/>
  <c r="B46" i="1" s="1"/>
  <c r="S46" i="1"/>
  <c r="R47" i="1"/>
  <c r="B47" i="1" s="1"/>
  <c r="S47" i="1"/>
  <c r="R49" i="1"/>
  <c r="B49" i="1" s="1"/>
  <c r="S49" i="1"/>
  <c r="R27" i="1"/>
  <c r="B27" i="1" s="1"/>
  <c r="S27" i="1"/>
  <c r="R32" i="1"/>
  <c r="B32" i="1" s="1"/>
  <c r="S32" i="1"/>
  <c r="R33" i="1"/>
  <c r="B33" i="1" s="1"/>
  <c r="S33" i="1"/>
  <c r="R35" i="1"/>
  <c r="B35" i="1" s="1"/>
  <c r="S35" i="1"/>
  <c r="R37" i="1"/>
  <c r="B37" i="1" s="1"/>
  <c r="S37" i="1"/>
  <c r="R38" i="1"/>
  <c r="B38" i="1" s="1"/>
  <c r="S38" i="1"/>
  <c r="R30" i="1"/>
  <c r="B30" i="1" s="1"/>
  <c r="S30" i="1"/>
  <c r="R39" i="1"/>
  <c r="B39" i="1" s="1"/>
  <c r="S39" i="1"/>
  <c r="R16" i="1"/>
  <c r="B16" i="1" s="1"/>
  <c r="S16" i="1"/>
  <c r="R9" i="1"/>
  <c r="B9" i="1" s="1"/>
  <c r="S9" i="1"/>
  <c r="R15" i="1"/>
  <c r="B15" i="1" s="1"/>
  <c r="S15" i="1"/>
  <c r="R8" i="1"/>
  <c r="B8" i="1" s="1"/>
  <c r="S8" i="1"/>
  <c r="R11" i="1"/>
  <c r="B11" i="1" s="1"/>
  <c r="S11" i="1"/>
  <c r="R12" i="1"/>
  <c r="B12" i="1" s="1"/>
  <c r="S12" i="1"/>
  <c r="R6" i="1"/>
  <c r="B6" i="1" s="1"/>
  <c r="S6" i="1"/>
  <c r="R7" i="1"/>
  <c r="B7" i="1" s="1"/>
  <c r="S7" i="1"/>
  <c r="R20" i="1"/>
  <c r="B20" i="1" s="1"/>
  <c r="S20" i="1"/>
  <c r="R5" i="1"/>
  <c r="S5" i="1"/>
  <c r="R18" i="1"/>
  <c r="B18" i="1" s="1"/>
  <c r="S18" i="1"/>
  <c r="R21" i="1"/>
  <c r="B21" i="1" s="1"/>
  <c r="S21" i="1"/>
  <c r="R10" i="1"/>
  <c r="B10" i="1" s="1"/>
  <c r="S10" i="1"/>
  <c r="R13" i="1"/>
  <c r="B13" i="1" s="1"/>
  <c r="S13" i="1"/>
  <c r="R14" i="1"/>
  <c r="B14" i="1" s="1"/>
  <c r="S14" i="1"/>
  <c r="R23" i="1"/>
  <c r="B23" i="1" s="1"/>
  <c r="S23" i="1"/>
  <c r="R25" i="1"/>
  <c r="B25" i="1" s="1"/>
  <c r="S25" i="1"/>
  <c r="S4" i="1"/>
  <c r="R4" i="1"/>
  <c r="B4" i="1" s="1"/>
  <c r="D20" i="1" a="1"/>
  <c r="D20" i="1" s="1"/>
  <c r="D77" i="1" a="1"/>
  <c r="D77" i="1" s="1"/>
  <c r="D78" i="1" a="1"/>
  <c r="D78" i="1" s="1"/>
  <c r="D67" i="1" a="1"/>
  <c r="D67" i="1" s="1"/>
  <c r="D79" i="1" a="1"/>
  <c r="D79" i="1" s="1"/>
  <c r="D80" i="1" a="1"/>
  <c r="D80" i="1" s="1"/>
  <c r="D81" i="1" a="1"/>
  <c r="D81" i="1" s="1"/>
  <c r="D82" i="1" a="1"/>
  <c r="D82" i="1" s="1"/>
  <c r="D70" i="1" a="1"/>
  <c r="D70" i="1" s="1"/>
  <c r="D39" i="1" a="1"/>
  <c r="D39" i="1" s="1"/>
  <c r="D13" i="1" a="1"/>
  <c r="D13" i="1" s="1"/>
  <c r="D73" i="1" a="1"/>
  <c r="D73" i="1" s="1"/>
  <c r="D45" i="1" a="1"/>
  <c r="D45" i="1" s="1"/>
  <c r="D30" i="1" a="1"/>
  <c r="D30" i="1" s="1"/>
  <c r="D28" i="1" a="1"/>
  <c r="D28" i="1" s="1"/>
  <c r="D56" i="1" a="1"/>
  <c r="D56" i="1" s="1"/>
  <c r="D62" i="1" a="1"/>
  <c r="D62" i="1" s="1"/>
  <c r="D83" i="1" a="1"/>
  <c r="D83" i="1" s="1"/>
  <c r="D58" i="1" a="1"/>
  <c r="D58" i="1" s="1"/>
  <c r="D84" i="1" a="1"/>
  <c r="D84" i="1" s="1"/>
  <c r="D24" i="1" a="1"/>
  <c r="D24" i="1" s="1"/>
  <c r="D49" i="1" a="1"/>
  <c r="D49" i="1" s="1"/>
  <c r="D31" i="1" a="1"/>
  <c r="D31" i="1" s="1"/>
  <c r="D33" i="1" a="1"/>
  <c r="D33" i="1" s="1"/>
  <c r="D29" i="1" a="1"/>
  <c r="D29" i="1" s="1"/>
  <c r="D74" i="1" a="1"/>
  <c r="D74" i="1" s="1"/>
  <c r="D50" i="1" a="1"/>
  <c r="D50" i="1" s="1"/>
  <c r="D85" i="1" a="1"/>
  <c r="D85" i="1" s="1"/>
  <c r="D86" i="1" a="1"/>
  <c r="D86" i="1" s="1"/>
  <c r="D54" i="1" a="1"/>
  <c r="D54" i="1" s="1"/>
  <c r="D87" i="1" a="1"/>
  <c r="D87" i="1" s="1"/>
  <c r="D47" i="1" a="1"/>
  <c r="D47" i="1" s="1"/>
  <c r="D37" i="1" a="1"/>
  <c r="D37" i="1" s="1"/>
  <c r="D60" i="1" a="1"/>
  <c r="D60" i="1" s="1"/>
  <c r="D71" i="1" a="1"/>
  <c r="D71" i="1" s="1"/>
  <c r="D17" i="1" a="1"/>
  <c r="D17" i="1" s="1"/>
  <c r="D21" i="1" a="1"/>
  <c r="D21" i="1" s="1"/>
  <c r="D88" i="1" a="1"/>
  <c r="D88" i="1" s="1"/>
  <c r="D69" i="1" a="1"/>
  <c r="D69" i="1" s="1"/>
  <c r="D64" i="1" a="1"/>
  <c r="D64" i="1" s="1"/>
  <c r="D89" i="1" a="1"/>
  <c r="D89" i="1" s="1"/>
  <c r="D68" i="1" a="1"/>
  <c r="D68" i="1" s="1"/>
  <c r="D53" i="1" a="1"/>
  <c r="D53" i="1" s="1"/>
  <c r="D90" i="1" a="1"/>
  <c r="D90" i="1" s="1"/>
  <c r="D44" i="1" a="1"/>
  <c r="D44" i="1" s="1"/>
  <c r="D55" i="1" a="1"/>
  <c r="D55" i="1" s="1"/>
  <c r="D46" i="1" a="1"/>
  <c r="D46" i="1" s="1"/>
  <c r="D91" i="1" a="1"/>
  <c r="D91" i="1" s="1"/>
  <c r="D27" i="1" a="1"/>
  <c r="D27" i="1" s="1"/>
  <c r="D92" i="1" a="1"/>
  <c r="D92" i="1" s="1"/>
  <c r="D8" i="1" a="1"/>
  <c r="D8" i="1" s="1"/>
  <c r="D93" i="1" a="1"/>
  <c r="D93" i="1" s="1"/>
  <c r="D72" i="1" a="1"/>
  <c r="D72" i="1" s="1"/>
  <c r="D75" i="1" a="1"/>
  <c r="D75" i="1" s="1"/>
  <c r="D42" i="1" a="1"/>
  <c r="D42" i="1" s="1"/>
  <c r="D51" i="1" a="1"/>
  <c r="D51" i="1" s="1"/>
  <c r="D65" i="1" a="1"/>
  <c r="D65" i="1" s="1"/>
  <c r="D57" i="1" a="1"/>
  <c r="D57" i="1" s="1"/>
  <c r="D94" i="1" a="1"/>
  <c r="D94" i="1" s="1"/>
  <c r="D48" i="1" a="1"/>
  <c r="D48" i="1" s="1"/>
  <c r="D38" i="1" a="1"/>
  <c r="D38" i="1" s="1"/>
  <c r="D61" i="1" a="1"/>
  <c r="D61" i="1" s="1"/>
  <c r="D59" i="1" a="1"/>
  <c r="D59" i="1" s="1"/>
  <c r="D5" i="1" a="1"/>
  <c r="D5" i="1" s="1"/>
  <c r="D14" i="1" a="1"/>
  <c r="D14" i="1" s="1"/>
  <c r="D63" i="1" a="1"/>
  <c r="D63" i="1" s="1"/>
  <c r="D22" i="1" a="1"/>
  <c r="D22" i="1" s="1"/>
  <c r="D41" i="1" a="1"/>
  <c r="D41" i="1" s="1"/>
  <c r="D32" i="1" a="1"/>
  <c r="D32" i="1" s="1"/>
  <c r="D76" i="1" a="1"/>
  <c r="D76" i="1" s="1"/>
  <c r="D18" i="1" a="1"/>
  <c r="D18" i="1" s="1"/>
  <c r="D95" i="1" a="1"/>
  <c r="D95" i="1" s="1"/>
  <c r="D43" i="1" a="1"/>
  <c r="D43" i="1" s="1"/>
  <c r="D96" i="1" a="1"/>
  <c r="D96" i="1" s="1"/>
  <c r="D10" i="1" a="1"/>
  <c r="D10" i="1" s="1"/>
  <c r="D40" i="1" a="1"/>
  <c r="D40" i="1" s="1"/>
  <c r="D97" i="1" a="1"/>
  <c r="D97" i="1" s="1"/>
  <c r="D66" i="1" a="1"/>
  <c r="D66" i="1" s="1"/>
  <c r="D35" i="1" a="1"/>
  <c r="D35" i="1" s="1"/>
  <c r="D98" i="1" a="1"/>
  <c r="D98" i="1" s="1"/>
  <c r="D19" i="1" a="1"/>
  <c r="D19" i="1" s="1"/>
  <c r="D52" i="1" a="1"/>
  <c r="D52" i="1" s="1"/>
  <c r="D36" i="1" a="1"/>
  <c r="D36" i="1" s="1"/>
  <c r="D99" i="1" a="1"/>
  <c r="D99" i="1" s="1"/>
  <c r="D100" i="1" a="1"/>
  <c r="D100" i="1" s="1"/>
  <c r="D101" i="1" a="1"/>
  <c r="D101" i="1" s="1"/>
  <c r="G99" i="1" a="1"/>
  <c r="G99" i="1" s="1"/>
  <c r="G100" i="1" a="1"/>
  <c r="G100" i="1" s="1"/>
  <c r="G101" i="1" a="1"/>
  <c r="G101" i="1" s="1"/>
  <c r="G20" i="1" a="1"/>
  <c r="G20" i="1" s="1"/>
  <c r="G77" i="1" a="1"/>
  <c r="G77" i="1" s="1"/>
  <c r="G34" i="1" a="1"/>
  <c r="G34" i="1" s="1"/>
  <c r="G78" i="1" a="1"/>
  <c r="G78" i="1" s="1"/>
  <c r="G67" i="1" a="1"/>
  <c r="G67" i="1" s="1"/>
  <c r="G79" i="1" a="1"/>
  <c r="G79" i="1" s="1"/>
  <c r="G80" i="1" a="1"/>
  <c r="G80" i="1" s="1"/>
  <c r="G81" i="1" a="1"/>
  <c r="G81" i="1" s="1"/>
  <c r="G82" i="1" a="1"/>
  <c r="G82" i="1" s="1"/>
  <c r="G70" i="1" a="1"/>
  <c r="G70" i="1" s="1"/>
  <c r="G16" i="1" a="1"/>
  <c r="G16" i="1" s="1"/>
  <c r="G39" i="1" a="1"/>
  <c r="G39" i="1" s="1"/>
  <c r="G13" i="1" a="1"/>
  <c r="G13" i="1" s="1"/>
  <c r="G12" i="1" a="1"/>
  <c r="G12" i="1" s="1"/>
  <c r="G73" i="1" a="1"/>
  <c r="G73" i="1" s="1"/>
  <c r="G45" i="1" a="1"/>
  <c r="G45" i="1" s="1"/>
  <c r="G30" i="1" a="1"/>
  <c r="G30" i="1" s="1"/>
  <c r="G28" i="1" a="1"/>
  <c r="G28" i="1" s="1"/>
  <c r="G25" i="1" a="1"/>
  <c r="G25" i="1" s="1"/>
  <c r="G56" i="1" a="1"/>
  <c r="G56" i="1" s="1"/>
  <c r="G9" i="1" a="1"/>
  <c r="G9" i="1" s="1"/>
  <c r="G62" i="1" a="1"/>
  <c r="G62" i="1" s="1"/>
  <c r="G83" i="1" a="1"/>
  <c r="G83" i="1" s="1"/>
  <c r="G58" i="1" a="1"/>
  <c r="G58" i="1" s="1"/>
  <c r="G84" i="1" a="1"/>
  <c r="G84" i="1" s="1"/>
  <c r="G24" i="1" a="1"/>
  <c r="G24" i="1" s="1"/>
  <c r="G49" i="1" a="1"/>
  <c r="G49" i="1" s="1"/>
  <c r="G31" i="1" a="1"/>
  <c r="G31" i="1" s="1"/>
  <c r="G33" i="1" a="1"/>
  <c r="G33" i="1" s="1"/>
  <c r="G29" i="1" a="1"/>
  <c r="G29" i="1" s="1"/>
  <c r="G26" i="1" a="1"/>
  <c r="G26" i="1" s="1"/>
  <c r="G74" i="1" a="1"/>
  <c r="G74" i="1" s="1"/>
  <c r="G50" i="1" a="1"/>
  <c r="G50" i="1" s="1"/>
  <c r="G85" i="1" a="1"/>
  <c r="G85" i="1" s="1"/>
  <c r="G86" i="1" a="1"/>
  <c r="G86" i="1" s="1"/>
  <c r="G54" i="1" a="1"/>
  <c r="G54" i="1" s="1"/>
  <c r="G87" i="1" a="1"/>
  <c r="G87" i="1" s="1"/>
  <c r="G47" i="1" a="1"/>
  <c r="G47" i="1" s="1"/>
  <c r="G37" i="1" a="1"/>
  <c r="G37" i="1" s="1"/>
  <c r="G60" i="1" a="1"/>
  <c r="G60" i="1" s="1"/>
  <c r="G71" i="1" a="1"/>
  <c r="G71" i="1" s="1"/>
  <c r="G17" i="1" a="1"/>
  <c r="G17" i="1" s="1"/>
  <c r="G21" i="1" a="1"/>
  <c r="G21" i="1" s="1"/>
  <c r="G88" i="1" a="1"/>
  <c r="G88" i="1" s="1"/>
  <c r="G69" i="1" a="1"/>
  <c r="G69" i="1" s="1"/>
  <c r="G64" i="1" a="1"/>
  <c r="G64" i="1" s="1"/>
  <c r="G89" i="1" a="1"/>
  <c r="G89" i="1" s="1"/>
  <c r="G68" i="1" a="1"/>
  <c r="G68" i="1" s="1"/>
  <c r="G53" i="1" a="1"/>
  <c r="G53" i="1" s="1"/>
  <c r="G90" i="1" a="1"/>
  <c r="G90" i="1" s="1"/>
  <c r="G44" i="1" a="1"/>
  <c r="G44" i="1" s="1"/>
  <c r="G55" i="1" a="1"/>
  <c r="G55" i="1" s="1"/>
  <c r="G46" i="1" a="1"/>
  <c r="G46" i="1" s="1"/>
  <c r="G91" i="1" a="1"/>
  <c r="G91" i="1" s="1"/>
  <c r="G27" i="1" a="1"/>
  <c r="G27" i="1" s="1"/>
  <c r="G7" i="1" a="1"/>
  <c r="G7" i="1" s="1"/>
  <c r="G4" i="1" a="1"/>
  <c r="G4" i="1" s="1"/>
  <c r="G92" i="1" a="1"/>
  <c r="G92" i="1" s="1"/>
  <c r="G8" i="1" a="1"/>
  <c r="G8" i="1" s="1"/>
  <c r="G11" i="1" a="1"/>
  <c r="G11" i="1" s="1"/>
  <c r="G93" i="1" a="1"/>
  <c r="G93" i="1" s="1"/>
  <c r="G72" i="1" a="1"/>
  <c r="G72" i="1" s="1"/>
  <c r="G75" i="1" a="1"/>
  <c r="G75" i="1" s="1"/>
  <c r="G42" i="1" a="1"/>
  <c r="G42" i="1" s="1"/>
  <c r="G51" i="1" a="1"/>
  <c r="G51" i="1" s="1"/>
  <c r="G65" i="1" a="1"/>
  <c r="G65" i="1" s="1"/>
  <c r="G57" i="1" a="1"/>
  <c r="G57" i="1" s="1"/>
  <c r="G94" i="1" a="1"/>
  <c r="G94" i="1" s="1"/>
  <c r="G48" i="1" a="1"/>
  <c r="G48" i="1" s="1"/>
  <c r="G38" i="1" a="1"/>
  <c r="G38" i="1" s="1"/>
  <c r="G61" i="1" a="1"/>
  <c r="G61" i="1" s="1"/>
  <c r="G59" i="1" a="1"/>
  <c r="G59" i="1" s="1"/>
  <c r="G5" i="1" a="1"/>
  <c r="G5" i="1" s="1"/>
  <c r="G14" i="1" a="1"/>
  <c r="G14" i="1" s="1"/>
  <c r="G63" i="1" a="1"/>
  <c r="G63" i="1" s="1"/>
  <c r="G23" i="1" a="1"/>
  <c r="G23" i="1" s="1"/>
  <c r="G22" i="1" a="1"/>
  <c r="G22" i="1" s="1"/>
  <c r="G41" i="1" a="1"/>
  <c r="G41" i="1" s="1"/>
  <c r="G32" i="1" a="1"/>
  <c r="G32" i="1" s="1"/>
  <c r="G76" i="1" a="1"/>
  <c r="G76" i="1" s="1"/>
  <c r="G15" i="1" a="1"/>
  <c r="G15" i="1" s="1"/>
  <c r="G18" i="1" a="1"/>
  <c r="G18" i="1" s="1"/>
  <c r="G95" i="1" a="1"/>
  <c r="G95" i="1" s="1"/>
  <c r="G43" i="1" a="1"/>
  <c r="G43" i="1" s="1"/>
  <c r="G96" i="1" a="1"/>
  <c r="G96" i="1" s="1"/>
  <c r="G10" i="1" a="1"/>
  <c r="G10" i="1" s="1"/>
  <c r="G40" i="1" a="1"/>
  <c r="G40" i="1" s="1"/>
  <c r="G97" i="1" a="1"/>
  <c r="G97" i="1" s="1"/>
  <c r="G66" i="1" a="1"/>
  <c r="G66" i="1" s="1"/>
  <c r="G35" i="1" a="1"/>
  <c r="G35" i="1" s="1"/>
  <c r="G98" i="1" a="1"/>
  <c r="G98" i="1" s="1"/>
  <c r="G19" i="1" a="1"/>
  <c r="G19" i="1" s="1"/>
  <c r="G52" i="1" a="1"/>
  <c r="G52" i="1" s="1"/>
  <c r="G36" i="1" a="1"/>
  <c r="G36" i="1" s="1"/>
  <c r="G6" i="1" a="1"/>
  <c r="G6" i="1" s="1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" i="10"/>
  <c r="J99" i="1" a="1"/>
  <c r="J99" i="1" s="1"/>
  <c r="J100" i="1" a="1"/>
  <c r="J100" i="1" s="1"/>
  <c r="J101" i="1" a="1"/>
  <c r="J101" i="1" s="1"/>
  <c r="J20" i="1" a="1"/>
  <c r="J20" i="1" s="1"/>
  <c r="J77" i="1" a="1"/>
  <c r="J77" i="1" s="1"/>
  <c r="J34" i="1" a="1"/>
  <c r="J34" i="1" s="1"/>
  <c r="J78" i="1" a="1"/>
  <c r="J78" i="1" s="1"/>
  <c r="J67" i="1" a="1"/>
  <c r="J67" i="1" s="1"/>
  <c r="J79" i="1" a="1"/>
  <c r="J79" i="1" s="1"/>
  <c r="J80" i="1" a="1"/>
  <c r="J80" i="1" s="1"/>
  <c r="J81" i="1" a="1"/>
  <c r="J81" i="1" s="1"/>
  <c r="J82" i="1" a="1"/>
  <c r="J82" i="1" s="1"/>
  <c r="J70" i="1" a="1"/>
  <c r="J70" i="1" s="1"/>
  <c r="J16" i="1" a="1"/>
  <c r="J16" i="1" s="1"/>
  <c r="J39" i="1" a="1"/>
  <c r="J39" i="1" s="1"/>
  <c r="J13" i="1" a="1"/>
  <c r="J13" i="1" s="1"/>
  <c r="J12" i="1" a="1"/>
  <c r="J12" i="1" s="1"/>
  <c r="J73" i="1" a="1"/>
  <c r="J73" i="1" s="1"/>
  <c r="J45" i="1" a="1"/>
  <c r="J45" i="1" s="1"/>
  <c r="J30" i="1" a="1"/>
  <c r="J30" i="1" s="1"/>
  <c r="J28" i="1" a="1"/>
  <c r="J28" i="1" s="1"/>
  <c r="J25" i="1" a="1"/>
  <c r="J25" i="1" s="1"/>
  <c r="J56" i="1" a="1"/>
  <c r="J56" i="1" s="1"/>
  <c r="J9" i="1" a="1"/>
  <c r="J9" i="1" s="1"/>
  <c r="J62" i="1" a="1"/>
  <c r="J62" i="1" s="1"/>
  <c r="J83" i="1" a="1"/>
  <c r="J83" i="1" s="1"/>
  <c r="J58" i="1" a="1"/>
  <c r="J58" i="1" s="1"/>
  <c r="J84" i="1" a="1"/>
  <c r="J84" i="1" s="1"/>
  <c r="J24" i="1" a="1"/>
  <c r="J24" i="1" s="1"/>
  <c r="J49" i="1" a="1"/>
  <c r="J49" i="1" s="1"/>
  <c r="J31" i="1" a="1"/>
  <c r="J31" i="1" s="1"/>
  <c r="J33" i="1" a="1"/>
  <c r="J33" i="1" s="1"/>
  <c r="J29" i="1" a="1"/>
  <c r="J29" i="1" s="1"/>
  <c r="J26" i="1" a="1"/>
  <c r="J26" i="1" s="1"/>
  <c r="J74" i="1" a="1"/>
  <c r="J74" i="1" s="1"/>
  <c r="J50" i="1" a="1"/>
  <c r="J50" i="1" s="1"/>
  <c r="J85" i="1" a="1"/>
  <c r="J85" i="1" s="1"/>
  <c r="J86" i="1" a="1"/>
  <c r="J86" i="1" s="1"/>
  <c r="J54" i="1" a="1"/>
  <c r="J54" i="1" s="1"/>
  <c r="J87" i="1" a="1"/>
  <c r="J87" i="1" s="1"/>
  <c r="J47" i="1" a="1"/>
  <c r="J47" i="1" s="1"/>
  <c r="J37" i="1" a="1"/>
  <c r="J37" i="1" s="1"/>
  <c r="J60" i="1" a="1"/>
  <c r="J60" i="1" s="1"/>
  <c r="J71" i="1" a="1"/>
  <c r="J71" i="1" s="1"/>
  <c r="J17" i="1" a="1"/>
  <c r="J17" i="1" s="1"/>
  <c r="J21" i="1" a="1"/>
  <c r="J21" i="1" s="1"/>
  <c r="J88" i="1" a="1"/>
  <c r="J88" i="1" s="1"/>
  <c r="J69" i="1" a="1"/>
  <c r="J69" i="1" s="1"/>
  <c r="J64" i="1" a="1"/>
  <c r="J64" i="1" s="1"/>
  <c r="J89" i="1" a="1"/>
  <c r="J89" i="1" s="1"/>
  <c r="J68" i="1" a="1"/>
  <c r="J68" i="1" s="1"/>
  <c r="J53" i="1" a="1"/>
  <c r="J53" i="1" s="1"/>
  <c r="J90" i="1" a="1"/>
  <c r="J90" i="1" s="1"/>
  <c r="J44" i="1" a="1"/>
  <c r="J44" i="1" s="1"/>
  <c r="J55" i="1" a="1"/>
  <c r="J55" i="1" s="1"/>
  <c r="J46" i="1" a="1"/>
  <c r="J46" i="1" s="1"/>
  <c r="J91" i="1" a="1"/>
  <c r="J91" i="1" s="1"/>
  <c r="J27" i="1" a="1"/>
  <c r="J27" i="1" s="1"/>
  <c r="J7" i="1" a="1"/>
  <c r="J7" i="1" s="1"/>
  <c r="J4" i="1" a="1"/>
  <c r="J4" i="1" s="1"/>
  <c r="J92" i="1" a="1"/>
  <c r="J92" i="1" s="1"/>
  <c r="J8" i="1" a="1"/>
  <c r="J8" i="1" s="1"/>
  <c r="J11" i="1" a="1"/>
  <c r="J11" i="1" s="1"/>
  <c r="J93" i="1" a="1"/>
  <c r="J93" i="1" s="1"/>
  <c r="J72" i="1" a="1"/>
  <c r="J72" i="1" s="1"/>
  <c r="J75" i="1" a="1"/>
  <c r="J75" i="1" s="1"/>
  <c r="J42" i="1" a="1"/>
  <c r="J42" i="1" s="1"/>
  <c r="J51" i="1" a="1"/>
  <c r="J51" i="1" s="1"/>
  <c r="J65" i="1" a="1"/>
  <c r="J65" i="1" s="1"/>
  <c r="J57" i="1" a="1"/>
  <c r="J57" i="1" s="1"/>
  <c r="J94" i="1" a="1"/>
  <c r="J94" i="1" s="1"/>
  <c r="J48" i="1" a="1"/>
  <c r="J48" i="1" s="1"/>
  <c r="J38" i="1" a="1"/>
  <c r="J38" i="1" s="1"/>
  <c r="J61" i="1" a="1"/>
  <c r="J61" i="1" s="1"/>
  <c r="J59" i="1" a="1"/>
  <c r="J59" i="1" s="1"/>
  <c r="J5" i="1" a="1"/>
  <c r="J5" i="1" s="1"/>
  <c r="J14" i="1" a="1"/>
  <c r="J14" i="1" s="1"/>
  <c r="J63" i="1" a="1"/>
  <c r="J63" i="1" s="1"/>
  <c r="J23" i="1" a="1"/>
  <c r="J23" i="1" s="1"/>
  <c r="J22" i="1" a="1"/>
  <c r="J22" i="1" s="1"/>
  <c r="J41" i="1" a="1"/>
  <c r="J41" i="1" s="1"/>
  <c r="J32" i="1" a="1"/>
  <c r="J32" i="1" s="1"/>
  <c r="J76" i="1" a="1"/>
  <c r="J76" i="1" s="1"/>
  <c r="J15" i="1" a="1"/>
  <c r="J15" i="1" s="1"/>
  <c r="J18" i="1" a="1"/>
  <c r="J18" i="1" s="1"/>
  <c r="J95" i="1" a="1"/>
  <c r="J95" i="1" s="1"/>
  <c r="J43" i="1" a="1"/>
  <c r="J43" i="1" s="1"/>
  <c r="J96" i="1" a="1"/>
  <c r="J96" i="1" s="1"/>
  <c r="J10" i="1" a="1"/>
  <c r="J10" i="1" s="1"/>
  <c r="J40" i="1" a="1"/>
  <c r="J40" i="1" s="1"/>
  <c r="J97" i="1" a="1"/>
  <c r="J97" i="1" s="1"/>
  <c r="J66" i="1" a="1"/>
  <c r="J66" i="1" s="1"/>
  <c r="J35" i="1" a="1"/>
  <c r="J35" i="1" s="1"/>
  <c r="J98" i="1" a="1"/>
  <c r="J98" i="1" s="1"/>
  <c r="J19" i="1" a="1"/>
  <c r="J19" i="1" s="1"/>
  <c r="J52" i="1" a="1"/>
  <c r="J52" i="1" s="1"/>
  <c r="J36" i="1" a="1"/>
  <c r="J36" i="1" s="1"/>
  <c r="J6" i="1" a="1"/>
  <c r="J6" i="1" s="1"/>
  <c r="R3" i="18"/>
  <c r="R4" i="18"/>
  <c r="R5" i="18"/>
  <c r="R6" i="18"/>
  <c r="R7" i="18"/>
  <c r="R8" i="18"/>
  <c r="R9" i="18"/>
  <c r="R10" i="18"/>
  <c r="R11" i="18"/>
  <c r="R12" i="18"/>
  <c r="R13" i="18"/>
  <c r="R14" i="18"/>
  <c r="R15" i="18"/>
  <c r="R16" i="18"/>
  <c r="R17" i="18"/>
  <c r="R18" i="18"/>
  <c r="R19" i="18"/>
  <c r="R20" i="18"/>
  <c r="R21" i="18"/>
  <c r="R22" i="18"/>
  <c r="R23" i="18"/>
  <c r="R24" i="18"/>
  <c r="R25" i="18"/>
  <c r="R26" i="18"/>
  <c r="R27" i="18"/>
  <c r="R28" i="18"/>
  <c r="R29" i="18"/>
  <c r="R30" i="18"/>
  <c r="R31" i="18"/>
  <c r="R32" i="18"/>
  <c r="R33" i="18"/>
  <c r="R34" i="18"/>
  <c r="R35" i="18"/>
  <c r="R36" i="18"/>
  <c r="R37" i="18"/>
  <c r="R38" i="18"/>
  <c r="R39" i="18"/>
  <c r="R40" i="18"/>
  <c r="R41" i="18"/>
  <c r="R42" i="18"/>
  <c r="R43" i="18"/>
  <c r="R44" i="18"/>
  <c r="R45" i="18"/>
  <c r="R46" i="18"/>
  <c r="R47" i="18"/>
  <c r="R48" i="18"/>
  <c r="R49" i="18"/>
  <c r="R50" i="18"/>
  <c r="R51" i="18"/>
  <c r="R52" i="18"/>
  <c r="R53" i="18"/>
  <c r="R54" i="18"/>
  <c r="R55" i="18"/>
  <c r="R56" i="18"/>
  <c r="R57" i="18"/>
  <c r="R58" i="18"/>
  <c r="R59" i="18"/>
  <c r="R60" i="18"/>
  <c r="R61" i="18"/>
  <c r="R62" i="18"/>
  <c r="R63" i="18"/>
  <c r="R64" i="18"/>
  <c r="R65" i="18"/>
  <c r="R66" i="18"/>
  <c r="R67" i="18"/>
  <c r="R68" i="18"/>
  <c r="R69" i="18"/>
  <c r="R70" i="18"/>
  <c r="R71" i="18"/>
  <c r="R72" i="18"/>
  <c r="R73" i="18"/>
  <c r="R74" i="18"/>
  <c r="R75" i="18"/>
  <c r="R76" i="18"/>
  <c r="R77" i="18"/>
  <c r="R78" i="18"/>
  <c r="R79" i="18"/>
  <c r="R80" i="18"/>
  <c r="R81" i="18"/>
  <c r="R82" i="18"/>
  <c r="R83" i="18"/>
  <c r="R84" i="18"/>
  <c r="R85" i="18"/>
  <c r="R86" i="18"/>
  <c r="R87" i="18"/>
  <c r="R88" i="18"/>
  <c r="R89" i="18"/>
  <c r="R90" i="18"/>
  <c r="R91" i="18"/>
  <c r="R92" i="18"/>
  <c r="R93" i="18"/>
  <c r="R94" i="18"/>
  <c r="R95" i="18"/>
  <c r="R96" i="18"/>
  <c r="R97" i="18"/>
  <c r="R98" i="18"/>
  <c r="R99" i="18"/>
  <c r="R100" i="18"/>
  <c r="R101" i="18"/>
  <c r="R102" i="18"/>
  <c r="R103" i="18"/>
  <c r="R104" i="18"/>
  <c r="R105" i="18"/>
  <c r="R106" i="18"/>
  <c r="R107" i="18"/>
  <c r="R108" i="18"/>
  <c r="R109" i="18"/>
  <c r="R110" i="18"/>
  <c r="R111" i="18"/>
  <c r="R112" i="18"/>
  <c r="R113" i="18"/>
  <c r="R114" i="18"/>
  <c r="R115" i="18"/>
  <c r="R116" i="18"/>
  <c r="R117" i="18"/>
  <c r="R118" i="18"/>
  <c r="R119" i="18"/>
  <c r="R120" i="18"/>
  <c r="R121" i="18"/>
  <c r="R2" i="18"/>
  <c r="L77" i="1"/>
  <c r="L34" i="1"/>
  <c r="L78" i="1"/>
  <c r="L67" i="1"/>
  <c r="L79" i="1"/>
  <c r="L80" i="1"/>
  <c r="L81" i="1"/>
  <c r="L82" i="1"/>
  <c r="L70" i="1"/>
  <c r="L16" i="1"/>
  <c r="L39" i="1"/>
  <c r="L13" i="1"/>
  <c r="L12" i="1"/>
  <c r="L73" i="1"/>
  <c r="L45" i="1"/>
  <c r="L30" i="1"/>
  <c r="L28" i="1"/>
  <c r="L25" i="1"/>
  <c r="L56" i="1"/>
  <c r="L9" i="1"/>
  <c r="L62" i="1"/>
  <c r="L83" i="1"/>
  <c r="L58" i="1"/>
  <c r="L84" i="1"/>
  <c r="L24" i="1"/>
  <c r="L49" i="1"/>
  <c r="L31" i="1"/>
  <c r="L33" i="1"/>
  <c r="L29" i="1"/>
  <c r="L26" i="1"/>
  <c r="L74" i="1"/>
  <c r="L50" i="1"/>
  <c r="L85" i="1"/>
  <c r="L86" i="1"/>
  <c r="L54" i="1"/>
  <c r="L87" i="1"/>
  <c r="L47" i="1"/>
  <c r="L37" i="1"/>
  <c r="L60" i="1"/>
  <c r="L71" i="1"/>
  <c r="L17" i="1"/>
  <c r="L21" i="1"/>
  <c r="L88" i="1"/>
  <c r="L69" i="1"/>
  <c r="L64" i="1"/>
  <c r="L89" i="1"/>
  <c r="L68" i="1"/>
  <c r="L53" i="1"/>
  <c r="L90" i="1"/>
  <c r="L44" i="1"/>
  <c r="L55" i="1"/>
  <c r="L46" i="1"/>
  <c r="L91" i="1"/>
  <c r="L27" i="1"/>
  <c r="L7" i="1"/>
  <c r="L4" i="1"/>
  <c r="L92" i="1"/>
  <c r="L8" i="1"/>
  <c r="L11" i="1"/>
  <c r="L93" i="1"/>
  <c r="L72" i="1"/>
  <c r="L75" i="1"/>
  <c r="L42" i="1"/>
  <c r="L51" i="1"/>
  <c r="L65" i="1"/>
  <c r="L57" i="1"/>
  <c r="L94" i="1"/>
  <c r="L48" i="1"/>
  <c r="L38" i="1"/>
  <c r="L61" i="1"/>
  <c r="L59" i="1"/>
  <c r="L5" i="1"/>
  <c r="L14" i="1"/>
  <c r="L63" i="1"/>
  <c r="L23" i="1"/>
  <c r="L22" i="1"/>
  <c r="L41" i="1"/>
  <c r="L32" i="1"/>
  <c r="L76" i="1"/>
  <c r="L15" i="1"/>
  <c r="L18" i="1"/>
  <c r="L95" i="1"/>
  <c r="L43" i="1"/>
  <c r="L96" i="1"/>
  <c r="L10" i="1"/>
  <c r="L40" i="1"/>
  <c r="L97" i="1"/>
  <c r="L66" i="1"/>
  <c r="L35" i="1"/>
  <c r="L98" i="1"/>
  <c r="L19" i="1"/>
  <c r="L52" i="1"/>
  <c r="L36" i="1"/>
  <c r="L99" i="1"/>
  <c r="L100" i="1"/>
  <c r="L101" i="1"/>
  <c r="L6" i="1"/>
  <c r="L20" i="1"/>
  <c r="Q139" i="21"/>
  <c r="Q140" i="21"/>
  <c r="Q141" i="21"/>
  <c r="Q142" i="21"/>
  <c r="Q143" i="21"/>
  <c r="Q144" i="21"/>
  <c r="Q145" i="21"/>
  <c r="Q146" i="21"/>
  <c r="Q147" i="21"/>
  <c r="Q148" i="21"/>
  <c r="Q149" i="21"/>
  <c r="Q150" i="21"/>
  <c r="Q151" i="21"/>
  <c r="Q152" i="21"/>
  <c r="Q153" i="21"/>
  <c r="Q154" i="21"/>
  <c r="Q155" i="21"/>
  <c r="Q156" i="21"/>
  <c r="Q157" i="21"/>
  <c r="Q158" i="21"/>
  <c r="Q159" i="21"/>
  <c r="Q160" i="21"/>
  <c r="Q161" i="21"/>
  <c r="Q162" i="21"/>
  <c r="Q163" i="21"/>
  <c r="Q164" i="21"/>
  <c r="Q165" i="21"/>
  <c r="Q166" i="21"/>
  <c r="Q167" i="21"/>
  <c r="Q168" i="21"/>
  <c r="Q169" i="21"/>
  <c r="Q170" i="21"/>
  <c r="Q171" i="21"/>
  <c r="Q172" i="21"/>
  <c r="Q173" i="21"/>
  <c r="Q174" i="21"/>
  <c r="Q175" i="21"/>
  <c r="Q176" i="21"/>
  <c r="Q177" i="21"/>
  <c r="Q178" i="21"/>
  <c r="Q179" i="21"/>
  <c r="Q180" i="21"/>
  <c r="Q181" i="21"/>
  <c r="Q182" i="21"/>
  <c r="Q183" i="21"/>
  <c r="Q184" i="21"/>
  <c r="Q185" i="21"/>
  <c r="Q186" i="21"/>
  <c r="Q187" i="21"/>
  <c r="Q188" i="21"/>
  <c r="Q189" i="21"/>
  <c r="Q106" i="21"/>
  <c r="Q107" i="21"/>
  <c r="Q108" i="21"/>
  <c r="Q109" i="21"/>
  <c r="Q110" i="21"/>
  <c r="Q111" i="21"/>
  <c r="Q112" i="21"/>
  <c r="Q113" i="21"/>
  <c r="Q114" i="21"/>
  <c r="Q115" i="21"/>
  <c r="Q116" i="21"/>
  <c r="Q117" i="21"/>
  <c r="Q118" i="21"/>
  <c r="Q119" i="21"/>
  <c r="Q120" i="21"/>
  <c r="Q121" i="21"/>
  <c r="Q122" i="21"/>
  <c r="Q123" i="21"/>
  <c r="Q124" i="21"/>
  <c r="Q125" i="21"/>
  <c r="Q126" i="21"/>
  <c r="Q127" i="21"/>
  <c r="Q128" i="21"/>
  <c r="Q129" i="21"/>
  <c r="Q130" i="21"/>
  <c r="Q131" i="21"/>
  <c r="Q132" i="21"/>
  <c r="Q133" i="21"/>
  <c r="Q134" i="21"/>
  <c r="Q135" i="21"/>
  <c r="Q136" i="21"/>
  <c r="Q137" i="21"/>
  <c r="Q138" i="21"/>
  <c r="Q105" i="21"/>
  <c r="Q3" i="21"/>
  <c r="Q4" i="21"/>
  <c r="Q5" i="21"/>
  <c r="Q6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6" i="21"/>
  <c r="Q27" i="21"/>
  <c r="Q28" i="21"/>
  <c r="Q29" i="21"/>
  <c r="Q30" i="21"/>
  <c r="Q31" i="21"/>
  <c r="Q32" i="21"/>
  <c r="Q33" i="21"/>
  <c r="Q34" i="21"/>
  <c r="Q35" i="21"/>
  <c r="Q36" i="21"/>
  <c r="Q37" i="21"/>
  <c r="Q38" i="21"/>
  <c r="Q39" i="21"/>
  <c r="Q40" i="21"/>
  <c r="Q41" i="21"/>
  <c r="Q42" i="21"/>
  <c r="Q43" i="21"/>
  <c r="Q44" i="21"/>
  <c r="Q45" i="21"/>
  <c r="Q46" i="21"/>
  <c r="Q47" i="21"/>
  <c r="Q48" i="21"/>
  <c r="Q49" i="21"/>
  <c r="Q50" i="21"/>
  <c r="Q51" i="21"/>
  <c r="Q52" i="21"/>
  <c r="Q53" i="21"/>
  <c r="Q54" i="21"/>
  <c r="Q55" i="21"/>
  <c r="Q56" i="21"/>
  <c r="Q57" i="21"/>
  <c r="Q58" i="21"/>
  <c r="Q59" i="21"/>
  <c r="Q60" i="21"/>
  <c r="Q61" i="21"/>
  <c r="Q62" i="21"/>
  <c r="Q63" i="21"/>
  <c r="Q64" i="21"/>
  <c r="Q65" i="21"/>
  <c r="Q66" i="21"/>
  <c r="Q67" i="21"/>
  <c r="Q68" i="21"/>
  <c r="Q69" i="21"/>
  <c r="Q70" i="21"/>
  <c r="Q71" i="21"/>
  <c r="Q72" i="21"/>
  <c r="Q73" i="21"/>
  <c r="Q74" i="21"/>
  <c r="Q75" i="21"/>
  <c r="Q76" i="21"/>
  <c r="Q77" i="21"/>
  <c r="Q78" i="21"/>
  <c r="Q79" i="21"/>
  <c r="Q80" i="21"/>
  <c r="Q81" i="21"/>
  <c r="Q82" i="21"/>
  <c r="Q83" i="21"/>
  <c r="Q84" i="21"/>
  <c r="Q85" i="21"/>
  <c r="Q86" i="21"/>
  <c r="Q87" i="21"/>
  <c r="Q88" i="21"/>
  <c r="Q89" i="21"/>
  <c r="Q90" i="21"/>
  <c r="Q91" i="21"/>
  <c r="Q92" i="21"/>
  <c r="Q93" i="21"/>
  <c r="Q94" i="21"/>
  <c r="Q95" i="21"/>
  <c r="Q96" i="21"/>
  <c r="Q97" i="21"/>
  <c r="Q98" i="21"/>
  <c r="Q99" i="21"/>
  <c r="Q100" i="21"/>
  <c r="Q101" i="21"/>
  <c r="Q102" i="21"/>
  <c r="Q103" i="21"/>
  <c r="Q2" i="21"/>
  <c r="K99" i="1"/>
  <c r="K100" i="1"/>
  <c r="K101" i="1"/>
  <c r="K77" i="1"/>
  <c r="K34" i="1"/>
  <c r="K78" i="1"/>
  <c r="K67" i="1"/>
  <c r="K79" i="1"/>
  <c r="K80" i="1"/>
  <c r="K81" i="1"/>
  <c r="K82" i="1"/>
  <c r="K70" i="1"/>
  <c r="K16" i="1"/>
  <c r="K39" i="1"/>
  <c r="K13" i="1"/>
  <c r="K12" i="1"/>
  <c r="K73" i="1"/>
  <c r="K45" i="1"/>
  <c r="K30" i="1"/>
  <c r="K28" i="1"/>
  <c r="K25" i="1"/>
  <c r="K56" i="1"/>
  <c r="K9" i="1"/>
  <c r="K62" i="1"/>
  <c r="K83" i="1"/>
  <c r="K58" i="1"/>
  <c r="K84" i="1"/>
  <c r="K24" i="1"/>
  <c r="K49" i="1"/>
  <c r="K31" i="1"/>
  <c r="K33" i="1"/>
  <c r="K29" i="1"/>
  <c r="K26" i="1"/>
  <c r="K74" i="1"/>
  <c r="K50" i="1"/>
  <c r="K85" i="1"/>
  <c r="K86" i="1"/>
  <c r="K54" i="1"/>
  <c r="K87" i="1"/>
  <c r="K47" i="1"/>
  <c r="K37" i="1"/>
  <c r="K60" i="1"/>
  <c r="K71" i="1"/>
  <c r="K17" i="1"/>
  <c r="K21" i="1"/>
  <c r="K88" i="1"/>
  <c r="K69" i="1"/>
  <c r="K64" i="1"/>
  <c r="K89" i="1"/>
  <c r="K68" i="1"/>
  <c r="K53" i="1"/>
  <c r="K90" i="1"/>
  <c r="K44" i="1"/>
  <c r="K55" i="1"/>
  <c r="K46" i="1"/>
  <c r="K91" i="1"/>
  <c r="K27" i="1"/>
  <c r="K7" i="1"/>
  <c r="K4" i="1"/>
  <c r="K92" i="1"/>
  <c r="K8" i="1"/>
  <c r="K11" i="1"/>
  <c r="K93" i="1"/>
  <c r="K72" i="1"/>
  <c r="K75" i="1"/>
  <c r="K42" i="1"/>
  <c r="K51" i="1"/>
  <c r="K65" i="1"/>
  <c r="K57" i="1"/>
  <c r="K94" i="1"/>
  <c r="K48" i="1"/>
  <c r="K38" i="1"/>
  <c r="K61" i="1"/>
  <c r="K59" i="1"/>
  <c r="K5" i="1"/>
  <c r="K14" i="1"/>
  <c r="K63" i="1"/>
  <c r="K23" i="1"/>
  <c r="K22" i="1"/>
  <c r="K41" i="1"/>
  <c r="K32" i="1"/>
  <c r="K76" i="1"/>
  <c r="K15" i="1"/>
  <c r="K18" i="1"/>
  <c r="K95" i="1"/>
  <c r="K43" i="1"/>
  <c r="K96" i="1"/>
  <c r="K10" i="1"/>
  <c r="K40" i="1"/>
  <c r="K97" i="1"/>
  <c r="K66" i="1"/>
  <c r="K35" i="1"/>
  <c r="K98" i="1"/>
  <c r="K19" i="1"/>
  <c r="K52" i="1"/>
  <c r="K36" i="1"/>
  <c r="K20" i="1"/>
  <c r="K6" i="1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Q97" i="20"/>
  <c r="Q98" i="20"/>
  <c r="Q99" i="20"/>
  <c r="Q100" i="20"/>
  <c r="Q101" i="20"/>
  <c r="Q102" i="20"/>
  <c r="Q103" i="20"/>
  <c r="Q104" i="20"/>
  <c r="Q105" i="20"/>
  <c r="Q106" i="20"/>
  <c r="Q107" i="20"/>
  <c r="Q108" i="20"/>
  <c r="Q109" i="20"/>
  <c r="Q110" i="20"/>
  <c r="Q111" i="20"/>
  <c r="Q112" i="20"/>
  <c r="Q113" i="20"/>
  <c r="Q114" i="20"/>
  <c r="Q115" i="20"/>
  <c r="Q116" i="20"/>
  <c r="Q117" i="20"/>
  <c r="Q118" i="20"/>
  <c r="Q119" i="20"/>
  <c r="Q120" i="20"/>
  <c r="Q121" i="20"/>
  <c r="Q122" i="20"/>
  <c r="Q123" i="20"/>
  <c r="Q124" i="20"/>
  <c r="Q125" i="20"/>
  <c r="Q126" i="20"/>
  <c r="Q127" i="20"/>
  <c r="Q128" i="20"/>
  <c r="Q129" i="20"/>
  <c r="Q130" i="20"/>
  <c r="Q131" i="20"/>
  <c r="Q132" i="20"/>
  <c r="Q133" i="20"/>
  <c r="Q134" i="20"/>
  <c r="Q135" i="20"/>
  <c r="Q136" i="20"/>
  <c r="Q137" i="20"/>
  <c r="Q64" i="20"/>
  <c r="Q3" i="20"/>
  <c r="Q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2" i="20"/>
  <c r="H6" i="1" a="1"/>
  <c r="H6" i="1" s="1"/>
  <c r="H20" i="1" a="1"/>
  <c r="H20" i="1" s="1"/>
  <c r="H77" i="1" a="1"/>
  <c r="H77" i="1" s="1"/>
  <c r="H34" i="1" a="1"/>
  <c r="H34" i="1" s="1"/>
  <c r="H78" i="1" a="1"/>
  <c r="H78" i="1" s="1"/>
  <c r="H67" i="1" a="1"/>
  <c r="H67" i="1" s="1"/>
  <c r="H79" i="1" a="1"/>
  <c r="H79" i="1" s="1"/>
  <c r="H80" i="1" a="1"/>
  <c r="H80" i="1" s="1"/>
  <c r="H81" i="1" a="1"/>
  <c r="H81" i="1" s="1"/>
  <c r="H82" i="1" a="1"/>
  <c r="H82" i="1" s="1"/>
  <c r="H70" i="1" a="1"/>
  <c r="H70" i="1" s="1"/>
  <c r="H16" i="1" a="1"/>
  <c r="H16" i="1" s="1"/>
  <c r="H39" i="1" a="1"/>
  <c r="H39" i="1" s="1"/>
  <c r="H13" i="1" a="1"/>
  <c r="H13" i="1" s="1"/>
  <c r="H12" i="1" a="1"/>
  <c r="H12" i="1" s="1"/>
  <c r="H73" i="1" a="1"/>
  <c r="H73" i="1" s="1"/>
  <c r="H30" i="1" a="1"/>
  <c r="H30" i="1" s="1"/>
  <c r="H28" i="1" a="1"/>
  <c r="H28" i="1" s="1"/>
  <c r="H56" i="1" a="1"/>
  <c r="H56" i="1" s="1"/>
  <c r="H9" i="1" a="1"/>
  <c r="H9" i="1" s="1"/>
  <c r="H62" i="1" a="1"/>
  <c r="H62" i="1" s="1"/>
  <c r="H83" i="1" a="1"/>
  <c r="H83" i="1" s="1"/>
  <c r="H58" i="1" a="1"/>
  <c r="H58" i="1" s="1"/>
  <c r="H84" i="1" a="1"/>
  <c r="H84" i="1" s="1"/>
  <c r="H24" i="1" a="1"/>
  <c r="H24" i="1" s="1"/>
  <c r="H49" i="1" a="1"/>
  <c r="H49" i="1" s="1"/>
  <c r="H31" i="1" a="1"/>
  <c r="H31" i="1" s="1"/>
  <c r="H33" i="1" a="1"/>
  <c r="H33" i="1" s="1"/>
  <c r="H26" i="1" a="1"/>
  <c r="H26" i="1" s="1"/>
  <c r="H74" i="1" a="1"/>
  <c r="H74" i="1" s="1"/>
  <c r="H85" i="1" a="1"/>
  <c r="H85" i="1" s="1"/>
  <c r="H86" i="1" a="1"/>
  <c r="H86" i="1" s="1"/>
  <c r="H54" i="1" a="1"/>
  <c r="H54" i="1" s="1"/>
  <c r="H87" i="1" a="1"/>
  <c r="H87" i="1" s="1"/>
  <c r="H47" i="1" a="1"/>
  <c r="H47" i="1" s="1"/>
  <c r="H37" i="1" a="1"/>
  <c r="H37" i="1" s="1"/>
  <c r="H60" i="1" a="1"/>
  <c r="H60" i="1" s="1"/>
  <c r="H71" i="1" a="1"/>
  <c r="H71" i="1" s="1"/>
  <c r="H21" i="1" a="1"/>
  <c r="H21" i="1" s="1"/>
  <c r="H88" i="1" a="1"/>
  <c r="H88" i="1" s="1"/>
  <c r="H69" i="1" a="1"/>
  <c r="H69" i="1" s="1"/>
  <c r="H64" i="1" a="1"/>
  <c r="H64" i="1" s="1"/>
  <c r="H89" i="1" a="1"/>
  <c r="H89" i="1" s="1"/>
  <c r="H68" i="1" a="1"/>
  <c r="H68" i="1" s="1"/>
  <c r="H53" i="1" a="1"/>
  <c r="H53" i="1" s="1"/>
  <c r="H90" i="1" a="1"/>
  <c r="H90" i="1" s="1"/>
  <c r="H44" i="1" a="1"/>
  <c r="H44" i="1" s="1"/>
  <c r="H55" i="1" a="1"/>
  <c r="H55" i="1" s="1"/>
  <c r="H91" i="1" a="1"/>
  <c r="H91" i="1" s="1"/>
  <c r="H32" i="1" a="1"/>
  <c r="H32" i="1" s="1"/>
  <c r="H76" i="1" a="1"/>
  <c r="H76" i="1" s="1"/>
  <c r="H15" i="1" a="1"/>
  <c r="H15" i="1" s="1"/>
  <c r="H18" i="1" a="1"/>
  <c r="H18" i="1" s="1"/>
  <c r="H95" i="1" a="1"/>
  <c r="H95" i="1" s="1"/>
  <c r="H96" i="1" a="1"/>
  <c r="H96" i="1" s="1"/>
  <c r="H10" i="1" a="1"/>
  <c r="H10" i="1" s="1"/>
  <c r="H40" i="1" a="1"/>
  <c r="H40" i="1" s="1"/>
  <c r="H97" i="1" a="1"/>
  <c r="H97" i="1" s="1"/>
  <c r="H66" i="1" a="1"/>
  <c r="H66" i="1" s="1"/>
  <c r="H35" i="1" a="1"/>
  <c r="H35" i="1" s="1"/>
  <c r="H98" i="1" a="1"/>
  <c r="H98" i="1" s="1"/>
  <c r="H52" i="1" a="1"/>
  <c r="H52" i="1" s="1"/>
  <c r="H99" i="1" a="1"/>
  <c r="H99" i="1" s="1"/>
  <c r="H100" i="1" a="1"/>
  <c r="H100" i="1" s="1"/>
  <c r="H101" i="1" a="1"/>
  <c r="H101" i="1" s="1"/>
  <c r="H27" i="1" a="1"/>
  <c r="H27" i="1" s="1"/>
  <c r="H7" i="1" a="1"/>
  <c r="H7" i="1" s="1"/>
  <c r="H4" i="1" a="1"/>
  <c r="H4" i="1" s="1"/>
  <c r="H92" i="1" a="1"/>
  <c r="H92" i="1" s="1"/>
  <c r="H93" i="1" a="1"/>
  <c r="H93" i="1" s="1"/>
  <c r="H72" i="1" a="1"/>
  <c r="H72" i="1" s="1"/>
  <c r="H75" i="1" a="1"/>
  <c r="H75" i="1" s="1"/>
  <c r="H42" i="1" a="1"/>
  <c r="H42" i="1" s="1"/>
  <c r="H51" i="1" a="1"/>
  <c r="H51" i="1" s="1"/>
  <c r="H65" i="1" a="1"/>
  <c r="H65" i="1" s="1"/>
  <c r="H57" i="1" a="1"/>
  <c r="H57" i="1" s="1"/>
  <c r="H94" i="1" a="1"/>
  <c r="H94" i="1" s="1"/>
  <c r="H48" i="1" a="1"/>
  <c r="H48" i="1" s="1"/>
  <c r="H61" i="1" a="1"/>
  <c r="H61" i="1" s="1"/>
  <c r="H59" i="1" a="1"/>
  <c r="H59" i="1" s="1"/>
  <c r="H14" i="1" a="1"/>
  <c r="H14" i="1" s="1"/>
  <c r="H63" i="1" a="1"/>
  <c r="H63" i="1" s="1"/>
  <c r="H23" i="1" a="1"/>
  <c r="H23" i="1" s="1"/>
  <c r="H41" i="1" a="1"/>
  <c r="H41" i="1" s="1"/>
  <c r="R303" i="12"/>
  <c r="R304" i="12"/>
  <c r="R305" i="12"/>
  <c r="R306" i="12"/>
  <c r="R307" i="12"/>
  <c r="R308" i="12"/>
  <c r="R309" i="12"/>
  <c r="R310" i="12"/>
  <c r="R311" i="12"/>
  <c r="R312" i="12"/>
  <c r="R313" i="12"/>
  <c r="R314" i="12"/>
  <c r="R315" i="12"/>
  <c r="R316" i="12"/>
  <c r="R317" i="12"/>
  <c r="R318" i="12"/>
  <c r="R319" i="12"/>
  <c r="H43" i="1" s="1" a="1"/>
  <c r="H43" i="1" s="1"/>
  <c r="R320" i="12"/>
  <c r="R321" i="12"/>
  <c r="R322" i="12"/>
  <c r="R323" i="12"/>
  <c r="R324" i="12"/>
  <c r="R325" i="12"/>
  <c r="R326" i="12"/>
  <c r="R327" i="12"/>
  <c r="R328" i="12"/>
  <c r="R329" i="12"/>
  <c r="R330" i="12"/>
  <c r="R331" i="12"/>
  <c r="R332" i="12"/>
  <c r="R333" i="12"/>
  <c r="R334" i="12"/>
  <c r="R335" i="12"/>
  <c r="R336" i="12"/>
  <c r="H19" i="1" s="1" a="1"/>
  <c r="H19" i="1" s="1"/>
  <c r="R337" i="12"/>
  <c r="R338" i="12"/>
  <c r="R339" i="12"/>
  <c r="R340" i="12"/>
  <c r="R341" i="12"/>
  <c r="H46" i="1" s="1" a="1"/>
  <c r="H46" i="1" s="1"/>
  <c r="R342" i="12"/>
  <c r="R343" i="12"/>
  <c r="R344" i="12"/>
  <c r="R345" i="12"/>
  <c r="R346" i="12"/>
  <c r="R347" i="12"/>
  <c r="R348" i="12"/>
  <c r="R349" i="12"/>
  <c r="R350" i="12"/>
  <c r="H22" i="1" s="1" a="1"/>
  <c r="H22" i="1" s="1"/>
  <c r="R351" i="12"/>
  <c r="R352" i="12"/>
  <c r="R353" i="12"/>
  <c r="R354" i="12"/>
  <c r="R355" i="12"/>
  <c r="R356" i="12"/>
  <c r="R357" i="12"/>
  <c r="R358" i="12"/>
  <c r="R359" i="12"/>
  <c r="R360" i="12"/>
  <c r="R361" i="12"/>
  <c r="R362" i="12"/>
  <c r="R363" i="12"/>
  <c r="R364" i="12"/>
  <c r="R365" i="12"/>
  <c r="R366" i="12"/>
  <c r="R367" i="12"/>
  <c r="R368" i="12"/>
  <c r="R369" i="12"/>
  <c r="R370" i="12"/>
  <c r="R371" i="12"/>
  <c r="R372" i="12"/>
  <c r="R373" i="12"/>
  <c r="R374" i="12"/>
  <c r="R375" i="12"/>
  <c r="R376" i="12"/>
  <c r="R377" i="12"/>
  <c r="R378" i="12"/>
  <c r="R379" i="12"/>
  <c r="R380" i="12"/>
  <c r="R381" i="12"/>
  <c r="R382" i="12"/>
  <c r="R383" i="12"/>
  <c r="R384" i="12"/>
  <c r="R385" i="12"/>
  <c r="R386" i="12"/>
  <c r="R387" i="12"/>
  <c r="R388" i="12"/>
  <c r="R389" i="12"/>
  <c r="R390" i="12"/>
  <c r="R391" i="12"/>
  <c r="R392" i="12"/>
  <c r="R393" i="12"/>
  <c r="R394" i="12"/>
  <c r="R395" i="12"/>
  <c r="R396" i="12"/>
  <c r="R397" i="12"/>
  <c r="R398" i="12"/>
  <c r="R399" i="12"/>
  <c r="R400" i="12"/>
  <c r="R401" i="12"/>
  <c r="R402" i="12"/>
  <c r="R403" i="12"/>
  <c r="R404" i="12"/>
  <c r="R405" i="12"/>
  <c r="R406" i="12"/>
  <c r="R407" i="12"/>
  <c r="R408" i="12"/>
  <c r="R409" i="12"/>
  <c r="R410" i="12"/>
  <c r="R411" i="12"/>
  <c r="R412" i="12"/>
  <c r="H29" i="1" s="1" a="1"/>
  <c r="H29" i="1" s="1"/>
  <c r="R413" i="12"/>
  <c r="R414" i="12"/>
  <c r="R415" i="12"/>
  <c r="R416" i="12"/>
  <c r="R417" i="12"/>
  <c r="R418" i="12"/>
  <c r="R419" i="12"/>
  <c r="R420" i="12"/>
  <c r="R421" i="12"/>
  <c r="R422" i="12"/>
  <c r="R423" i="12"/>
  <c r="R424" i="12"/>
  <c r="R425" i="12"/>
  <c r="R426" i="12"/>
  <c r="R427" i="12"/>
  <c r="R428" i="12"/>
  <c r="R429" i="12"/>
  <c r="R430" i="12"/>
  <c r="R431" i="12"/>
  <c r="R432" i="12"/>
  <c r="R433" i="12"/>
  <c r="R434" i="12"/>
  <c r="R435" i="12"/>
  <c r="R436" i="12"/>
  <c r="R437" i="12"/>
  <c r="R438" i="12"/>
  <c r="R439" i="12"/>
  <c r="R440" i="12"/>
  <c r="R441" i="12"/>
  <c r="R442" i="12"/>
  <c r="R443" i="12"/>
  <c r="R444" i="12"/>
  <c r="R445" i="12"/>
  <c r="R446" i="12"/>
  <c r="R447" i="12"/>
  <c r="R448" i="12"/>
  <c r="R449" i="12"/>
  <c r="R302" i="12"/>
  <c r="R3" i="12"/>
  <c r="R4" i="12"/>
  <c r="R5" i="12"/>
  <c r="H5" i="1" s="1" a="1"/>
  <c r="H5" i="1" s="1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H36" i="1" s="1" a="1"/>
  <c r="H36" i="1" s="1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H11" i="1" s="1" a="1"/>
  <c r="H11" i="1" s="1"/>
  <c r="R38" i="12"/>
  <c r="R39" i="12"/>
  <c r="R40" i="12"/>
  <c r="R41" i="12"/>
  <c r="R42" i="12"/>
  <c r="R43" i="12"/>
  <c r="R44" i="12"/>
  <c r="R45" i="12"/>
  <c r="R46" i="12"/>
  <c r="R47" i="12"/>
  <c r="H8" i="1" s="1" a="1"/>
  <c r="H8" i="1" s="1"/>
  <c r="R48" i="12"/>
  <c r="R49" i="12"/>
  <c r="R50" i="12"/>
  <c r="R51" i="12"/>
  <c r="R52" i="12"/>
  <c r="R53" i="12"/>
  <c r="R54" i="12"/>
  <c r="R55" i="12"/>
  <c r="R56" i="12"/>
  <c r="R57" i="12"/>
  <c r="H17" i="1" s="1" a="1"/>
  <c r="H17" i="1" s="1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H38" i="1" s="1" a="1"/>
  <c r="H38" i="1" s="1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H45" i="1" s="1" a="1"/>
  <c r="H45" i="1" s="1"/>
  <c r="R146" i="12"/>
  <c r="R147" i="12"/>
  <c r="R148" i="12"/>
  <c r="R149" i="12"/>
  <c r="R150" i="12"/>
  <c r="R151" i="12"/>
  <c r="R152" i="12"/>
  <c r="R153" i="12"/>
  <c r="R154" i="12"/>
  <c r="R155" i="12"/>
  <c r="R156" i="12"/>
  <c r="R157" i="12"/>
  <c r="R158" i="12"/>
  <c r="R159" i="12"/>
  <c r="R160" i="12"/>
  <c r="R161" i="12"/>
  <c r="R162" i="12"/>
  <c r="R163" i="12"/>
  <c r="R164" i="12"/>
  <c r="R165" i="12"/>
  <c r="R166" i="12"/>
  <c r="R167" i="12"/>
  <c r="R168" i="12"/>
  <c r="R169" i="12"/>
  <c r="R170" i="12"/>
  <c r="R171" i="12"/>
  <c r="R172" i="12"/>
  <c r="R173" i="12"/>
  <c r="R174" i="12"/>
  <c r="R175" i="12"/>
  <c r="R176" i="12"/>
  <c r="R177" i="12"/>
  <c r="R178" i="12"/>
  <c r="R179" i="12"/>
  <c r="R180" i="12"/>
  <c r="R181" i="12"/>
  <c r="R182" i="12"/>
  <c r="R183" i="12"/>
  <c r="R184" i="12"/>
  <c r="R185" i="12"/>
  <c r="R186" i="12"/>
  <c r="R187" i="12"/>
  <c r="R188" i="12"/>
  <c r="R189" i="12"/>
  <c r="R190" i="12"/>
  <c r="R191" i="12"/>
  <c r="R192" i="12"/>
  <c r="R193" i="12"/>
  <c r="R194" i="12"/>
  <c r="R195" i="12"/>
  <c r="R196" i="12"/>
  <c r="R197" i="12"/>
  <c r="R198" i="12"/>
  <c r="R199" i="12"/>
  <c r="R200" i="12"/>
  <c r="R201" i="12"/>
  <c r="R202" i="12"/>
  <c r="R203" i="12"/>
  <c r="H25" i="1" s="1" a="1"/>
  <c r="H25" i="1" s="1"/>
  <c r="R204" i="12"/>
  <c r="R205" i="12"/>
  <c r="R206" i="12"/>
  <c r="R207" i="12"/>
  <c r="R208" i="12"/>
  <c r="R209" i="12"/>
  <c r="R210" i="12"/>
  <c r="R211" i="12"/>
  <c r="R212" i="12"/>
  <c r="R213" i="12"/>
  <c r="R214" i="12"/>
  <c r="R215" i="12"/>
  <c r="R216" i="12"/>
  <c r="R217" i="12"/>
  <c r="R218" i="12"/>
  <c r="R219" i="12"/>
  <c r="R220" i="12"/>
  <c r="R221" i="12"/>
  <c r="R222" i="12"/>
  <c r="R223" i="12"/>
  <c r="R224" i="12"/>
  <c r="R225" i="12"/>
  <c r="R226" i="12"/>
  <c r="R227" i="12"/>
  <c r="R228" i="12"/>
  <c r="R229" i="12"/>
  <c r="R230" i="12"/>
  <c r="R231" i="12"/>
  <c r="R232" i="12"/>
  <c r="R233" i="12"/>
  <c r="R234" i="12"/>
  <c r="R235" i="12"/>
  <c r="R236" i="12"/>
  <c r="R237" i="12"/>
  <c r="R238" i="12"/>
  <c r="R239" i="12"/>
  <c r="R240" i="12"/>
  <c r="R241" i="12"/>
  <c r="R242" i="12"/>
  <c r="R243" i="12"/>
  <c r="R244" i="12"/>
  <c r="R245" i="12"/>
  <c r="R246" i="12"/>
  <c r="R247" i="12"/>
  <c r="R248" i="12"/>
  <c r="R249" i="12"/>
  <c r="R250" i="12"/>
  <c r="R251" i="12"/>
  <c r="R252" i="12"/>
  <c r="R253" i="12"/>
  <c r="R254" i="12"/>
  <c r="R255" i="12"/>
  <c r="R256" i="12"/>
  <c r="R257" i="12"/>
  <c r="R258" i="12"/>
  <c r="R259" i="12"/>
  <c r="R260" i="12"/>
  <c r="R261" i="12"/>
  <c r="R262" i="12"/>
  <c r="R263" i="12"/>
  <c r="R264" i="12"/>
  <c r="R265" i="12"/>
  <c r="R266" i="12"/>
  <c r="R267" i="12"/>
  <c r="R268" i="12"/>
  <c r="R269" i="12"/>
  <c r="R270" i="12"/>
  <c r="R271" i="12"/>
  <c r="R272" i="12"/>
  <c r="R273" i="12"/>
  <c r="R274" i="12"/>
  <c r="H50" i="1" s="1" a="1"/>
  <c r="H50" i="1" s="1"/>
  <c r="R275" i="12"/>
  <c r="R276" i="12"/>
  <c r="R277" i="12"/>
  <c r="R278" i="12"/>
  <c r="R279" i="12"/>
  <c r="R280" i="12"/>
  <c r="R281" i="12"/>
  <c r="R282" i="12"/>
  <c r="R283" i="12"/>
  <c r="R284" i="12"/>
  <c r="R285" i="12"/>
  <c r="R286" i="12"/>
  <c r="R287" i="12"/>
  <c r="R288" i="12"/>
  <c r="R289" i="12"/>
  <c r="R290" i="12"/>
  <c r="R291" i="12"/>
  <c r="R292" i="12"/>
  <c r="R293" i="12"/>
  <c r="R294" i="12"/>
  <c r="R295" i="12"/>
  <c r="R296" i="12"/>
  <c r="R297" i="12"/>
  <c r="R298" i="12"/>
  <c r="R299" i="12"/>
  <c r="R300" i="12"/>
  <c r="R301" i="12"/>
  <c r="R2" i="12"/>
  <c r="I99" i="1" a="1"/>
  <c r="I99" i="1" s="1"/>
  <c r="I100" i="1" a="1"/>
  <c r="I100" i="1" s="1"/>
  <c r="I101" i="1" a="1"/>
  <c r="I101" i="1" s="1"/>
  <c r="I20" i="1" a="1"/>
  <c r="I20" i="1" s="1"/>
  <c r="I77" i="1" a="1"/>
  <c r="I77" i="1" s="1"/>
  <c r="I34" i="1" a="1"/>
  <c r="I34" i="1" s="1"/>
  <c r="I78" i="1" a="1"/>
  <c r="I78" i="1" s="1"/>
  <c r="I67" i="1" a="1"/>
  <c r="I67" i="1" s="1"/>
  <c r="I79" i="1" a="1"/>
  <c r="I79" i="1" s="1"/>
  <c r="I80" i="1" a="1"/>
  <c r="I80" i="1" s="1"/>
  <c r="I81" i="1" a="1"/>
  <c r="I81" i="1" s="1"/>
  <c r="I82" i="1" a="1"/>
  <c r="I82" i="1" s="1"/>
  <c r="I70" i="1" a="1"/>
  <c r="I70" i="1" s="1"/>
  <c r="I16" i="1" a="1"/>
  <c r="I16" i="1" s="1"/>
  <c r="I39" i="1" a="1"/>
  <c r="I39" i="1" s="1"/>
  <c r="I13" i="1" a="1"/>
  <c r="I13" i="1" s="1"/>
  <c r="I12" i="1" a="1"/>
  <c r="I12" i="1" s="1"/>
  <c r="I73" i="1" a="1"/>
  <c r="I73" i="1" s="1"/>
  <c r="I45" i="1" a="1"/>
  <c r="I45" i="1" s="1"/>
  <c r="I30" i="1" a="1"/>
  <c r="I30" i="1" s="1"/>
  <c r="I28" i="1" a="1"/>
  <c r="I28" i="1" s="1"/>
  <c r="I25" i="1" a="1"/>
  <c r="I25" i="1" s="1"/>
  <c r="I56" i="1" a="1"/>
  <c r="I56" i="1" s="1"/>
  <c r="I9" i="1" a="1"/>
  <c r="I9" i="1" s="1"/>
  <c r="I62" i="1" a="1"/>
  <c r="I62" i="1" s="1"/>
  <c r="I83" i="1" a="1"/>
  <c r="I83" i="1" s="1"/>
  <c r="I58" i="1" a="1"/>
  <c r="I58" i="1" s="1"/>
  <c r="I84" i="1" a="1"/>
  <c r="I84" i="1" s="1"/>
  <c r="I24" i="1" a="1"/>
  <c r="I24" i="1" s="1"/>
  <c r="I49" i="1" a="1"/>
  <c r="I49" i="1" s="1"/>
  <c r="I31" i="1" a="1"/>
  <c r="I31" i="1" s="1"/>
  <c r="I33" i="1" a="1"/>
  <c r="I33" i="1" s="1"/>
  <c r="I29" i="1" a="1"/>
  <c r="I29" i="1" s="1"/>
  <c r="I26" i="1" a="1"/>
  <c r="I26" i="1" s="1"/>
  <c r="I74" i="1" a="1"/>
  <c r="I74" i="1" s="1"/>
  <c r="I50" i="1" a="1"/>
  <c r="I50" i="1" s="1"/>
  <c r="I85" i="1" a="1"/>
  <c r="I85" i="1" s="1"/>
  <c r="I86" i="1" a="1"/>
  <c r="I86" i="1" s="1"/>
  <c r="I54" i="1" a="1"/>
  <c r="I54" i="1" s="1"/>
  <c r="I87" i="1" a="1"/>
  <c r="I87" i="1" s="1"/>
  <c r="I47" i="1" a="1"/>
  <c r="I47" i="1" s="1"/>
  <c r="I37" i="1" a="1"/>
  <c r="I37" i="1" s="1"/>
  <c r="I60" i="1" a="1"/>
  <c r="I60" i="1" s="1"/>
  <c r="I71" i="1" a="1"/>
  <c r="I71" i="1" s="1"/>
  <c r="I17" i="1" a="1"/>
  <c r="I17" i="1" s="1"/>
  <c r="I21" i="1" a="1"/>
  <c r="I21" i="1" s="1"/>
  <c r="I88" i="1" a="1"/>
  <c r="I88" i="1" s="1"/>
  <c r="I69" i="1" a="1"/>
  <c r="I69" i="1" s="1"/>
  <c r="I64" i="1" a="1"/>
  <c r="I64" i="1" s="1"/>
  <c r="I89" i="1" a="1"/>
  <c r="I89" i="1" s="1"/>
  <c r="I68" i="1" a="1"/>
  <c r="I68" i="1" s="1"/>
  <c r="I53" i="1" a="1"/>
  <c r="I53" i="1" s="1"/>
  <c r="I90" i="1" a="1"/>
  <c r="I90" i="1" s="1"/>
  <c r="I44" i="1" a="1"/>
  <c r="I44" i="1" s="1"/>
  <c r="I55" i="1" a="1"/>
  <c r="I55" i="1" s="1"/>
  <c r="I46" i="1" a="1"/>
  <c r="I46" i="1" s="1"/>
  <c r="I91" i="1" a="1"/>
  <c r="I91" i="1" s="1"/>
  <c r="I27" i="1" a="1"/>
  <c r="I27" i="1" s="1"/>
  <c r="I7" i="1" a="1"/>
  <c r="I7" i="1" s="1"/>
  <c r="I4" i="1" a="1"/>
  <c r="I4" i="1" s="1"/>
  <c r="I92" i="1" a="1"/>
  <c r="I92" i="1" s="1"/>
  <c r="I8" i="1" a="1"/>
  <c r="I8" i="1" s="1"/>
  <c r="I11" i="1" a="1"/>
  <c r="I11" i="1" s="1"/>
  <c r="I93" i="1" a="1"/>
  <c r="I93" i="1" s="1"/>
  <c r="I72" i="1" a="1"/>
  <c r="I72" i="1" s="1"/>
  <c r="I75" i="1" a="1"/>
  <c r="I75" i="1" s="1"/>
  <c r="I42" i="1" a="1"/>
  <c r="I42" i="1" s="1"/>
  <c r="I51" i="1" a="1"/>
  <c r="I51" i="1" s="1"/>
  <c r="I65" i="1" a="1"/>
  <c r="I65" i="1" s="1"/>
  <c r="I57" i="1" a="1"/>
  <c r="I57" i="1" s="1"/>
  <c r="I94" i="1" a="1"/>
  <c r="I94" i="1" s="1"/>
  <c r="I48" i="1" a="1"/>
  <c r="I48" i="1" s="1"/>
  <c r="I38" i="1" a="1"/>
  <c r="I38" i="1" s="1"/>
  <c r="I61" i="1" a="1"/>
  <c r="I61" i="1" s="1"/>
  <c r="I59" i="1" a="1"/>
  <c r="I59" i="1" s="1"/>
  <c r="I5" i="1" a="1"/>
  <c r="I5" i="1" s="1"/>
  <c r="I14" i="1" a="1"/>
  <c r="I14" i="1" s="1"/>
  <c r="I63" i="1" a="1"/>
  <c r="I63" i="1" s="1"/>
  <c r="I23" i="1" a="1"/>
  <c r="I23" i="1" s="1"/>
  <c r="I22" i="1" a="1"/>
  <c r="I22" i="1" s="1"/>
  <c r="I41" i="1" a="1"/>
  <c r="I41" i="1" s="1"/>
  <c r="I32" i="1" a="1"/>
  <c r="I32" i="1" s="1"/>
  <c r="I76" i="1" a="1"/>
  <c r="I76" i="1" s="1"/>
  <c r="I15" i="1" a="1"/>
  <c r="I15" i="1" s="1"/>
  <c r="I18" i="1" a="1"/>
  <c r="I18" i="1" s="1"/>
  <c r="I95" i="1" a="1"/>
  <c r="I95" i="1" s="1"/>
  <c r="I43" i="1" a="1"/>
  <c r="I43" i="1" s="1"/>
  <c r="I96" i="1" a="1"/>
  <c r="I96" i="1" s="1"/>
  <c r="I10" i="1" a="1"/>
  <c r="I10" i="1" s="1"/>
  <c r="I40" i="1" a="1"/>
  <c r="I40" i="1" s="1"/>
  <c r="I97" i="1" a="1"/>
  <c r="I97" i="1" s="1"/>
  <c r="I66" i="1" a="1"/>
  <c r="I66" i="1" s="1"/>
  <c r="I35" i="1" a="1"/>
  <c r="I35" i="1" s="1"/>
  <c r="I98" i="1" a="1"/>
  <c r="I98" i="1" s="1"/>
  <c r="I19" i="1" a="1"/>
  <c r="I19" i="1" s="1"/>
  <c r="I52" i="1" a="1"/>
  <c r="I52" i="1" s="1"/>
  <c r="I36" i="1" a="1"/>
  <c r="I36" i="1" s="1"/>
  <c r="I6" i="1" a="1"/>
  <c r="I6" i="1" s="1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36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F99" i="1" a="1"/>
  <c r="F99" i="1" s="1"/>
  <c r="F100" i="1" a="1"/>
  <c r="F100" i="1" s="1"/>
  <c r="F101" i="1" a="1"/>
  <c r="F101" i="1" s="1"/>
  <c r="F20" i="1" a="1"/>
  <c r="F20" i="1" s="1"/>
  <c r="F77" i="1" a="1"/>
  <c r="F77" i="1" s="1"/>
  <c r="F34" i="1" a="1"/>
  <c r="F34" i="1" s="1"/>
  <c r="F78" i="1" a="1"/>
  <c r="F78" i="1" s="1"/>
  <c r="F67" i="1" a="1"/>
  <c r="F67" i="1" s="1"/>
  <c r="F79" i="1" a="1"/>
  <c r="F79" i="1" s="1"/>
  <c r="F80" i="1" a="1"/>
  <c r="F80" i="1" s="1"/>
  <c r="F81" i="1" a="1"/>
  <c r="F81" i="1" s="1"/>
  <c r="F82" i="1" a="1"/>
  <c r="F82" i="1" s="1"/>
  <c r="F70" i="1" a="1"/>
  <c r="F70" i="1" s="1"/>
  <c r="F16" i="1" a="1"/>
  <c r="F16" i="1" s="1"/>
  <c r="F39" i="1" a="1"/>
  <c r="F39" i="1" s="1"/>
  <c r="F13" i="1" a="1"/>
  <c r="F13" i="1" s="1"/>
  <c r="F12" i="1" a="1"/>
  <c r="F12" i="1" s="1"/>
  <c r="F73" i="1" a="1"/>
  <c r="F73" i="1" s="1"/>
  <c r="F45" i="1" a="1"/>
  <c r="F45" i="1" s="1"/>
  <c r="F30" i="1" a="1"/>
  <c r="F30" i="1" s="1"/>
  <c r="F28" i="1" a="1"/>
  <c r="F28" i="1" s="1"/>
  <c r="F25" i="1" a="1"/>
  <c r="F25" i="1" s="1"/>
  <c r="F56" i="1" a="1"/>
  <c r="F56" i="1" s="1"/>
  <c r="F9" i="1" a="1"/>
  <c r="F9" i="1" s="1"/>
  <c r="F62" i="1" a="1"/>
  <c r="F62" i="1" s="1"/>
  <c r="F83" i="1" a="1"/>
  <c r="F83" i="1" s="1"/>
  <c r="F58" i="1" a="1"/>
  <c r="F58" i="1" s="1"/>
  <c r="F84" i="1" a="1"/>
  <c r="F84" i="1" s="1"/>
  <c r="F24" i="1" a="1"/>
  <c r="F24" i="1" s="1"/>
  <c r="F49" i="1" a="1"/>
  <c r="F49" i="1" s="1"/>
  <c r="F31" i="1" a="1"/>
  <c r="F31" i="1" s="1"/>
  <c r="F33" i="1" a="1"/>
  <c r="F33" i="1" s="1"/>
  <c r="F29" i="1" a="1"/>
  <c r="F29" i="1" s="1"/>
  <c r="F26" i="1" a="1"/>
  <c r="F26" i="1" s="1"/>
  <c r="F74" i="1" a="1"/>
  <c r="F74" i="1" s="1"/>
  <c r="F50" i="1" a="1"/>
  <c r="F50" i="1" s="1"/>
  <c r="F85" i="1" a="1"/>
  <c r="F85" i="1" s="1"/>
  <c r="F86" i="1" a="1"/>
  <c r="F86" i="1" s="1"/>
  <c r="F54" i="1" a="1"/>
  <c r="F54" i="1" s="1"/>
  <c r="F87" i="1" a="1"/>
  <c r="F87" i="1" s="1"/>
  <c r="F47" i="1" a="1"/>
  <c r="F47" i="1" s="1"/>
  <c r="F37" i="1" a="1"/>
  <c r="F37" i="1" s="1"/>
  <c r="F60" i="1" a="1"/>
  <c r="F60" i="1" s="1"/>
  <c r="F71" i="1" a="1"/>
  <c r="F71" i="1" s="1"/>
  <c r="F17" i="1" a="1"/>
  <c r="F17" i="1" s="1"/>
  <c r="F21" i="1" a="1"/>
  <c r="F21" i="1" s="1"/>
  <c r="F88" i="1" a="1"/>
  <c r="F88" i="1" s="1"/>
  <c r="F69" i="1" a="1"/>
  <c r="F69" i="1" s="1"/>
  <c r="F64" i="1" a="1"/>
  <c r="F64" i="1" s="1"/>
  <c r="F89" i="1" a="1"/>
  <c r="F89" i="1" s="1"/>
  <c r="F68" i="1" a="1"/>
  <c r="F68" i="1" s="1"/>
  <c r="F53" i="1" a="1"/>
  <c r="F53" i="1" s="1"/>
  <c r="F90" i="1" a="1"/>
  <c r="F90" i="1" s="1"/>
  <c r="F44" i="1" a="1"/>
  <c r="F44" i="1" s="1"/>
  <c r="F55" i="1" a="1"/>
  <c r="F55" i="1" s="1"/>
  <c r="F46" i="1" a="1"/>
  <c r="F46" i="1" s="1"/>
  <c r="F91" i="1" a="1"/>
  <c r="F91" i="1" s="1"/>
  <c r="F27" i="1" a="1"/>
  <c r="F27" i="1" s="1"/>
  <c r="F7" i="1" a="1"/>
  <c r="F7" i="1" s="1"/>
  <c r="F4" i="1" a="1"/>
  <c r="F4" i="1" s="1"/>
  <c r="F92" i="1" a="1"/>
  <c r="F92" i="1" s="1"/>
  <c r="F8" i="1" a="1"/>
  <c r="F8" i="1" s="1"/>
  <c r="F11" i="1" a="1"/>
  <c r="F11" i="1" s="1"/>
  <c r="F93" i="1" a="1"/>
  <c r="F93" i="1" s="1"/>
  <c r="F72" i="1" a="1"/>
  <c r="F72" i="1" s="1"/>
  <c r="F75" i="1" a="1"/>
  <c r="F75" i="1" s="1"/>
  <c r="F42" i="1" a="1"/>
  <c r="F42" i="1" s="1"/>
  <c r="F51" i="1" a="1"/>
  <c r="F51" i="1" s="1"/>
  <c r="F65" i="1" a="1"/>
  <c r="F65" i="1" s="1"/>
  <c r="F57" i="1" a="1"/>
  <c r="F57" i="1" s="1"/>
  <c r="F94" i="1" a="1"/>
  <c r="F94" i="1" s="1"/>
  <c r="F48" i="1" a="1"/>
  <c r="F48" i="1" s="1"/>
  <c r="F38" i="1" a="1"/>
  <c r="F38" i="1" s="1"/>
  <c r="F61" i="1" a="1"/>
  <c r="F61" i="1" s="1"/>
  <c r="F59" i="1" a="1"/>
  <c r="F59" i="1" s="1"/>
  <c r="F5" i="1" a="1"/>
  <c r="F5" i="1" s="1"/>
  <c r="F14" i="1" a="1"/>
  <c r="F14" i="1" s="1"/>
  <c r="F63" i="1" a="1"/>
  <c r="F63" i="1" s="1"/>
  <c r="F23" i="1" a="1"/>
  <c r="F23" i="1" s="1"/>
  <c r="F22" i="1" a="1"/>
  <c r="F22" i="1" s="1"/>
  <c r="F41" i="1" a="1"/>
  <c r="F41" i="1" s="1"/>
  <c r="F32" i="1" a="1"/>
  <c r="F32" i="1" s="1"/>
  <c r="F76" i="1" a="1"/>
  <c r="F76" i="1" s="1"/>
  <c r="F15" i="1" a="1"/>
  <c r="F15" i="1" s="1"/>
  <c r="F18" i="1" a="1"/>
  <c r="F18" i="1" s="1"/>
  <c r="F95" i="1" a="1"/>
  <c r="F95" i="1" s="1"/>
  <c r="F43" i="1" a="1"/>
  <c r="F43" i="1" s="1"/>
  <c r="F96" i="1" a="1"/>
  <c r="F96" i="1" s="1"/>
  <c r="F10" i="1" a="1"/>
  <c r="F10" i="1" s="1"/>
  <c r="F40" i="1" a="1"/>
  <c r="F40" i="1" s="1"/>
  <c r="F97" i="1" a="1"/>
  <c r="F97" i="1" s="1"/>
  <c r="F66" i="1" a="1"/>
  <c r="F66" i="1" s="1"/>
  <c r="F35" i="1" a="1"/>
  <c r="F35" i="1" s="1"/>
  <c r="F98" i="1" a="1"/>
  <c r="F98" i="1" s="1"/>
  <c r="F19" i="1" a="1"/>
  <c r="F19" i="1" s="1"/>
  <c r="F52" i="1" a="1"/>
  <c r="F52" i="1" s="1"/>
  <c r="F36" i="1" a="1"/>
  <c r="F36" i="1" s="1"/>
  <c r="F6" i="1" a="1"/>
  <c r="F6" i="1" s="1"/>
  <c r="Q109" i="13"/>
  <c r="Q110" i="13"/>
  <c r="Q111" i="13"/>
  <c r="Q112" i="13"/>
  <c r="Q113" i="13"/>
  <c r="Q114" i="13"/>
  <c r="Q115" i="13"/>
  <c r="Q116" i="13"/>
  <c r="Q117" i="13"/>
  <c r="Q118" i="13"/>
  <c r="Q119" i="13"/>
  <c r="Q120" i="13"/>
  <c r="Q121" i="13"/>
  <c r="Q122" i="13"/>
  <c r="Q123" i="13"/>
  <c r="Q124" i="13"/>
  <c r="Q125" i="13"/>
  <c r="Q126" i="13"/>
  <c r="Q127" i="13"/>
  <c r="Q128" i="13"/>
  <c r="Q129" i="13"/>
  <c r="Q130" i="13"/>
  <c r="Q131" i="13"/>
  <c r="Q132" i="13"/>
  <c r="Q133" i="13"/>
  <c r="Q134" i="13"/>
  <c r="Q135" i="13"/>
  <c r="Q136" i="13"/>
  <c r="Q137" i="13"/>
  <c r="Q138" i="13"/>
  <c r="Q139" i="13"/>
  <c r="Q140" i="13"/>
  <c r="Q141" i="13"/>
  <c r="Q142" i="13"/>
  <c r="Q143" i="13"/>
  <c r="Q144" i="13"/>
  <c r="Q145" i="13"/>
  <c r="Q146" i="13"/>
  <c r="Q147" i="13"/>
  <c r="Q148" i="13"/>
  <c r="Q149" i="13"/>
  <c r="Q150" i="13"/>
  <c r="Q151" i="13"/>
  <c r="Q152" i="13"/>
  <c r="Q153" i="13"/>
  <c r="Q154" i="13"/>
  <c r="Q155" i="13"/>
  <c r="Q156" i="13"/>
  <c r="Q157" i="13"/>
  <c r="Q158" i="13"/>
  <c r="Q159" i="13"/>
  <c r="Q160" i="13"/>
  <c r="Q161" i="13"/>
  <c r="Q162" i="13"/>
  <c r="Q163" i="13"/>
  <c r="Q164" i="13"/>
  <c r="Q165" i="13"/>
  <c r="Q166" i="13"/>
  <c r="Q167" i="13"/>
  <c r="Q168" i="13"/>
  <c r="Q169" i="13"/>
  <c r="Q170" i="13"/>
  <c r="Q171" i="13"/>
  <c r="Q172" i="13"/>
  <c r="Q173" i="13"/>
  <c r="Q174" i="13"/>
  <c r="Q175" i="13"/>
  <c r="Q176" i="13"/>
  <c r="Q177" i="13"/>
  <c r="Q178" i="13"/>
  <c r="Q108" i="13"/>
  <c r="Q107" i="13"/>
  <c r="E99" i="1" a="1"/>
  <c r="E99" i="1" s="1"/>
  <c r="E100" i="1" a="1"/>
  <c r="E100" i="1" s="1"/>
  <c r="E101" i="1" a="1"/>
  <c r="E101" i="1" s="1"/>
  <c r="E20" i="1" a="1"/>
  <c r="E20" i="1" s="1"/>
  <c r="E77" i="1" a="1"/>
  <c r="E77" i="1" s="1"/>
  <c r="E34" i="1" a="1"/>
  <c r="E34" i="1" s="1"/>
  <c r="E78" i="1" a="1"/>
  <c r="E78" i="1" s="1"/>
  <c r="E67" i="1" a="1"/>
  <c r="E67" i="1" s="1"/>
  <c r="E79" i="1" a="1"/>
  <c r="E79" i="1" s="1"/>
  <c r="E80" i="1" a="1"/>
  <c r="E80" i="1" s="1"/>
  <c r="E81" i="1" a="1"/>
  <c r="E81" i="1" s="1"/>
  <c r="E82" i="1" a="1"/>
  <c r="E82" i="1" s="1"/>
  <c r="E70" i="1" a="1"/>
  <c r="E70" i="1" s="1"/>
  <c r="E39" i="1" a="1"/>
  <c r="E39" i="1" s="1"/>
  <c r="E73" i="1" a="1"/>
  <c r="E73" i="1" s="1"/>
  <c r="E45" i="1" a="1"/>
  <c r="E45" i="1" s="1"/>
  <c r="E30" i="1" a="1"/>
  <c r="E30" i="1" s="1"/>
  <c r="E28" i="1" a="1"/>
  <c r="E28" i="1" s="1"/>
  <c r="E56" i="1" a="1"/>
  <c r="E56" i="1" s="1"/>
  <c r="E62" i="1" a="1"/>
  <c r="E62" i="1" s="1"/>
  <c r="E83" i="1" a="1"/>
  <c r="E83" i="1" s="1"/>
  <c r="E58" i="1" a="1"/>
  <c r="E58" i="1" s="1"/>
  <c r="E84" i="1" a="1"/>
  <c r="E84" i="1" s="1"/>
  <c r="E24" i="1" a="1"/>
  <c r="E24" i="1" s="1"/>
  <c r="E31" i="1" a="1"/>
  <c r="E31" i="1" s="1"/>
  <c r="E29" i="1" a="1"/>
  <c r="E29" i="1" s="1"/>
  <c r="E26" i="1" a="1"/>
  <c r="E26" i="1" s="1"/>
  <c r="E74" i="1" a="1"/>
  <c r="E74" i="1" s="1"/>
  <c r="E50" i="1" a="1"/>
  <c r="E50" i="1" s="1"/>
  <c r="E85" i="1" a="1"/>
  <c r="E85" i="1" s="1"/>
  <c r="E86" i="1" a="1"/>
  <c r="E86" i="1" s="1"/>
  <c r="E54" i="1" a="1"/>
  <c r="E54" i="1" s="1"/>
  <c r="E87" i="1" a="1"/>
  <c r="E87" i="1" s="1"/>
  <c r="E37" i="1" a="1"/>
  <c r="E37" i="1" s="1"/>
  <c r="E60" i="1" a="1"/>
  <c r="E60" i="1" s="1"/>
  <c r="E71" i="1" a="1"/>
  <c r="E71" i="1" s="1"/>
  <c r="E88" i="1" a="1"/>
  <c r="E88" i="1" s="1"/>
  <c r="E69" i="1" a="1"/>
  <c r="E69" i="1" s="1"/>
  <c r="E64" i="1" a="1"/>
  <c r="E64" i="1" s="1"/>
  <c r="E89" i="1" a="1"/>
  <c r="E89" i="1" s="1"/>
  <c r="E68" i="1" a="1"/>
  <c r="E68" i="1" s="1"/>
  <c r="E53" i="1" a="1"/>
  <c r="E53" i="1" s="1"/>
  <c r="E90" i="1" a="1"/>
  <c r="E90" i="1" s="1"/>
  <c r="E55" i="1" a="1"/>
  <c r="E55" i="1" s="1"/>
  <c r="E91" i="1" a="1"/>
  <c r="E91" i="1" s="1"/>
  <c r="E27" i="1" a="1"/>
  <c r="E27" i="1" s="1"/>
  <c r="E7" i="1" a="1"/>
  <c r="E7" i="1" s="1"/>
  <c r="E4" i="1" a="1"/>
  <c r="E4" i="1" s="1"/>
  <c r="E92" i="1" a="1"/>
  <c r="E92" i="1" s="1"/>
  <c r="E11" i="1" a="1"/>
  <c r="E11" i="1" s="1"/>
  <c r="E93" i="1" a="1"/>
  <c r="E93" i="1" s="1"/>
  <c r="E72" i="1" a="1"/>
  <c r="E72" i="1" s="1"/>
  <c r="E75" i="1" a="1"/>
  <c r="E75" i="1" s="1"/>
  <c r="E51" i="1" a="1"/>
  <c r="E51" i="1" s="1"/>
  <c r="E65" i="1" a="1"/>
  <c r="E65" i="1" s="1"/>
  <c r="E57" i="1" a="1"/>
  <c r="E57" i="1" s="1"/>
  <c r="E94" i="1" a="1"/>
  <c r="E94" i="1" s="1"/>
  <c r="E48" i="1" a="1"/>
  <c r="E48" i="1" s="1"/>
  <c r="E38" i="1" a="1"/>
  <c r="E38" i="1" s="1"/>
  <c r="E61" i="1" a="1"/>
  <c r="E61" i="1" s="1"/>
  <c r="E59" i="1" a="1"/>
  <c r="E59" i="1" s="1"/>
  <c r="E63" i="1" a="1"/>
  <c r="E63" i="1" s="1"/>
  <c r="E23" i="1" a="1"/>
  <c r="E23" i="1" s="1"/>
  <c r="E22" i="1" a="1"/>
  <c r="E22" i="1" s="1"/>
  <c r="E32" i="1" a="1"/>
  <c r="E32" i="1" s="1"/>
  <c r="E76" i="1" a="1"/>
  <c r="E76" i="1" s="1"/>
  <c r="E15" i="1" a="1"/>
  <c r="E15" i="1" s="1"/>
  <c r="E18" i="1" a="1"/>
  <c r="E18" i="1" s="1"/>
  <c r="E95" i="1" a="1"/>
  <c r="E95" i="1" s="1"/>
  <c r="E43" i="1" a="1"/>
  <c r="E43" i="1" s="1"/>
  <c r="E96" i="1" a="1"/>
  <c r="E96" i="1" s="1"/>
  <c r="E40" i="1" a="1"/>
  <c r="E40" i="1" s="1"/>
  <c r="E97" i="1" a="1"/>
  <c r="E97" i="1" s="1"/>
  <c r="E66" i="1" a="1"/>
  <c r="E66" i="1" s="1"/>
  <c r="E35" i="1" a="1"/>
  <c r="E35" i="1" s="1"/>
  <c r="E98" i="1" a="1"/>
  <c r="E98" i="1" s="1"/>
  <c r="E19" i="1" a="1"/>
  <c r="E19" i="1" s="1"/>
  <c r="E52" i="1" a="1"/>
  <c r="E52" i="1" s="1"/>
  <c r="E6" i="1" a="1"/>
  <c r="E6" i="1" s="1"/>
  <c r="Q129" i="4"/>
  <c r="E33" i="1" s="1" a="1"/>
  <c r="E33" i="1" s="1"/>
  <c r="Q130" i="4"/>
  <c r="Q131" i="4"/>
  <c r="Q132" i="4"/>
  <c r="Q133" i="4"/>
  <c r="Q134" i="4"/>
  <c r="E14" i="1" s="1" a="1"/>
  <c r="E14" i="1" s="1"/>
  <c r="Q135" i="4"/>
  <c r="Q136" i="4"/>
  <c r="Q137" i="4"/>
  <c r="Q138" i="4"/>
  <c r="Q139" i="4"/>
  <c r="Q140" i="4"/>
  <c r="Q141" i="4"/>
  <c r="E36" i="1" s="1" a="1"/>
  <c r="E36" i="1" s="1"/>
  <c r="Q142" i="4"/>
  <c r="Q143" i="4"/>
  <c r="Q144" i="4"/>
  <c r="Q145" i="4"/>
  <c r="E9" i="1" s="1" a="1"/>
  <c r="E9" i="1" s="1"/>
  <c r="Q146" i="4"/>
  <c r="Q147" i="4"/>
  <c r="Q148" i="4"/>
  <c r="Q149" i="4"/>
  <c r="Q150" i="4"/>
  <c r="Q151" i="4"/>
  <c r="Q152" i="4"/>
  <c r="Q153" i="4"/>
  <c r="E17" i="1" s="1" a="1"/>
  <c r="E17" i="1" s="1"/>
  <c r="Q154" i="4"/>
  <c r="Q155" i="4"/>
  <c r="Q156" i="4"/>
  <c r="Q157" i="4"/>
  <c r="Q158" i="4"/>
  <c r="Q159" i="4"/>
  <c r="Q160" i="4"/>
  <c r="Q161" i="4"/>
  <c r="E41" i="1" s="1" a="1"/>
  <c r="E41" i="1" s="1"/>
  <c r="Q162" i="4"/>
  <c r="E42" i="1" s="1" a="1"/>
  <c r="E42" i="1" s="1"/>
  <c r="Q163" i="4"/>
  <c r="Q164" i="4"/>
  <c r="Q165" i="4"/>
  <c r="Q166" i="4"/>
  <c r="Q167" i="4"/>
  <c r="Q168" i="4"/>
  <c r="Q169" i="4"/>
  <c r="Q170" i="4"/>
  <c r="Q171" i="4"/>
  <c r="E46" i="1" s="1" a="1"/>
  <c r="E46" i="1" s="1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E49" i="1" s="1" a="1"/>
  <c r="E49" i="1" s="1"/>
  <c r="Q210" i="4"/>
  <c r="Q211" i="4"/>
  <c r="Q212" i="4"/>
  <c r="E25" i="1" s="1" a="1"/>
  <c r="E25" i="1" s="1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128" i="4"/>
  <c r="Q3" i="4"/>
  <c r="Q4" i="4"/>
  <c r="E5" i="1" s="1" a="1"/>
  <c r="E5" i="1" s="1"/>
  <c r="Q5" i="4"/>
  <c r="Q6" i="4"/>
  <c r="Q7" i="4"/>
  <c r="Q8" i="4"/>
  <c r="Q9" i="4"/>
  <c r="Q10" i="4"/>
  <c r="Q11" i="4"/>
  <c r="Q12" i="4"/>
  <c r="Q13" i="4"/>
  <c r="Q14" i="4"/>
  <c r="E8" i="1" s="1" a="1"/>
  <c r="E8" i="1" s="1"/>
  <c r="Q15" i="4"/>
  <c r="Q16" i="4"/>
  <c r="Q17" i="4"/>
  <c r="Q18" i="4"/>
  <c r="Q19" i="4"/>
  <c r="Q20" i="4"/>
  <c r="Q21" i="4"/>
  <c r="E13" i="1" s="1" a="1"/>
  <c r="E13" i="1" s="1"/>
  <c r="Q22" i="4"/>
  <c r="Q23" i="4"/>
  <c r="Q24" i="4"/>
  <c r="Q25" i="4"/>
  <c r="Q26" i="4"/>
  <c r="Q27" i="4"/>
  <c r="E10" i="1" s="1" a="1"/>
  <c r="E10" i="1" s="1"/>
  <c r="Q28" i="4"/>
  <c r="E12" i="1" s="1" a="1"/>
  <c r="E12" i="1" s="1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E16" i="1" s="1" a="1"/>
  <c r="E16" i="1" s="1"/>
  <c r="Q67" i="4"/>
  <c r="Q68" i="4"/>
  <c r="Q69" i="4"/>
  <c r="Q70" i="4"/>
  <c r="Q71" i="4"/>
  <c r="Q72" i="4"/>
  <c r="Q73" i="4"/>
  <c r="Q74" i="4"/>
  <c r="Q75" i="4"/>
  <c r="Q76" i="4"/>
  <c r="Q77" i="4"/>
  <c r="E44" i="1" s="1" a="1"/>
  <c r="E44" i="1" s="1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E21" i="1" s="1" a="1"/>
  <c r="E21" i="1" s="1"/>
  <c r="Q101" i="4"/>
  <c r="Q102" i="4"/>
  <c r="Q103" i="4"/>
  <c r="Q104" i="4"/>
  <c r="E47" i="1" s="1" a="1"/>
  <c r="E47" i="1" s="1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2" i="4"/>
  <c r="P5" i="16"/>
  <c r="P6" i="16"/>
  <c r="P7" i="16"/>
  <c r="P8" i="16"/>
  <c r="D11" i="1" s="1" a="1"/>
  <c r="D11" i="1" s="1"/>
  <c r="P9" i="16"/>
  <c r="D34" i="1" s="1" a="1"/>
  <c r="D34" i="1" s="1"/>
  <c r="P10" i="16"/>
  <c r="P11" i="16"/>
  <c r="P12" i="16"/>
  <c r="P13" i="16"/>
  <c r="P14" i="16"/>
  <c r="P15" i="16"/>
  <c r="P16" i="16"/>
  <c r="D7" i="1" s="1" a="1"/>
  <c r="D7" i="1" s="1"/>
  <c r="P17" i="16"/>
  <c r="P18" i="16"/>
  <c r="P19" i="16"/>
  <c r="P20" i="16"/>
  <c r="P21" i="16"/>
  <c r="P22" i="16"/>
  <c r="P23" i="16"/>
  <c r="P24" i="16"/>
  <c r="P25" i="16"/>
  <c r="P26" i="16"/>
  <c r="D12" i="1" s="1" a="1"/>
  <c r="D12" i="1" s="1"/>
  <c r="P27" i="16"/>
  <c r="P28" i="16"/>
  <c r="D9" i="1" s="1" a="1"/>
  <c r="D9" i="1" s="1"/>
  <c r="P29" i="16"/>
  <c r="P30" i="16"/>
  <c r="P31" i="16"/>
  <c r="D15" i="1" s="1" a="1"/>
  <c r="D15" i="1" s="1"/>
  <c r="P32" i="16"/>
  <c r="P33" i="16"/>
  <c r="P34" i="16"/>
  <c r="P35" i="16"/>
  <c r="P36" i="16"/>
  <c r="P37" i="16"/>
  <c r="P38" i="16"/>
  <c r="P39" i="16"/>
  <c r="P40" i="16"/>
  <c r="P41" i="16"/>
  <c r="D16" i="1" s="1" a="1"/>
  <c r="D16" i="1" s="1"/>
  <c r="P42" i="16"/>
  <c r="P43" i="16"/>
  <c r="P44" i="16"/>
  <c r="P46" i="16"/>
  <c r="P47" i="16"/>
  <c r="P48" i="16"/>
  <c r="P49" i="16"/>
  <c r="D26" i="1" s="1" a="1"/>
  <c r="D26" i="1" s="1"/>
  <c r="P50" i="16"/>
  <c r="D23" i="1" s="1" a="1"/>
  <c r="D23" i="1" s="1"/>
  <c r="P51" i="16"/>
  <c r="P52" i="16"/>
  <c r="P53" i="16"/>
  <c r="D25" i="1" s="1" a="1"/>
  <c r="D25" i="1" s="1"/>
  <c r="P54" i="16"/>
  <c r="P56" i="16"/>
  <c r="P57" i="16"/>
  <c r="P58" i="16"/>
  <c r="P59" i="16"/>
  <c r="P2" i="16"/>
  <c r="P3" i="16"/>
  <c r="P4" i="16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46" i="10"/>
  <c r="N145" i="10"/>
  <c r="N146" i="10"/>
  <c r="N147" i="10"/>
  <c r="R368" i="14"/>
  <c r="S367" i="14"/>
  <c r="R367" i="14"/>
  <c r="R184" i="14"/>
  <c r="R185" i="14"/>
  <c r="R186" i="14"/>
  <c r="R187" i="14"/>
  <c r="R188" i="14"/>
  <c r="R189" i="14"/>
  <c r="R190" i="14"/>
  <c r="R191" i="14"/>
  <c r="R192" i="14"/>
  <c r="R193" i="14"/>
  <c r="R194" i="14"/>
  <c r="R195" i="14"/>
  <c r="R196" i="14"/>
  <c r="R197" i="14"/>
  <c r="R198" i="14"/>
  <c r="R199" i="14"/>
  <c r="R200" i="14"/>
  <c r="R201" i="14"/>
  <c r="R202" i="14"/>
  <c r="R203" i="14"/>
  <c r="R204" i="14"/>
  <c r="R205" i="14"/>
  <c r="R206" i="14"/>
  <c r="R207" i="14"/>
  <c r="R208" i="14"/>
  <c r="R209" i="14"/>
  <c r="R210" i="14"/>
  <c r="R211" i="14"/>
  <c r="R212" i="14"/>
  <c r="R213" i="14"/>
  <c r="R214" i="14"/>
  <c r="R215" i="14"/>
  <c r="R216" i="14"/>
  <c r="R217" i="14"/>
  <c r="R218" i="14"/>
  <c r="R219" i="14"/>
  <c r="R220" i="14"/>
  <c r="R221" i="14"/>
  <c r="R222" i="14"/>
  <c r="R223" i="14"/>
  <c r="R224" i="14"/>
  <c r="R225" i="14"/>
  <c r="R226" i="14"/>
  <c r="R227" i="14"/>
  <c r="R228" i="14"/>
  <c r="R229" i="14"/>
  <c r="R230" i="14"/>
  <c r="R231" i="14"/>
  <c r="R232" i="14"/>
  <c r="R233" i="14"/>
  <c r="R234" i="14"/>
  <c r="R235" i="14"/>
  <c r="R236" i="14"/>
  <c r="R237" i="14"/>
  <c r="R238" i="14"/>
  <c r="R239" i="14"/>
  <c r="R240" i="14"/>
  <c r="R241" i="14"/>
  <c r="R242" i="14"/>
  <c r="R243" i="14"/>
  <c r="R244" i="14"/>
  <c r="R245" i="14"/>
  <c r="R246" i="14"/>
  <c r="R247" i="14"/>
  <c r="R248" i="14"/>
  <c r="R249" i="14"/>
  <c r="R250" i="14"/>
  <c r="R251" i="14"/>
  <c r="R252" i="14"/>
  <c r="R253" i="14"/>
  <c r="R254" i="14"/>
  <c r="R255" i="14"/>
  <c r="R256" i="14"/>
  <c r="R257" i="14"/>
  <c r="R258" i="14"/>
  <c r="R259" i="14"/>
  <c r="R260" i="14"/>
  <c r="R261" i="14"/>
  <c r="R262" i="14"/>
  <c r="R263" i="14"/>
  <c r="R264" i="14"/>
  <c r="R265" i="14"/>
  <c r="R266" i="14"/>
  <c r="R267" i="14"/>
  <c r="R268" i="14"/>
  <c r="R269" i="14"/>
  <c r="R270" i="14"/>
  <c r="R271" i="14"/>
  <c r="R272" i="14"/>
  <c r="R273" i="14"/>
  <c r="R274" i="14"/>
  <c r="R275" i="14"/>
  <c r="R276" i="14"/>
  <c r="R277" i="14"/>
  <c r="R278" i="14"/>
  <c r="R279" i="14"/>
  <c r="R280" i="14"/>
  <c r="R281" i="14"/>
  <c r="R282" i="14"/>
  <c r="R283" i="14"/>
  <c r="R284" i="14"/>
  <c r="R285" i="14"/>
  <c r="R286" i="14"/>
  <c r="R287" i="14"/>
  <c r="R288" i="14"/>
  <c r="R289" i="14"/>
  <c r="R290" i="14"/>
  <c r="R291" i="14"/>
  <c r="R292" i="14"/>
  <c r="R293" i="14"/>
  <c r="R294" i="14"/>
  <c r="R295" i="14"/>
  <c r="R296" i="14"/>
  <c r="R297" i="14"/>
  <c r="R298" i="14"/>
  <c r="R299" i="14"/>
  <c r="R300" i="14"/>
  <c r="R301" i="14"/>
  <c r="R302" i="14"/>
  <c r="R303" i="14"/>
  <c r="R304" i="14"/>
  <c r="R305" i="14"/>
  <c r="R306" i="14"/>
  <c r="R307" i="14"/>
  <c r="R308" i="14"/>
  <c r="R309" i="14"/>
  <c r="R310" i="14"/>
  <c r="R311" i="14"/>
  <c r="R312" i="14"/>
  <c r="R313" i="14"/>
  <c r="R314" i="14"/>
  <c r="R315" i="14"/>
  <c r="R316" i="14"/>
  <c r="R317" i="14"/>
  <c r="R318" i="14"/>
  <c r="R319" i="14"/>
  <c r="R320" i="14"/>
  <c r="R321" i="14"/>
  <c r="R322" i="14"/>
  <c r="R323" i="14"/>
  <c r="R324" i="14"/>
  <c r="R325" i="14"/>
  <c r="R326" i="14"/>
  <c r="R327" i="14"/>
  <c r="R328" i="14"/>
  <c r="R329" i="14"/>
  <c r="R330" i="14"/>
  <c r="R331" i="14"/>
  <c r="R332" i="14"/>
  <c r="R333" i="14"/>
  <c r="R334" i="14"/>
  <c r="R335" i="14"/>
  <c r="R336" i="14"/>
  <c r="R337" i="14"/>
  <c r="R338" i="14"/>
  <c r="R339" i="14"/>
  <c r="R340" i="14"/>
  <c r="R341" i="14"/>
  <c r="R342" i="14"/>
  <c r="R343" i="14"/>
  <c r="R344" i="14"/>
  <c r="R345" i="14"/>
  <c r="R346" i="14"/>
  <c r="R347" i="14"/>
  <c r="R348" i="14"/>
  <c r="R349" i="14"/>
  <c r="R350" i="14"/>
  <c r="R351" i="14"/>
  <c r="R352" i="14"/>
  <c r="R353" i="14"/>
  <c r="R354" i="14"/>
  <c r="R355" i="14"/>
  <c r="R356" i="14"/>
  <c r="R357" i="14"/>
  <c r="R358" i="14"/>
  <c r="R359" i="14"/>
  <c r="R183" i="14"/>
  <c r="R3" i="14"/>
  <c r="R4" i="14"/>
  <c r="R5" i="14"/>
  <c r="R6" i="14"/>
  <c r="R7" i="14"/>
  <c r="R8" i="14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R38" i="14"/>
  <c r="R39" i="14"/>
  <c r="R40" i="14"/>
  <c r="R41" i="14"/>
  <c r="R42" i="14"/>
  <c r="R43" i="14"/>
  <c r="R44" i="14"/>
  <c r="R45" i="14"/>
  <c r="R46" i="14"/>
  <c r="R47" i="14"/>
  <c r="R48" i="14"/>
  <c r="R49" i="14"/>
  <c r="R50" i="14"/>
  <c r="R51" i="14"/>
  <c r="R52" i="14"/>
  <c r="R53" i="14"/>
  <c r="R54" i="14"/>
  <c r="R55" i="14"/>
  <c r="R56" i="14"/>
  <c r="R57" i="14"/>
  <c r="R58" i="14"/>
  <c r="R59" i="14"/>
  <c r="R60" i="14"/>
  <c r="R61" i="14"/>
  <c r="R62" i="14"/>
  <c r="R63" i="14"/>
  <c r="R64" i="14"/>
  <c r="R65" i="14"/>
  <c r="R66" i="14"/>
  <c r="R67" i="14"/>
  <c r="R68" i="14"/>
  <c r="R69" i="14"/>
  <c r="R70" i="14"/>
  <c r="R71" i="14"/>
  <c r="R72" i="14"/>
  <c r="R73" i="14"/>
  <c r="R74" i="14"/>
  <c r="R75" i="14"/>
  <c r="R76" i="14"/>
  <c r="R77" i="14"/>
  <c r="R78" i="14"/>
  <c r="R79" i="14"/>
  <c r="R80" i="14"/>
  <c r="R81" i="14"/>
  <c r="R82" i="14"/>
  <c r="R83" i="14"/>
  <c r="R84" i="14"/>
  <c r="R85" i="14"/>
  <c r="R86" i="14"/>
  <c r="R87" i="14"/>
  <c r="R88" i="14"/>
  <c r="R89" i="14"/>
  <c r="R90" i="14"/>
  <c r="R91" i="14"/>
  <c r="R92" i="14"/>
  <c r="R93" i="14"/>
  <c r="R94" i="14"/>
  <c r="R95" i="14"/>
  <c r="R96" i="14"/>
  <c r="R97" i="14"/>
  <c r="R98" i="14"/>
  <c r="R99" i="14"/>
  <c r="R100" i="14"/>
  <c r="R101" i="14"/>
  <c r="R102" i="14"/>
  <c r="R103" i="14"/>
  <c r="R104" i="14"/>
  <c r="R105" i="14"/>
  <c r="R106" i="14"/>
  <c r="R107" i="14"/>
  <c r="R108" i="14"/>
  <c r="R109" i="14"/>
  <c r="R110" i="14"/>
  <c r="R111" i="14"/>
  <c r="R112" i="14"/>
  <c r="R113" i="14"/>
  <c r="R114" i="14"/>
  <c r="R115" i="14"/>
  <c r="R116" i="14"/>
  <c r="R117" i="14"/>
  <c r="R118" i="14"/>
  <c r="R119" i="14"/>
  <c r="R120" i="14"/>
  <c r="R121" i="14"/>
  <c r="R122" i="14"/>
  <c r="R123" i="14"/>
  <c r="R124" i="14"/>
  <c r="R125" i="14"/>
  <c r="R126" i="14"/>
  <c r="R127" i="14"/>
  <c r="R128" i="14"/>
  <c r="R129" i="14"/>
  <c r="R130" i="14"/>
  <c r="R131" i="14"/>
  <c r="R132" i="14"/>
  <c r="R133" i="14"/>
  <c r="R134" i="14"/>
  <c r="R135" i="14"/>
  <c r="R136" i="14"/>
  <c r="R137" i="14"/>
  <c r="R138" i="14"/>
  <c r="R139" i="14"/>
  <c r="R140" i="14"/>
  <c r="R141" i="14"/>
  <c r="R142" i="14"/>
  <c r="R143" i="14"/>
  <c r="R144" i="14"/>
  <c r="R145" i="14"/>
  <c r="R146" i="14"/>
  <c r="R147" i="14"/>
  <c r="R148" i="14"/>
  <c r="R149" i="14"/>
  <c r="R150" i="14"/>
  <c r="R151" i="14"/>
  <c r="R152" i="14"/>
  <c r="R153" i="14"/>
  <c r="R154" i="14"/>
  <c r="R155" i="14"/>
  <c r="R156" i="14"/>
  <c r="R157" i="14"/>
  <c r="R158" i="14"/>
  <c r="R159" i="14"/>
  <c r="R160" i="14"/>
  <c r="R161" i="14"/>
  <c r="R162" i="14"/>
  <c r="R163" i="14"/>
  <c r="R164" i="14"/>
  <c r="R165" i="14"/>
  <c r="R166" i="14"/>
  <c r="R167" i="14"/>
  <c r="R168" i="14"/>
  <c r="R169" i="14"/>
  <c r="R170" i="14"/>
  <c r="R171" i="14"/>
  <c r="R172" i="14"/>
  <c r="R173" i="14"/>
  <c r="R174" i="14"/>
  <c r="R175" i="14"/>
  <c r="R176" i="14"/>
  <c r="R177" i="14"/>
  <c r="R178" i="14"/>
  <c r="R179" i="14"/>
  <c r="R2" i="14"/>
  <c r="E312" i="14"/>
  <c r="Q312" i="14"/>
  <c r="Q362" i="14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Q97" i="13"/>
  <c r="Q98" i="13"/>
  <c r="Q99" i="13"/>
  <c r="Q100" i="13"/>
  <c r="Q101" i="13"/>
  <c r="Q102" i="13"/>
  <c r="Q103" i="13"/>
  <c r="Q104" i="13"/>
  <c r="Q105" i="13"/>
  <c r="Q3" i="13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2" i="13"/>
  <c r="Q2" i="5"/>
  <c r="Q300" i="14"/>
  <c r="Q301" i="14"/>
  <c r="Q302" i="14"/>
  <c r="Q303" i="14"/>
  <c r="Q304" i="14"/>
  <c r="Q305" i="14"/>
  <c r="Q306" i="14"/>
  <c r="Q307" i="14"/>
  <c r="Q308" i="14"/>
  <c r="Q309" i="14"/>
  <c r="Q310" i="14"/>
  <c r="Q311" i="14"/>
  <c r="Q313" i="14"/>
  <c r="Q314" i="14"/>
  <c r="Q315" i="14"/>
  <c r="Q316" i="14"/>
  <c r="Q317" i="14"/>
  <c r="Q318" i="14"/>
  <c r="Q319" i="14"/>
  <c r="Q320" i="14"/>
  <c r="Q321" i="14"/>
  <c r="Q322" i="14"/>
  <c r="Q323" i="14"/>
  <c r="Q324" i="14"/>
  <c r="Q325" i="14"/>
  <c r="Q326" i="14"/>
  <c r="Q327" i="14"/>
  <c r="Q328" i="14"/>
  <c r="Q329" i="14"/>
  <c r="Q330" i="14"/>
  <c r="Q331" i="14"/>
  <c r="Q332" i="14"/>
  <c r="Q333" i="14"/>
  <c r="Q334" i="14"/>
  <c r="Q335" i="14"/>
  <c r="Q336" i="14"/>
  <c r="Q337" i="14"/>
  <c r="Q338" i="14"/>
  <c r="Q339" i="14"/>
  <c r="Q340" i="14"/>
  <c r="Q341" i="14"/>
  <c r="Q342" i="14"/>
  <c r="Q343" i="14"/>
  <c r="Q344" i="14"/>
  <c r="Q345" i="14"/>
  <c r="Q346" i="14"/>
  <c r="Q347" i="14"/>
  <c r="Q348" i="14"/>
  <c r="Q349" i="14"/>
  <c r="Q350" i="14"/>
  <c r="Q351" i="14"/>
  <c r="Q352" i="14"/>
  <c r="Q353" i="14"/>
  <c r="Q354" i="14"/>
  <c r="Q355" i="14"/>
  <c r="Q356" i="14"/>
  <c r="Q357" i="14"/>
  <c r="Q358" i="14"/>
  <c r="Q359" i="14"/>
  <c r="E340" i="14"/>
  <c r="E341" i="14"/>
  <c r="E342" i="14"/>
  <c r="E343" i="14"/>
  <c r="E344" i="14"/>
  <c r="E345" i="14"/>
  <c r="E346" i="14"/>
  <c r="E347" i="14"/>
  <c r="E348" i="14"/>
  <c r="E349" i="14"/>
  <c r="E350" i="14"/>
  <c r="E351" i="14"/>
  <c r="E352" i="14"/>
  <c r="E353" i="14"/>
  <c r="E354" i="14"/>
  <c r="E355" i="14"/>
  <c r="E356" i="14"/>
  <c r="E357" i="14"/>
  <c r="E358" i="14"/>
  <c r="E359" i="14"/>
  <c r="E303" i="14"/>
  <c r="E304" i="14"/>
  <c r="E305" i="14"/>
  <c r="E306" i="14"/>
  <c r="E307" i="14"/>
  <c r="E308" i="14"/>
  <c r="E309" i="14"/>
  <c r="E310" i="14"/>
  <c r="E311" i="14"/>
  <c r="E313" i="14"/>
  <c r="E314" i="14"/>
  <c r="E315" i="14"/>
  <c r="E316" i="14"/>
  <c r="E317" i="14"/>
  <c r="E318" i="14"/>
  <c r="E319" i="14"/>
  <c r="E320" i="14"/>
  <c r="E321" i="14"/>
  <c r="E322" i="14"/>
  <c r="E323" i="14"/>
  <c r="E324" i="14"/>
  <c r="E325" i="14"/>
  <c r="E326" i="14"/>
  <c r="E327" i="14"/>
  <c r="E328" i="14"/>
  <c r="E329" i="14"/>
  <c r="E330" i="14"/>
  <c r="E331" i="14"/>
  <c r="E332" i="14"/>
  <c r="E333" i="14"/>
  <c r="E334" i="14"/>
  <c r="E335" i="14"/>
  <c r="E336" i="14"/>
  <c r="E337" i="14"/>
  <c r="E338" i="14"/>
  <c r="E339" i="14"/>
  <c r="E300" i="14"/>
  <c r="E301" i="14"/>
  <c r="E302" i="14"/>
  <c r="D6" i="1" l="1" a="1"/>
  <c r="D6" i="1" s="1"/>
  <c r="D4" i="1" a="1"/>
  <c r="D4" i="1" s="1"/>
  <c r="I102" i="1"/>
  <c r="H102" i="1"/>
  <c r="K102" i="1"/>
  <c r="L102" i="1"/>
  <c r="J102" i="1"/>
  <c r="N30" i="1"/>
  <c r="N100" i="1"/>
  <c r="O100" i="1"/>
  <c r="Q100" i="1" a="1"/>
  <c r="Q100" i="1" s="1"/>
  <c r="O99" i="1"/>
  <c r="Q99" i="1" a="1"/>
  <c r="Q99" i="1" s="1"/>
  <c r="N99" i="1"/>
  <c r="N101" i="1"/>
  <c r="O101" i="1"/>
  <c r="Q101" i="1" a="1"/>
  <c r="Q101" i="1" s="1"/>
  <c r="Q60" i="1" a="1"/>
  <c r="Q60" i="1" s="1"/>
  <c r="O6" i="1"/>
  <c r="Q35" i="1" a="1"/>
  <c r="Q35" i="1" s="1"/>
  <c r="O56" i="1"/>
  <c r="Q76" i="1" a="1"/>
  <c r="Q76" i="1" s="1"/>
  <c r="O59" i="1"/>
  <c r="Q66" i="1" a="1"/>
  <c r="Q66" i="1" s="1"/>
  <c r="O44" i="1"/>
  <c r="Q14" i="1" a="1"/>
  <c r="Q14" i="1" s="1"/>
  <c r="Q91" i="1" a="1"/>
  <c r="Q91" i="1" s="1"/>
  <c r="Q65" i="1" a="1"/>
  <c r="Q65" i="1" s="1"/>
  <c r="Q28" i="1" a="1"/>
  <c r="Q28" i="1" s="1"/>
  <c r="Q94" i="1" a="1"/>
  <c r="Q94" i="1" s="1"/>
  <c r="Q18" i="1" a="1"/>
  <c r="Q18" i="1" s="1"/>
  <c r="Q89" i="1" a="1"/>
  <c r="Q89" i="1" s="1"/>
  <c r="Q23" i="1" a="1"/>
  <c r="Q23" i="1" s="1"/>
  <c r="O97" i="1"/>
  <c r="Q19" i="1" a="1"/>
  <c r="Q19" i="1" s="1"/>
  <c r="N25" i="1"/>
  <c r="N16" i="1"/>
  <c r="O93" i="1"/>
  <c r="N83" i="1"/>
  <c r="N68" i="1"/>
  <c r="O23" i="1"/>
  <c r="O14" i="1"/>
  <c r="Q96" i="1" a="1"/>
  <c r="Q96" i="1" s="1"/>
  <c r="N39" i="1"/>
  <c r="O41" i="1"/>
  <c r="Q75" i="1" a="1"/>
  <c r="Q75" i="1" s="1"/>
  <c r="O76" i="1"/>
  <c r="O43" i="1"/>
  <c r="N73" i="1"/>
  <c r="Q88" i="1" a="1"/>
  <c r="Q88" i="1" s="1"/>
  <c r="O18" i="1"/>
  <c r="Q82" i="1" a="1"/>
  <c r="Q82" i="1" s="1"/>
  <c r="N7" i="1"/>
  <c r="N22" i="1"/>
  <c r="O48" i="1"/>
  <c r="O38" i="1"/>
  <c r="Q53" i="1" a="1"/>
  <c r="Q53" i="1" s="1"/>
  <c r="Q97" i="1" a="1"/>
  <c r="Q97" i="1" s="1"/>
  <c r="O69" i="1"/>
  <c r="N72" i="1"/>
  <c r="Q59" i="1" a="1"/>
  <c r="Q59" i="1" s="1"/>
  <c r="O10" i="1"/>
  <c r="N64" i="1"/>
  <c r="N47" i="1"/>
  <c r="Q55" i="1" a="1"/>
  <c r="Q55" i="1" s="1"/>
  <c r="Q31" i="1" a="1"/>
  <c r="Q31" i="1" s="1"/>
  <c r="N84" i="1"/>
  <c r="Q34" i="1" a="1"/>
  <c r="Q34" i="1" s="1"/>
  <c r="O84" i="1"/>
  <c r="O34" i="1"/>
  <c r="Q6" i="1" a="1"/>
  <c r="Q6" i="1" s="1"/>
  <c r="O80" i="1"/>
  <c r="N80" i="1"/>
  <c r="N9" i="1"/>
  <c r="Q24" i="1" a="1"/>
  <c r="Q24" i="1" s="1"/>
  <c r="O9" i="1"/>
  <c r="N49" i="1"/>
  <c r="O49" i="1"/>
  <c r="Q37" i="1" a="1"/>
  <c r="Q37" i="1" s="1"/>
  <c r="O87" i="1"/>
  <c r="N87" i="1"/>
  <c r="Q84" i="1" a="1"/>
  <c r="Q84" i="1" s="1"/>
  <c r="N8" i="1"/>
  <c r="O8" i="1"/>
  <c r="Q21" i="1" a="1"/>
  <c r="Q21" i="1" s="1"/>
  <c r="N29" i="1"/>
  <c r="N17" i="1"/>
  <c r="Q45" i="1" a="1"/>
  <c r="Q45" i="1" s="1"/>
  <c r="O17" i="1"/>
  <c r="O77" i="1"/>
  <c r="Q9" i="1" a="1"/>
  <c r="Q9" i="1" s="1"/>
  <c r="N77" i="1"/>
  <c r="O86" i="1"/>
  <c r="N86" i="1"/>
  <c r="Q33" i="1" a="1"/>
  <c r="Q33" i="1" s="1"/>
  <c r="Q86" i="1" a="1"/>
  <c r="Q86" i="1" s="1"/>
  <c r="O75" i="1"/>
  <c r="N75" i="1"/>
  <c r="Q12" i="1" a="1"/>
  <c r="Q12" i="1" s="1"/>
  <c r="N79" i="1"/>
  <c r="O79" i="1"/>
  <c r="Q5" i="1" a="1"/>
  <c r="Q5" i="1" s="1"/>
  <c r="O70" i="1"/>
  <c r="N70" i="1"/>
  <c r="Q22" i="1" a="1"/>
  <c r="Q22" i="1" s="1"/>
  <c r="Q32" i="1" a="1"/>
  <c r="Q32" i="1" s="1"/>
  <c r="O85" i="1"/>
  <c r="N85" i="1"/>
  <c r="N67" i="1"/>
  <c r="Q11" i="1" a="1"/>
  <c r="Q11" i="1" s="1"/>
  <c r="O67" i="1"/>
  <c r="O12" i="1"/>
  <c r="N12" i="1"/>
  <c r="Q13" i="1" a="1"/>
  <c r="Q13" i="1" s="1"/>
  <c r="Q43" i="1" a="1"/>
  <c r="Q43" i="1" s="1"/>
  <c r="O31" i="1"/>
  <c r="Q44" i="1" a="1"/>
  <c r="Q44" i="1" s="1"/>
  <c r="O33" i="1"/>
  <c r="N33" i="1"/>
  <c r="Q54" i="1" a="1"/>
  <c r="Q54" i="1" s="1"/>
  <c r="N42" i="1"/>
  <c r="Q16" i="1" a="1"/>
  <c r="Q16" i="1" s="1"/>
  <c r="Q17" i="1" a="1"/>
  <c r="Q17" i="1" s="1"/>
  <c r="O28" i="1"/>
  <c r="N28" i="1"/>
  <c r="Q29" i="1" a="1"/>
  <c r="Q29" i="1" s="1"/>
  <c r="Q27" i="1" a="1"/>
  <c r="Q27" i="1" s="1"/>
  <c r="O50" i="1"/>
  <c r="N50" i="1"/>
  <c r="Q62" i="1" a="1"/>
  <c r="Q62" i="1" s="1"/>
  <c r="O82" i="1"/>
  <c r="N82" i="1"/>
  <c r="Q20" i="1" a="1"/>
  <c r="Q20" i="1" s="1"/>
  <c r="Q26" i="1" a="1"/>
  <c r="Q26" i="1" s="1"/>
  <c r="N62" i="1"/>
  <c r="O62" i="1"/>
  <c r="Q49" i="1" a="1"/>
  <c r="Q49" i="1" s="1"/>
  <c r="O74" i="1"/>
  <c r="N74" i="1"/>
  <c r="Q80" i="1" a="1"/>
  <c r="Q80" i="1" s="1"/>
  <c r="O90" i="1"/>
  <c r="N90" i="1"/>
  <c r="Q78" i="1" a="1"/>
  <c r="Q78" i="1" s="1"/>
  <c r="O89" i="1"/>
  <c r="N89" i="1"/>
  <c r="Q58" i="1" a="1"/>
  <c r="Q58" i="1" s="1"/>
  <c r="N92" i="1"/>
  <c r="O92" i="1"/>
  <c r="N78" i="1"/>
  <c r="Q7" i="1" a="1"/>
  <c r="Q7" i="1" s="1"/>
  <c r="O81" i="1"/>
  <c r="N81" i="1"/>
  <c r="N13" i="1"/>
  <c r="Q10" i="1" a="1"/>
  <c r="Q10" i="1" s="1"/>
  <c r="O13" i="1"/>
  <c r="Q41" i="1" a="1"/>
  <c r="Q41" i="1" s="1"/>
  <c r="Q30" i="1" a="1"/>
  <c r="Q30" i="1" s="1"/>
  <c r="O37" i="1"/>
  <c r="N37" i="1"/>
  <c r="N27" i="1"/>
  <c r="Q56" i="1" a="1"/>
  <c r="Q56" i="1" s="1"/>
  <c r="O27" i="1"/>
  <c r="Q25" i="1" a="1"/>
  <c r="Q25" i="1" s="1"/>
  <c r="O30" i="1"/>
  <c r="Q36" i="1" a="1"/>
  <c r="Q36" i="1" s="1"/>
  <c r="N24" i="1"/>
  <c r="O24" i="1"/>
  <c r="Q47" i="1" a="1"/>
  <c r="Q47" i="1" s="1"/>
  <c r="O26" i="1"/>
  <c r="N26" i="1"/>
  <c r="Q48" i="1" a="1"/>
  <c r="Q48" i="1" s="1"/>
  <c r="O21" i="1"/>
  <c r="N21" i="1"/>
  <c r="O35" i="1"/>
  <c r="O78" i="1"/>
  <c r="O60" i="1"/>
  <c r="Q70" i="1" a="1"/>
  <c r="Q70" i="1" s="1"/>
  <c r="N46" i="1"/>
  <c r="Q71" i="1" a="1"/>
  <c r="Q71" i="1" s="1"/>
  <c r="Q98" i="1" a="1"/>
  <c r="Q98" i="1" s="1"/>
  <c r="O52" i="1"/>
  <c r="Q52" i="1" a="1"/>
  <c r="Q52" i="1" s="1"/>
  <c r="O36" i="1"/>
  <c r="N36" i="1"/>
  <c r="Q42" i="1" a="1"/>
  <c r="Q42" i="1" s="1"/>
  <c r="O71" i="1"/>
  <c r="N71" i="1"/>
  <c r="N5" i="1"/>
  <c r="O88" i="1"/>
  <c r="O5" i="1"/>
  <c r="Q93" i="1" a="1"/>
  <c r="Q93" i="1" s="1"/>
  <c r="N15" i="1"/>
  <c r="Q50" i="1" a="1"/>
  <c r="Q50" i="1" s="1"/>
  <c r="N69" i="1"/>
  <c r="O63" i="1"/>
  <c r="N63" i="1"/>
  <c r="N76" i="1"/>
  <c r="Q51" i="1" a="1"/>
  <c r="Q51" i="1" s="1"/>
  <c r="N59" i="1"/>
  <c r="Q68" i="1" a="1"/>
  <c r="Q68" i="1" s="1"/>
  <c r="Q83" i="1" a="1"/>
  <c r="Q83" i="1" s="1"/>
  <c r="O4" i="1"/>
  <c r="N4" i="1"/>
  <c r="N23" i="1"/>
  <c r="Q92" i="1" a="1"/>
  <c r="Q92" i="1" s="1"/>
  <c r="O16" i="1"/>
  <c r="O73" i="1"/>
  <c r="O25" i="1"/>
  <c r="O83" i="1"/>
  <c r="Q77" i="1" a="1"/>
  <c r="Q77" i="1" s="1"/>
  <c r="O64" i="1"/>
  <c r="O11" i="1"/>
  <c r="O22" i="1"/>
  <c r="O32" i="1"/>
  <c r="N32" i="1"/>
  <c r="N96" i="1"/>
  <c r="Q39" i="1" a="1"/>
  <c r="Q39" i="1" s="1"/>
  <c r="Q73" i="1" a="1"/>
  <c r="Q73" i="1" s="1"/>
  <c r="O91" i="1"/>
  <c r="O94" i="1"/>
  <c r="Q8" i="1" a="1"/>
  <c r="Q8" i="1" s="1"/>
  <c r="Q69" i="1" a="1"/>
  <c r="Q69" i="1" s="1"/>
  <c r="N48" i="1"/>
  <c r="N20" i="1"/>
  <c r="N34" i="1"/>
  <c r="O68" i="1"/>
  <c r="Q74" i="1" a="1"/>
  <c r="Q74" i="1" s="1"/>
  <c r="N93" i="1"/>
  <c r="O15" i="1"/>
  <c r="N43" i="1"/>
  <c r="Q61" i="1" a="1"/>
  <c r="Q61" i="1" s="1"/>
  <c r="N45" i="1"/>
  <c r="N58" i="1"/>
  <c r="Q67" i="1" a="1"/>
  <c r="Q67" i="1" s="1"/>
  <c r="Q85" i="1" a="1"/>
  <c r="Q85" i="1" s="1"/>
  <c r="O72" i="1"/>
  <c r="N65" i="1"/>
  <c r="O95" i="1"/>
  <c r="N95" i="1"/>
  <c r="N66" i="1"/>
  <c r="Q15" i="1" a="1"/>
  <c r="Q15" i="1" s="1"/>
  <c r="O39" i="1"/>
  <c r="O45" i="1"/>
  <c r="O58" i="1"/>
  <c r="Q79" i="1" a="1"/>
  <c r="Q79" i="1" s="1"/>
  <c r="O53" i="1"/>
  <c r="N53" i="1"/>
  <c r="O42" i="1"/>
  <c r="O65" i="1"/>
  <c r="O96" i="1"/>
  <c r="N97" i="1"/>
  <c r="Q95" i="1" a="1"/>
  <c r="Q95" i="1" s="1"/>
  <c r="O20" i="1"/>
  <c r="Q46" i="1" a="1"/>
  <c r="Q46" i="1" s="1"/>
  <c r="O29" i="1"/>
  <c r="Q38" i="1" a="1"/>
  <c r="Q38" i="1" s="1"/>
  <c r="O47" i="1"/>
  <c r="N57" i="1"/>
  <c r="O40" i="1"/>
  <c r="N40" i="1"/>
  <c r="O7" i="1"/>
  <c r="N38" i="1"/>
  <c r="Q64" i="1" a="1"/>
  <c r="Q64" i="1" s="1"/>
  <c r="O61" i="1"/>
  <c r="N61" i="1"/>
  <c r="N60" i="1"/>
  <c r="O55" i="1"/>
  <c r="O46" i="1"/>
  <c r="N91" i="1"/>
  <c r="Q87" i="1" a="1"/>
  <c r="Q87" i="1" s="1"/>
  <c r="O51" i="1"/>
  <c r="O57" i="1"/>
  <c r="O66" i="1"/>
  <c r="O98" i="1"/>
  <c r="N98" i="1"/>
  <c r="N14" i="1"/>
  <c r="N41" i="1"/>
  <c r="N18" i="1"/>
  <c r="N10" i="1"/>
  <c r="N35" i="1"/>
  <c r="Q90" i="1" a="1"/>
  <c r="Q90" i="1" s="1"/>
  <c r="Q72" i="1" a="1"/>
  <c r="Q72" i="1" s="1"/>
  <c r="Q57" i="1" a="1"/>
  <c r="Q57" i="1" s="1"/>
  <c r="Q63" i="1" a="1"/>
  <c r="Q63" i="1" s="1"/>
  <c r="Q40" i="1" a="1"/>
  <c r="Q40" i="1" s="1"/>
  <c r="N88" i="1"/>
  <c r="N55" i="1"/>
  <c r="N11" i="1"/>
  <c r="N94" i="1"/>
  <c r="P100" i="1" l="1"/>
  <c r="P101" i="1"/>
  <c r="P99" i="1"/>
  <c r="N56" i="1"/>
  <c r="P22" i="1" s="1"/>
  <c r="P92" i="1"/>
  <c r="N6" i="1"/>
  <c r="P6" i="1" s="1"/>
  <c r="Q4" i="1" a="1"/>
  <c r="Q4" i="1" s="1"/>
  <c r="Q102" i="1" s="1"/>
  <c r="P67" i="1"/>
  <c r="P68" i="1"/>
  <c r="N54" i="1"/>
  <c r="P45" i="1"/>
  <c r="O54" i="1"/>
  <c r="P85" i="1"/>
  <c r="P10" i="1"/>
  <c r="P57" i="1"/>
  <c r="N44" i="1"/>
  <c r="P81" i="1" s="1"/>
  <c r="Q81" i="1" a="1"/>
  <c r="Q81" i="1" s="1"/>
  <c r="P38" i="1"/>
  <c r="O19" i="1"/>
  <c r="N19" i="1"/>
  <c r="P64" i="1"/>
  <c r="P14" i="1"/>
  <c r="P18" i="1"/>
  <c r="P36" i="1"/>
  <c r="P74" i="1"/>
  <c r="P69" i="1"/>
  <c r="P77" i="1"/>
  <c r="P90" i="1"/>
  <c r="P93" i="1"/>
  <c r="P62" i="1"/>
  <c r="P21" i="1"/>
  <c r="P42" i="1"/>
  <c r="P50" i="1"/>
  <c r="P53" i="1"/>
  <c r="P71" i="1"/>
  <c r="P16" i="1"/>
  <c r="P51" i="1"/>
  <c r="P95" i="1"/>
  <c r="P61" i="1"/>
  <c r="P28" i="1"/>
  <c r="P87" i="1"/>
  <c r="P88" i="1"/>
  <c r="P49" i="1"/>
  <c r="P65" i="1"/>
  <c r="P58" i="1"/>
  <c r="P26" i="1"/>
  <c r="P32" i="1"/>
  <c r="P63" i="1"/>
  <c r="P70" i="1"/>
  <c r="P76" i="1"/>
  <c r="P47" i="1"/>
  <c r="P33" i="1"/>
  <c r="P34" i="1"/>
  <c r="P13" i="1"/>
  <c r="P41" i="1"/>
  <c r="P79" i="1"/>
  <c r="P46" i="1"/>
  <c r="P25" i="1"/>
  <c r="P80" i="1"/>
  <c r="P24" i="1"/>
  <c r="P72" i="1"/>
  <c r="P17" i="1"/>
  <c r="P59" i="1"/>
  <c r="P20" i="1"/>
  <c r="P82" i="1"/>
  <c r="P60" i="1"/>
  <c r="P94" i="1"/>
  <c r="P73" i="1"/>
  <c r="P91" i="1"/>
  <c r="P52" i="1"/>
  <c r="P48" i="1"/>
  <c r="P86" i="1"/>
  <c r="P40" i="1"/>
  <c r="P98" i="1"/>
  <c r="P7" i="1"/>
  <c r="P43" i="1"/>
  <c r="P84" i="1"/>
  <c r="P27" i="1"/>
  <c r="P97" i="1"/>
  <c r="P96" i="1"/>
  <c r="P89" i="1"/>
  <c r="P29" i="1"/>
  <c r="P75" i="1"/>
  <c r="P83" i="1"/>
  <c r="P5" i="1"/>
  <c r="P15" i="1"/>
  <c r="P78" i="1"/>
  <c r="P55" i="1"/>
  <c r="P23" i="1"/>
  <c r="P39" i="1"/>
  <c r="P30" i="1"/>
  <c r="P11" i="1"/>
  <c r="P12" i="1"/>
  <c r="P9" i="1"/>
  <c r="P37" i="1"/>
  <c r="P8" i="1"/>
  <c r="P54" i="1" l="1"/>
  <c r="P19" i="1"/>
  <c r="P56" i="1"/>
  <c r="O102" i="1"/>
  <c r="P44" i="1"/>
  <c r="P35" i="1"/>
  <c r="N102" i="1"/>
  <c r="P4" i="1"/>
  <c r="P102" i="1" s="1"/>
  <c r="P66" i="1"/>
  <c r="F102" i="1"/>
  <c r="G102" i="1"/>
  <c r="D102" i="1"/>
  <c r="E10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<sst xmlns="http://schemas.openxmlformats.org/spreadsheetml/2006/main" count="13255" uniqueCount="4034">
  <si>
    <t>Oficialus TRItono klubo reitingas</t>
  </si>
  <si>
    <t>Nr.</t>
  </si>
  <si>
    <t>+/-</t>
  </si>
  <si>
    <t>Dalyvis</t>
  </si>
  <si>
    <t>2024 05 17  PANEVĖŽYS</t>
  </si>
  <si>
    <t>2025 06 01 KAIŠIADORYS</t>
  </si>
  <si>
    <t>2026 06 14 VEISIEJAI</t>
  </si>
  <si>
    <t>2026 06 20 GDANSKAS</t>
  </si>
  <si>
    <t>2026 06 28 TRAKAI</t>
  </si>
  <si>
    <t>2026 07 19 JONAVA</t>
  </si>
  <si>
    <t>2027 08 01 PANEVĖŽYS</t>
  </si>
  <si>
    <t>2026 08 16 SKAUDVILĖ</t>
  </si>
  <si>
    <t>2026 08 23 MOLĖTAI</t>
  </si>
  <si>
    <t>2026 09 05 DRUSKININKAI</t>
  </si>
  <si>
    <t>Varžybų skaičius</t>
  </si>
  <si>
    <t>Visų taškų suma</t>
  </si>
  <si>
    <t>Taškų vidurkis</t>
  </si>
  <si>
    <t>3 geriausių rezultatų suma</t>
  </si>
  <si>
    <t>2025 Vieta</t>
  </si>
  <si>
    <t>2025 Varžybų</t>
  </si>
  <si>
    <t>2024 Vieta</t>
  </si>
  <si>
    <t>2024 Varžybų</t>
  </si>
  <si>
    <t>Mantas Jablonskis</t>
  </si>
  <si>
    <t>NEW</t>
  </si>
  <si>
    <t>Radoslav Lajevski</t>
  </si>
  <si>
    <t>Airidas Gražinskis</t>
  </si>
  <si>
    <t>Lukas Matulaitis</t>
  </si>
  <si>
    <t>Mantas Kukenys</t>
  </si>
  <si>
    <t>Darius Borisas</t>
  </si>
  <si>
    <t>Vaidas Velutis</t>
  </si>
  <si>
    <t>Mantas Marcinkevičius</t>
  </si>
  <si>
    <t>Arvydas Sereičikas</t>
  </si>
  <si>
    <t>Arvydas Gervelė</t>
  </si>
  <si>
    <t>Raimondas Gincas</t>
  </si>
  <si>
    <t>Saulius Kerza</t>
  </si>
  <si>
    <t>Arūnas Maciulevičius</t>
  </si>
  <si>
    <t>Juozas Karmaza</t>
  </si>
  <si>
    <t>Sigita Šidlauskienė</t>
  </si>
  <si>
    <t>Vytautas Jakutis</t>
  </si>
  <si>
    <t>Aistė Alda Kasinskienė</t>
  </si>
  <si>
    <t>Jūratė Keinytė</t>
  </si>
  <si>
    <t>Ruslanas Kryžanauskas</t>
  </si>
  <si>
    <t>Rytis Vasiliauskas</t>
  </si>
  <si>
    <t>Eglė Čiužaitė</t>
  </si>
  <si>
    <t>Dainius Lučkauskas</t>
  </si>
  <si>
    <t>Giedrius Danėlius</t>
  </si>
  <si>
    <t>Liudmila Volbikienė</t>
  </si>
  <si>
    <t>Austėja Letukienė</t>
  </si>
  <si>
    <t>Gabrielė Gruslienė</t>
  </si>
  <si>
    <t>Aurimas Gudaitis</t>
  </si>
  <si>
    <t>Emilis Urbanavičius</t>
  </si>
  <si>
    <t>Rūta Juškevičiūtė</t>
  </si>
  <si>
    <t>Ernestas Česonis</t>
  </si>
  <si>
    <t>Aleksej Kaminskij</t>
  </si>
  <si>
    <t>Vytas Vasilevičius</t>
  </si>
  <si>
    <t>Vytautas Vaičiulis</t>
  </si>
  <si>
    <t>Irmantas Budrys</t>
  </si>
  <si>
    <t>Nerijus Beniušis</t>
  </si>
  <si>
    <t>Arvydas Čiužas</t>
  </si>
  <si>
    <t>Valdemaras Sivickij</t>
  </si>
  <si>
    <t>Rūta Jazepčikienė</t>
  </si>
  <si>
    <t>Mark Zaičik</t>
  </si>
  <si>
    <t>Tomas Gruslys</t>
  </si>
  <si>
    <t>Lina Alūzė</t>
  </si>
  <si>
    <t>Audrius Virbickas</t>
  </si>
  <si>
    <t>Linas Jurkšas</t>
  </si>
  <si>
    <t>Ingrida Bartkutė</t>
  </si>
  <si>
    <t>Nadezhda Nakvose</t>
  </si>
  <si>
    <t>Eglė Karmazienė</t>
  </si>
  <si>
    <t>Ieva Auglytė</t>
  </si>
  <si>
    <t>Mikael Mertz-Jepsen</t>
  </si>
  <si>
    <t>Vytautas Jazepčikas</t>
  </si>
  <si>
    <t>Laurynas Savickas</t>
  </si>
  <si>
    <t>Inga Aukselytė</t>
  </si>
  <si>
    <t>Linas Jocius</t>
  </si>
  <si>
    <t>Danielius Nepomniaščis</t>
  </si>
  <si>
    <t>Modestas Auglys</t>
  </si>
  <si>
    <t>Edvinas Paulauskas</t>
  </si>
  <si>
    <t>Petras Katinas</t>
  </si>
  <si>
    <t>Jevgenijus Tolstokorovas</t>
  </si>
  <si>
    <t>Paulius Daukša</t>
  </si>
  <si>
    <t>Darius Petraška</t>
  </si>
  <si>
    <t>Raminta Dalgedaitė-Baškienė</t>
  </si>
  <si>
    <t>Kęstutis Virbickas</t>
  </si>
  <si>
    <t>Mindaugas Janulionis</t>
  </si>
  <si>
    <t>Vitalis Gricius</t>
  </si>
  <si>
    <t>Andrius Juodviršis</t>
  </si>
  <si>
    <t>Laurynas Dovydaitis</t>
  </si>
  <si>
    <t>Karolis Sutula</t>
  </si>
  <si>
    <t>Arnas Šimonis</t>
  </si>
  <si>
    <t>Jonas Kabelka</t>
  </si>
  <si>
    <t>Mantas Šidlauskas</t>
  </si>
  <si>
    <t>Audrius Trinka</t>
  </si>
  <si>
    <t>Greta Burbulienė</t>
  </si>
  <si>
    <t>Marius Raila</t>
  </si>
  <si>
    <t>Rūta Juodvalkytė</t>
  </si>
  <si>
    <t>Aivaras Kiaušas</t>
  </si>
  <si>
    <t>Algirdas Klimavičius</t>
  </si>
  <si>
    <t>Andrius Paliunis</t>
  </si>
  <si>
    <t>Andrius Pėstininkas</t>
  </si>
  <si>
    <t>Anna Kiaušas</t>
  </si>
  <si>
    <t>Arnas Jurskis</t>
  </si>
  <si>
    <t>Darius Skusevičius</t>
  </si>
  <si>
    <t>Edvinas Šatas</t>
  </si>
  <si>
    <t>Igor Georgij Kozlovskij</t>
  </si>
  <si>
    <t>Indrė Staražinskaitė</t>
  </si>
  <si>
    <t>Inga Paplauskė</t>
  </si>
  <si>
    <t>Jurgita Lukšaitė</t>
  </si>
  <si>
    <t>Kotryna Vasiliauskė</t>
  </si>
  <si>
    <t>Lilija Komolenkova</t>
  </si>
  <si>
    <t>Linas Tarasonis</t>
  </si>
  <si>
    <t>Mantas Juozulevičius</t>
  </si>
  <si>
    <t>Mantas Masalskis</t>
  </si>
  <si>
    <t>Monika Vainaitė</t>
  </si>
  <si>
    <t>Tadas Ambrazas</t>
  </si>
  <si>
    <t>Vaidas Bendikas</t>
  </si>
  <si>
    <t>Valdemaras Juozaitis</t>
  </si>
  <si>
    <t>Vytautas Geležinis</t>
  </si>
  <si>
    <t>Vytautas Žukauskas</t>
  </si>
  <si>
    <t>Vytenis Čukauskas</t>
  </si>
  <si>
    <t>Žygimantas Zaleckas</t>
  </si>
  <si>
    <t>Pl.</t>
  </si>
  <si>
    <t>Bib</t>
  </si>
  <si>
    <t>Name</t>
  </si>
  <si>
    <t>Name Name</t>
  </si>
  <si>
    <t>Club</t>
  </si>
  <si>
    <t>Cat</t>
  </si>
  <si>
    <t>By cat.</t>
  </si>
  <si>
    <t>Plaukimas</t>
  </si>
  <si>
    <t>T1</t>
  </si>
  <si>
    <t>Dviratis</t>
  </si>
  <si>
    <t>T2</t>
  </si>
  <si>
    <t>Bėgimas</t>
  </si>
  <si>
    <t>Time</t>
  </si>
  <si>
    <t>Gap</t>
  </si>
  <si>
    <t>LTU</t>
  </si>
  <si>
    <t>JABLONSKIS Mantas</t>
  </si>
  <si>
    <t>Mantas JABLONSKIS</t>
  </si>
  <si>
    <t>TRItonas</t>
  </si>
  <si>
    <t>M30</t>
  </si>
  <si>
    <t>LAT</t>
  </si>
  <si>
    <t>ŽIGARKOVS Sebastians</t>
  </si>
  <si>
    <t>Sebastians ŽIGARKOVS</t>
  </si>
  <si>
    <t>DTC Jaunība</t>
  </si>
  <si>
    <t>M20</t>
  </si>
  <si>
    <t>+2:02.0</t>
  </si>
  <si>
    <t>OGINTAS Andrius</t>
  </si>
  <si>
    <t>Andrius OGINTAS</t>
  </si>
  <si>
    <t>Klaipėdos triatlono klubas</t>
  </si>
  <si>
    <t>M40</t>
  </si>
  <si>
    <t>+3:02.0</t>
  </si>
  <si>
    <t>BARTKUS Mantas</t>
  </si>
  <si>
    <t>Mantas BARTKUS</t>
  </si>
  <si>
    <t>Kauno Triatlono Klubas</t>
  </si>
  <si>
    <t>M35</t>
  </si>
  <si>
    <t>+3:58.0</t>
  </si>
  <si>
    <t>PUMPUTIS Titas</t>
  </si>
  <si>
    <t>Titas PUMPUTIS</t>
  </si>
  <si>
    <t>Marijampolės triatlono draugija</t>
  </si>
  <si>
    <t>M25</t>
  </si>
  <si>
    <t>+4:18.0</t>
  </si>
  <si>
    <t>ŽIGARKOVS Viktors</t>
  </si>
  <si>
    <t>Viktors ŽIGARKOVS</t>
  </si>
  <si>
    <t>M45</t>
  </si>
  <si>
    <t>+4:46.9</t>
  </si>
  <si>
    <t>MARCINKEVIČIUS Mantas</t>
  </si>
  <si>
    <t>Mantas MARCINKEVIČIUS</t>
  </si>
  <si>
    <t>+4:59.0</t>
  </si>
  <si>
    <t>KAMINSKIJ Aleksej</t>
  </si>
  <si>
    <t>Aleksej KAMINSKIJ</t>
  </si>
  <si>
    <t>+5:41.9</t>
  </si>
  <si>
    <t>REISAS Zigmas</t>
  </si>
  <si>
    <t>Zigmas REISAS</t>
  </si>
  <si>
    <t>BTT</t>
  </si>
  <si>
    <t>+6:08.9</t>
  </si>
  <si>
    <t>BELEŠKA Jonas</t>
  </si>
  <si>
    <t>+34:51.4</t>
  </si>
  <si>
    <t>+6:17.9</t>
  </si>
  <si>
    <t>GRIGAITIS Žilvinas</t>
  </si>
  <si>
    <t>Žilvinas GRIGAITIS</t>
  </si>
  <si>
    <t>+6:25.9</t>
  </si>
  <si>
    <t>KAUPAS Kęstutis</t>
  </si>
  <si>
    <t>Kęstutis KAUPAS</t>
  </si>
  <si>
    <t>+6:31.9</t>
  </si>
  <si>
    <t>GELŽINIS Artūras</t>
  </si>
  <si>
    <t>Artūras GELŽINIS</t>
  </si>
  <si>
    <t>+6:37.0</t>
  </si>
  <si>
    <t>VOLKOVICKI Julian</t>
  </si>
  <si>
    <t>Julian VOLKOVICKI</t>
  </si>
  <si>
    <t>zoomies</t>
  </si>
  <si>
    <t>+7:01.9</t>
  </si>
  <si>
    <t>MATULAITIS Lukas</t>
  </si>
  <si>
    <t>Lukas MATULAITIS</t>
  </si>
  <si>
    <t>+7:44.9</t>
  </si>
  <si>
    <t>SRĖBALIUS Mantas</t>
  </si>
  <si>
    <t>Mantas SRĖBALIUS</t>
  </si>
  <si>
    <t>+8:30.9</t>
  </si>
  <si>
    <t>MICKUS Martynas</t>
  </si>
  <si>
    <t>Martynas MICKUS</t>
  </si>
  <si>
    <t>HighPeaks Lietuva</t>
  </si>
  <si>
    <t>+8:38.9</t>
  </si>
  <si>
    <t>KATKUS Evaldas</t>
  </si>
  <si>
    <t>Evaldas KATKUS</t>
  </si>
  <si>
    <t>Love Streams Running</t>
  </si>
  <si>
    <t>+8:57.9</t>
  </si>
  <si>
    <t>URBONAS Pranas</t>
  </si>
  <si>
    <t>Pranas URBONAS</t>
  </si>
  <si>
    <t>+9:07.0</t>
  </si>
  <si>
    <t>GADRUS Eimantas</t>
  </si>
  <si>
    <t>Eimantas GADRUS</t>
  </si>
  <si>
    <t>+9:21.0</t>
  </si>
  <si>
    <t>GLADIJS Nikita</t>
  </si>
  <si>
    <t>Nikita GLADIJS</t>
  </si>
  <si>
    <t>+9:39.9</t>
  </si>
  <si>
    <t>TURULIS Marius</t>
  </si>
  <si>
    <t>Marius TURULIS</t>
  </si>
  <si>
    <t>+9:43.0</t>
  </si>
  <si>
    <t>ŠIMKUS Darius</t>
  </si>
  <si>
    <t>Darius ŠIMKUS</t>
  </si>
  <si>
    <t>TriFamClub</t>
  </si>
  <si>
    <t>+9:51.0</t>
  </si>
  <si>
    <t>SIMANAITIS Povilas</t>
  </si>
  <si>
    <t>Povilas SIMANAITIS</t>
  </si>
  <si>
    <t>+10:38.0</t>
  </si>
  <si>
    <t>SEREIČIKAS Arvydas</t>
  </si>
  <si>
    <t>Arvydas SEREIČIKAS</t>
  </si>
  <si>
    <t>+10:41.9</t>
  </si>
  <si>
    <t>LYDIS Benas</t>
  </si>
  <si>
    <t>Benas LYDIS</t>
  </si>
  <si>
    <t>+10:47.0</t>
  </si>
  <si>
    <t>BORISAS Darius</t>
  </si>
  <si>
    <t>Darius BORISAS</t>
  </si>
  <si>
    <t>+10:53.9</t>
  </si>
  <si>
    <t>NAVICKAS Matas</t>
  </si>
  <si>
    <t>Matas NAVICKAS</t>
  </si>
  <si>
    <t>+11:21.9</t>
  </si>
  <si>
    <t>TIJŪNONIS Darius</t>
  </si>
  <si>
    <t>Darius TIJŪNONIS</t>
  </si>
  <si>
    <t>M55</t>
  </si>
  <si>
    <t>+12:06.9</t>
  </si>
  <si>
    <t>KERZA Saulius</t>
  </si>
  <si>
    <t>Saulius KERZA</t>
  </si>
  <si>
    <t>M50</t>
  </si>
  <si>
    <t>+12:07.9</t>
  </si>
  <si>
    <t>GRAŽINSKIS Domantas</t>
  </si>
  <si>
    <t>Domantas GRAŽINSKIS</t>
  </si>
  <si>
    <t>+13:09.9</t>
  </si>
  <si>
    <t>SAKALAUSKAS Mantas</t>
  </si>
  <si>
    <t>Mantas SAKALAUSKAS</t>
  </si>
  <si>
    <t>+13:43.9</t>
  </si>
  <si>
    <t>BALČIŪNAS Ovidijus</t>
  </si>
  <si>
    <t>+44:11.6</t>
  </si>
  <si>
    <t>S-Sportas</t>
  </si>
  <si>
    <t>+13:49.9</t>
  </si>
  <si>
    <t>VRUBLIAUSKAS Modestas</t>
  </si>
  <si>
    <t>Modestas VRUBLIAUSKAS</t>
  </si>
  <si>
    <t>+14:07.9</t>
  </si>
  <si>
    <t>DARIUS Biržietis</t>
  </si>
  <si>
    <t>Biržietis DARIUS</t>
  </si>
  <si>
    <t>Individualiai</t>
  </si>
  <si>
    <t>+14:32.0</t>
  </si>
  <si>
    <t>ABRAITIS Liudvikas</t>
  </si>
  <si>
    <t>Šarūnas RADZEVIČIUS</t>
  </si>
  <si>
    <t>+14:54.9</t>
  </si>
  <si>
    <t>GRICIUS Mantas</t>
  </si>
  <si>
    <t>Mantas GRICIUS</t>
  </si>
  <si>
    <t>+15:18.9</t>
  </si>
  <si>
    <t>ANDRIJAITIS Audrius</t>
  </si>
  <si>
    <t>Audrius ANDRIJAITIS</t>
  </si>
  <si>
    <t>+15:40.9</t>
  </si>
  <si>
    <t>ARNAŠIUS Andrius</t>
  </si>
  <si>
    <t>Andrius ARNAŠIUS</t>
  </si>
  <si>
    <t>Mtb Tauragė</t>
  </si>
  <si>
    <t>+16:01.9</t>
  </si>
  <si>
    <t>MACIULEVIČIUS Arūnas</t>
  </si>
  <si>
    <t>Arūnas MACIULEVIČIUS</t>
  </si>
  <si>
    <t>+16:15.9</t>
  </si>
  <si>
    <t>STRAVINSKAS Paulius</t>
  </si>
  <si>
    <t>Paulius STRAVINSKAS</t>
  </si>
  <si>
    <t>+17:03.9</t>
  </si>
  <si>
    <t>SIDEKERSKIS Mantas</t>
  </si>
  <si>
    <t>+51:02.5</t>
  </si>
  <si>
    <t>+18:19.9</t>
  </si>
  <si>
    <t>BALTRAMONAITIS Tomas</t>
  </si>
  <si>
    <t>Tomas BALTRAMONAITIS</t>
  </si>
  <si>
    <t>+18:42.0</t>
  </si>
  <si>
    <t>LTLTU</t>
  </si>
  <si>
    <t>ŠIDLAUSKIENĖ Sigita</t>
  </si>
  <si>
    <t>F40</t>
  </si>
  <si>
    <t>+18:49.9</t>
  </si>
  <si>
    <t>SEDEKERSKIS Giedrius</t>
  </si>
  <si>
    <t>Giedrius SEDEKERSKIS</t>
  </si>
  <si>
    <t>+19:16.0</t>
  </si>
  <si>
    <t>KAZLAUSKIS Evaldas</t>
  </si>
  <si>
    <t>Evaldas KAZLAUSKIS</t>
  </si>
  <si>
    <t>+19:22.0</t>
  </si>
  <si>
    <t>PUKNYS Darius</t>
  </si>
  <si>
    <t>Darius PUKNYS</t>
  </si>
  <si>
    <t>+19:32.9</t>
  </si>
  <si>
    <t>DANĖLIUS Giedrius</t>
  </si>
  <si>
    <t>Giedrius DANĖLIUS</t>
  </si>
  <si>
    <t>+20:48.9</t>
  </si>
  <si>
    <t>VASILIAUSKAS Rytis</t>
  </si>
  <si>
    <t>Rytis VASILIAUSKAS</t>
  </si>
  <si>
    <t>+21:34.9</t>
  </si>
  <si>
    <t>ŠIPKAUSKAS Lukas</t>
  </si>
  <si>
    <t>Lukas ŠIPKAUSKAS</t>
  </si>
  <si>
    <t>+21:57.0</t>
  </si>
  <si>
    <t>DOVIAKOVSKIS Raimondas</t>
  </si>
  <si>
    <t>Raimondas DOVIAKOVSKIS</t>
  </si>
  <si>
    <t>-</t>
  </si>
  <si>
    <t>+22:23.0</t>
  </si>
  <si>
    <t>LUČKAUSKAS Dainius</t>
  </si>
  <si>
    <t>Dainius LUČKAUSKAS</t>
  </si>
  <si>
    <t>+22:30.0</t>
  </si>
  <si>
    <t>KELIUOTIS Ramūnas</t>
  </si>
  <si>
    <t>Ramūnas KELIUOTIS</t>
  </si>
  <si>
    <t>+23:19.9</t>
  </si>
  <si>
    <t>VOLBIKIENĖ Liudmila</t>
  </si>
  <si>
    <t>Female</t>
  </si>
  <si>
    <t>+24:28.9</t>
  </si>
  <si>
    <t>KĖBLIS Matas</t>
  </si>
  <si>
    <t>Matas KĖBLIS</t>
  </si>
  <si>
    <t>+24:34.9</t>
  </si>
  <si>
    <t>OŠČENKOVS Valērijs</t>
  </si>
  <si>
    <t>Valērijs OŠČENKOVS</t>
  </si>
  <si>
    <t>+25:11.0</t>
  </si>
  <si>
    <t>MIKULIONIS Eivinas</t>
  </si>
  <si>
    <t>Eivinas MIKULIONIS</t>
  </si>
  <si>
    <t>+26:46.9</t>
  </si>
  <si>
    <t>STASIUKYNAS Jonas</t>
  </si>
  <si>
    <t>+9:51.6</t>
  </si>
  <si>
    <t>+33:05.0</t>
  </si>
  <si>
    <t>Sx</t>
  </si>
  <si>
    <t>Swim</t>
  </si>
  <si>
    <t>Bike</t>
  </si>
  <si>
    <t>Running</t>
  </si>
  <si>
    <t>BUTRIMAVIČIUS Marijus</t>
  </si>
  <si>
    <t>Marijus BUTRIMAVIČIUS</t>
  </si>
  <si>
    <t>Trakų sporto centras</t>
  </si>
  <si>
    <t>Male</t>
  </si>
  <si>
    <t>V40</t>
  </si>
  <si>
    <t>PAJEDA Gediminas</t>
  </si>
  <si>
    <t>Gediminas PAJEDA</t>
  </si>
  <si>
    <t>V35</t>
  </si>
  <si>
    <t>+4:25.2</t>
  </si>
  <si>
    <t>LAJEVSKI Radoslav</t>
  </si>
  <si>
    <t>Radoslav LAJEVSKI</t>
  </si>
  <si>
    <t>V30</t>
  </si>
  <si>
    <t>+4:44.0</t>
  </si>
  <si>
    <t>ZARAUSKAS Džiugas</t>
  </si>
  <si>
    <t>Džiugas ZARAUSKAS</t>
  </si>
  <si>
    <t>V25</t>
  </si>
  <si>
    <t>+6:44.8</t>
  </si>
  <si>
    <t>MASIONIS Darius</t>
  </si>
  <si>
    <t>Darius MASIONIS</t>
  </si>
  <si>
    <t>MASIONIS KŪNO BALANSO TERAPIJA</t>
  </si>
  <si>
    <t>V45</t>
  </si>
  <si>
    <t>+8:51.5</t>
  </si>
  <si>
    <t>GRAŽINSKIS Airidas</t>
  </si>
  <si>
    <t>Airidas GRAŽINSKIS</t>
  </si>
  <si>
    <t>+9:15.4</t>
  </si>
  <si>
    <t>STULGYS Donatas</t>
  </si>
  <si>
    <t>Donatas STULGYS</t>
  </si>
  <si>
    <t>+9:51.2</t>
  </si>
  <si>
    <t>RINDEIKIS Simas</t>
  </si>
  <si>
    <t>Simas RINDEIKIS</t>
  </si>
  <si>
    <t>Klaipėdos Triatlono Klubas</t>
  </si>
  <si>
    <t>+9:59.1</t>
  </si>
  <si>
    <t>PECIUKONIS Povilas</t>
  </si>
  <si>
    <t>Povilas PECIUKONIS</t>
  </si>
  <si>
    <t>+10:58.5</t>
  </si>
  <si>
    <t>PAVALKIS Evaldas</t>
  </si>
  <si>
    <t>Evaldas PAVALKIS</t>
  </si>
  <si>
    <t>+14:05.0</t>
  </si>
  <si>
    <t>KEREVIČIUS Dominykas</t>
  </si>
  <si>
    <t>Dominykas KEREVIČIUS</t>
  </si>
  <si>
    <t>+17:15.5</t>
  </si>
  <si>
    <t>GALDIKAS Edgaras</t>
  </si>
  <si>
    <t>Edgaras GALDIKAS</t>
  </si>
  <si>
    <t>+17:38.8</t>
  </si>
  <si>
    <t>KUKENYS Mantas</t>
  </si>
  <si>
    <t>Mantas KUKENYS</t>
  </si>
  <si>
    <t>+18:04.1</t>
  </si>
  <si>
    <t>RADZEVIČIUS Šarūnas</t>
  </si>
  <si>
    <t>+18:04.5</t>
  </si>
  <si>
    <t>GAIZAUSKAS Evaldas</t>
  </si>
  <si>
    <t>Evaldas GAIZAUSKAS</t>
  </si>
  <si>
    <t>+18:13.0</t>
  </si>
  <si>
    <t>VOLKOVICKI Martin</t>
  </si>
  <si>
    <t>Martin VOLKOVICKI</t>
  </si>
  <si>
    <t>BOXING HUB</t>
  </si>
  <si>
    <t>+18:23.8</t>
  </si>
  <si>
    <t>+18:56.9</t>
  </si>
  <si>
    <t>+19:11.9</t>
  </si>
  <si>
    <t>GERVELĖ Arvydas</t>
  </si>
  <si>
    <t>Arvydas GERVELĖ</t>
  </si>
  <si>
    <t>+19:47.0</t>
  </si>
  <si>
    <t>+20:07.5</t>
  </si>
  <si>
    <t>BULAUKA Benas</t>
  </si>
  <si>
    <t>Benas BULAUKA</t>
  </si>
  <si>
    <t>+20:53.7</t>
  </si>
  <si>
    <t>ANDRIEKUS Paulius</t>
  </si>
  <si>
    <t>Paulius ANDRIEKUS</t>
  </si>
  <si>
    <t>+21:58.3</t>
  </si>
  <si>
    <t>+22:54.9</t>
  </si>
  <si>
    <t>KATILAUSKAS Antanas</t>
  </si>
  <si>
    <t>Antanas KATILAUSKAS</t>
  </si>
  <si>
    <t>+23:55.0</t>
  </si>
  <si>
    <t>VELUTIS Vaidas</t>
  </si>
  <si>
    <t>Vaidas VELUTIS</t>
  </si>
  <si>
    <t>+24:12.7</t>
  </si>
  <si>
    <t>+24:18.1</t>
  </si>
  <si>
    <t>DZEMINSKAS Andrius</t>
  </si>
  <si>
    <t>Andrius DZEMINSKAS</t>
  </si>
  <si>
    <t>+25:07.8</t>
  </si>
  <si>
    <t>JPN</t>
  </si>
  <si>
    <t>TSUCHIYA Masaharu</t>
  </si>
  <si>
    <t>Masaharu TSUCHIYA</t>
  </si>
  <si>
    <t>+25:25.1</t>
  </si>
  <si>
    <t>V50</t>
  </si>
  <si>
    <t>+25:51.4</t>
  </si>
  <si>
    <t>ŠLEŽEVIČIUS Evaldas</t>
  </si>
  <si>
    <t>Evaldas ŠLEŽEVIČIUS</t>
  </si>
  <si>
    <t>+26:01.9</t>
  </si>
  <si>
    <t>BALTRŪNAS Karolis</t>
  </si>
  <si>
    <t>Karolis BALTRŪNAS</t>
  </si>
  <si>
    <t>+26:08.0</t>
  </si>
  <si>
    <t>+26:19.1</t>
  </si>
  <si>
    <t>STANKEVIČIUS Lukas</t>
  </si>
  <si>
    <t>Lukas STANKEVIČIUS</t>
  </si>
  <si>
    <t>+27:19.4</t>
  </si>
  <si>
    <t>LUKOŠEVIČIUS Darius</t>
  </si>
  <si>
    <t>Darius LUKOŠEVIČIUS</t>
  </si>
  <si>
    <t>Baltas Samurajus</t>
  </si>
  <si>
    <t>+27:55.5</t>
  </si>
  <si>
    <t>GEDVILAS Justinas</t>
  </si>
  <si>
    <t>Justinas GEDVILAS</t>
  </si>
  <si>
    <t>+28:03.2</t>
  </si>
  <si>
    <t>RUPSLAUKIS Rolandas</t>
  </si>
  <si>
    <t>Rolandas RUPSLAUKIS</t>
  </si>
  <si>
    <t>+28:18.7</t>
  </si>
  <si>
    <t>KATILAUSKAS Martynas</t>
  </si>
  <si>
    <t>Martynas KATILAUSKAS</t>
  </si>
  <si>
    <t>+28:41.8</t>
  </si>
  <si>
    <t>FEDOROVIČIUS Justas</t>
  </si>
  <si>
    <t>+9:52.6</t>
  </si>
  <si>
    <t>+28:54.8</t>
  </si>
  <si>
    <t>V55</t>
  </si>
  <si>
    <t>+30:35.2</t>
  </si>
  <si>
    <t>PUŽAUSKAS Karolis</t>
  </si>
  <si>
    <t>Karolis PUŽAUSKAS</t>
  </si>
  <si>
    <t>+30:58.9</t>
  </si>
  <si>
    <t>+31:11.9</t>
  </si>
  <si>
    <t>TVERAGA Justas</t>
  </si>
  <si>
    <t>Justas TVERAGA</t>
  </si>
  <si>
    <t>+31:21.3</t>
  </si>
  <si>
    <t>TAMOSAITIS Agnius</t>
  </si>
  <si>
    <t>Agnius TAMOSAITIS</t>
  </si>
  <si>
    <t>+31:34.0</t>
  </si>
  <si>
    <t>+32:49.3</t>
  </si>
  <si>
    <t>JAKUCEVIČIUS Tomas</t>
  </si>
  <si>
    <t>Tomas JAKUCEVIČIUS</t>
  </si>
  <si>
    <t>+32:50.9</t>
  </si>
  <si>
    <t>BRUOŽIS Donatas</t>
  </si>
  <si>
    <t>Donatas BRUOŽIS</t>
  </si>
  <si>
    <t>+33:00.3</t>
  </si>
  <si>
    <t>VELECKAS Simas</t>
  </si>
  <si>
    <t>Simas VELECKAS</t>
  </si>
  <si>
    <t>+33:04.1</t>
  </si>
  <si>
    <t>JUZUMAS Linas</t>
  </si>
  <si>
    <t>Linas JUZUMAS</t>
  </si>
  <si>
    <t>+33:40.0</t>
  </si>
  <si>
    <t>+33:43.0</t>
  </si>
  <si>
    <t>SEBECKIS Andrius</t>
  </si>
  <si>
    <t>Andrius SEBECKIS</t>
  </si>
  <si>
    <t>+34:18.7</t>
  </si>
  <si>
    <t>BAUŽA Vaidotas</t>
  </si>
  <si>
    <t>Vaidotas BAUŽA</t>
  </si>
  <si>
    <t>+34:27.4</t>
  </si>
  <si>
    <t>TUMA Giedrius</t>
  </si>
  <si>
    <t>Giedrius TUMA</t>
  </si>
  <si>
    <t>+34:35.6</t>
  </si>
  <si>
    <t>MURAŠKA Gediminas</t>
  </si>
  <si>
    <t>Gediminas MURAŠKA</t>
  </si>
  <si>
    <t>+34:46.9</t>
  </si>
  <si>
    <t>LUCEVICIUS Edvardas</t>
  </si>
  <si>
    <t>Edvardas LUCEVICIUS</t>
  </si>
  <si>
    <t>+34:53.2</t>
  </si>
  <si>
    <t>MULEVICIUS Algirdas</t>
  </si>
  <si>
    <t>Algirdas MULEVICIUS</t>
  </si>
  <si>
    <t>Tvirtiems Tauriems Taupiems</t>
  </si>
  <si>
    <t>+35:12.0</t>
  </si>
  <si>
    <t>MOTIEJŪNAS Rokas</t>
  </si>
  <si>
    <t>Rokas MOTIEJŪNAS</t>
  </si>
  <si>
    <t>+35:29.1</t>
  </si>
  <si>
    <t>BIRŽIETIS Darius</t>
  </si>
  <si>
    <t>Darius BIRŽIETIS</t>
  </si>
  <si>
    <t>+35:45.4</t>
  </si>
  <si>
    <t>+36:37.1</t>
  </si>
  <si>
    <t>+36:40.1</t>
  </si>
  <si>
    <t>+36:51.5</t>
  </si>
  <si>
    <t>NASKAUSKAS Kasparas</t>
  </si>
  <si>
    <t>Kasparas NASKAUSKAS</t>
  </si>
  <si>
    <t>Trakų Triatlono Būrelis</t>
  </si>
  <si>
    <t>+37:09.9</t>
  </si>
  <si>
    <t>FREIBERGS Normunds</t>
  </si>
  <si>
    <t>Normunds FREIBERGS</t>
  </si>
  <si>
    <t>+37:12.0</t>
  </si>
  <si>
    <t>MAŽUIKA Justinas</t>
  </si>
  <si>
    <t>Justinas MAŽUIKA</t>
  </si>
  <si>
    <t>BGK</t>
  </si>
  <si>
    <t>+38:09.0</t>
  </si>
  <si>
    <t>+38:32.7</t>
  </si>
  <si>
    <t>BABILIUS Juozas</t>
  </si>
  <si>
    <t>Juozas BABILIUS</t>
  </si>
  <si>
    <t>+38:50.6</t>
  </si>
  <si>
    <t>PALIULIS Vitas</t>
  </si>
  <si>
    <t>Vitas PALIULIS</t>
  </si>
  <si>
    <t>+39:00.2</t>
  </si>
  <si>
    <t>PIEKURAS Juozas</t>
  </si>
  <si>
    <t>Juozas PIEKURAS</t>
  </si>
  <si>
    <t>+39:39.2</t>
  </si>
  <si>
    <t>GELGOTA Henrikas</t>
  </si>
  <si>
    <t>Henrikas GELGOTA</t>
  </si>
  <si>
    <t>+40:16.7</t>
  </si>
  <si>
    <t>JANKAUSKAS Rolandas</t>
  </si>
  <si>
    <t>Rolandas JANKAUSKAS</t>
  </si>
  <si>
    <t>+40:32.6</t>
  </si>
  <si>
    <t>ADŽGAUSKAS Donatas</t>
  </si>
  <si>
    <t>Donatas ADŽGAUSKAS</t>
  </si>
  <si>
    <t>+42:12.3</t>
  </si>
  <si>
    <t>MANTOROV Maxim</t>
  </si>
  <si>
    <t>Maxim MANTOROV</t>
  </si>
  <si>
    <t>Meating Room Sport Team</t>
  </si>
  <si>
    <t>+42:52.3</t>
  </si>
  <si>
    <t>ZOKAITIS Andrius</t>
  </si>
  <si>
    <t>Andrius ZOKAITIS</t>
  </si>
  <si>
    <t>Kauno BMK</t>
  </si>
  <si>
    <t>+43:08.6</t>
  </si>
  <si>
    <t>BALTĖNAS Dainius</t>
  </si>
  <si>
    <t>Dainius BALTĖNAS</t>
  </si>
  <si>
    <t>Iron Jakudza</t>
  </si>
  <si>
    <t>+43:39.6</t>
  </si>
  <si>
    <t>KEMEŽYTĖ Dagnė</t>
  </si>
  <si>
    <t>Dagnė KEMEŽYTĖ</t>
  </si>
  <si>
    <t>+43:46.7</t>
  </si>
  <si>
    <t>ALŪZĖ Lina</t>
  </si>
  <si>
    <t>Lina ALŪZĖ</t>
  </si>
  <si>
    <t>+44:10.9</t>
  </si>
  <si>
    <t>GRIŽAS Ronaldas</t>
  </si>
  <si>
    <t>Ronaldas GRIŽAS</t>
  </si>
  <si>
    <t>+44:51.1</t>
  </si>
  <si>
    <t>+44:58.2</t>
  </si>
  <si>
    <t>PETROVS Andrejs</t>
  </si>
  <si>
    <t>Andrejs PETROVS</t>
  </si>
  <si>
    <t>Triatlona Akademija</t>
  </si>
  <si>
    <t>+44:59.3</t>
  </si>
  <si>
    <t>VASILIAUSKAS Vytautas</t>
  </si>
  <si>
    <t>Vytautas VASILIAUSKAS</t>
  </si>
  <si>
    <t>vvsport</t>
  </si>
  <si>
    <t>+45:29.4</t>
  </si>
  <si>
    <t>JUKNYTE Gabija</t>
  </si>
  <si>
    <t>Gabija JUKNYTE</t>
  </si>
  <si>
    <t>+45:30.3</t>
  </si>
  <si>
    <t>+46:02.7</t>
  </si>
  <si>
    <t>+46:32.3</t>
  </si>
  <si>
    <t>JONKUS Tomas</t>
  </si>
  <si>
    <t>Tomas JONKUS</t>
  </si>
  <si>
    <t>Danske Bank</t>
  </si>
  <si>
    <t>+46:35.3</t>
  </si>
  <si>
    <t>ŠATKUS Laurynas</t>
  </si>
  <si>
    <t>Laurynas ŠATKUS</t>
  </si>
  <si>
    <t>IRON DZOBIS</t>
  </si>
  <si>
    <t>+47:01.4</t>
  </si>
  <si>
    <t>VOINIČ Valdemar</t>
  </si>
  <si>
    <t>Valdemar VOINIČ</t>
  </si>
  <si>
    <t>+47:57.1</t>
  </si>
  <si>
    <t>SKINDEL Andzej</t>
  </si>
  <si>
    <t>Andzej SKINDEL</t>
  </si>
  <si>
    <t>+48:01.1</t>
  </si>
  <si>
    <t>JUREVIČIUS Andrius</t>
  </si>
  <si>
    <t>Andrius JUREVIČIUS</t>
  </si>
  <si>
    <t>Stido</t>
  </si>
  <si>
    <t>+48:42.6</t>
  </si>
  <si>
    <t>OLŠAUSKAS Artūras</t>
  </si>
  <si>
    <t>Artūras OLŠAUSKAS</t>
  </si>
  <si>
    <t>+48:59.3</t>
  </si>
  <si>
    <t>JAŠINAS Gediminas</t>
  </si>
  <si>
    <t>Gediminas JAŠINAS</t>
  </si>
  <si>
    <t>+52:35.0</t>
  </si>
  <si>
    <t>MINKOVSKIJ Danielis</t>
  </si>
  <si>
    <t>Danielis MINKOVSKIJ</t>
  </si>
  <si>
    <t>+52:38.9</t>
  </si>
  <si>
    <t>RIMUTIS Martynas</t>
  </si>
  <si>
    <t>Martynas RIMUTIS</t>
  </si>
  <si>
    <t>+52:44.0</t>
  </si>
  <si>
    <t>MARCINKEVICIENE Gintare</t>
  </si>
  <si>
    <t>Gintare MARCINKEVICIENE</t>
  </si>
  <si>
    <t>+53:29.9</t>
  </si>
  <si>
    <t>NAGYS Paulius</t>
  </si>
  <si>
    <t>Paulius NAGYS</t>
  </si>
  <si>
    <t>URBUTIS Arius</t>
  </si>
  <si>
    <t>Arius URBUTIS</t>
  </si>
  <si>
    <t>+53:35.6</t>
  </si>
  <si>
    <t>+53:38.5</t>
  </si>
  <si>
    <t>DAGYS Tolmantas</t>
  </si>
  <si>
    <t>Tolmantas DAGYS</t>
  </si>
  <si>
    <t>+53:51.2</t>
  </si>
  <si>
    <t>VILKENIS Arūnas</t>
  </si>
  <si>
    <t>Arūnas VILKENIS</t>
  </si>
  <si>
    <t>+55:42.8</t>
  </si>
  <si>
    <t>KEINYTĖ Jūratė</t>
  </si>
  <si>
    <t>Jūratė KEINYTĖ</t>
  </si>
  <si>
    <t>+55:57.1</t>
  </si>
  <si>
    <t>BEIZARAS Lukas</t>
  </si>
  <si>
    <t>Lukas BEIZARAS</t>
  </si>
  <si>
    <t>ELK</t>
  </si>
  <si>
    <t>+56:33.1</t>
  </si>
  <si>
    <t>NORKUS Karolis</t>
  </si>
  <si>
    <t>Karolis NORKUS</t>
  </si>
  <si>
    <t>+57:40.9</t>
  </si>
  <si>
    <t>NASKAUSKAS Saulius</t>
  </si>
  <si>
    <t>Saulius NASKAUSKAS</t>
  </si>
  <si>
    <t>V60</t>
  </si>
  <si>
    <t>+57:48.2</t>
  </si>
  <si>
    <t>BARTKUTĖ Ingrida</t>
  </si>
  <si>
    <t>Ingrida BARTKUTĖ</t>
  </si>
  <si>
    <t>+57:50.3</t>
  </si>
  <si>
    <t>JUCAITIS Artūras</t>
  </si>
  <si>
    <t>Artūras JUCAITIS</t>
  </si>
  <si>
    <t>Swedbank</t>
  </si>
  <si>
    <t>+59:05.4</t>
  </si>
  <si>
    <t>ČEBRUK Artūras</t>
  </si>
  <si>
    <t>Artūras ČEBRUK</t>
  </si>
  <si>
    <t>+59:30.3</t>
  </si>
  <si>
    <t>BAKANAUSKAS Gytis</t>
  </si>
  <si>
    <t>Gytis BAKANAUSKAS</t>
  </si>
  <si>
    <t>+1:00:10.8</t>
  </si>
  <si>
    <t>IMBRASAS Matas</t>
  </si>
  <si>
    <t>Matas IMBRASAS</t>
  </si>
  <si>
    <t>V20</t>
  </si>
  <si>
    <t>+1:01:01.7</t>
  </si>
  <si>
    <t>NAUJOKAS Paulius</t>
  </si>
  <si>
    <t>Paulius NAUJOKAS</t>
  </si>
  <si>
    <t>+1:04:27.4</t>
  </si>
  <si>
    <t>KĖBLA Tomas</t>
  </si>
  <si>
    <t>Tomas KĖBLA</t>
  </si>
  <si>
    <t>Crash Test Dummies</t>
  </si>
  <si>
    <t>+1:05:18.8</t>
  </si>
  <si>
    <t>JANUŠKAITĖ-ŽILINSKIENĖ Jurgita</t>
  </si>
  <si>
    <t>Jurgita JANUŠKAITĖ</t>
  </si>
  <si>
    <t>+1:06:23.2</t>
  </si>
  <si>
    <t>KAVALIAUSKAS Tadas</t>
  </si>
  <si>
    <t>Tadas KAVALIAUSKAS</t>
  </si>
  <si>
    <t>Kertus</t>
  </si>
  <si>
    <t>+1:07:00.2</t>
  </si>
  <si>
    <t>+1:08:02.4</t>
  </si>
  <si>
    <t>+1:08:02.6</t>
  </si>
  <si>
    <t>SVENTICKAS Dalius</t>
  </si>
  <si>
    <t>Dalius SVENTICKAS</t>
  </si>
  <si>
    <t>+1:11:00.1</t>
  </si>
  <si>
    <t>GASIUNAS Gabija</t>
  </si>
  <si>
    <t>Gabija GASIUNAS</t>
  </si>
  <si>
    <t>+1:19:02.8</t>
  </si>
  <si>
    <t>VERBICKAS Augustas</t>
  </si>
  <si>
    <t>Augustas VERBICKAS</t>
  </si>
  <si>
    <t>+1:19:46.9</t>
  </si>
  <si>
    <t>NORKEVIČIUS Antanas</t>
  </si>
  <si>
    <t>Antanas NORKEVIČIUS</t>
  </si>
  <si>
    <t>+1:19:50.5</t>
  </si>
  <si>
    <t>BANEVIČIŪTĖ Giedrė</t>
  </si>
  <si>
    <t>Giedrė BANEVIČIŪTĖ</t>
  </si>
  <si>
    <t>+1:19:59.3</t>
  </si>
  <si>
    <t>KAZARAUSKAS Laurynas</t>
  </si>
  <si>
    <t>Laurynas KAZARAUSKAS</t>
  </si>
  <si>
    <t>+1:21:38.9</t>
  </si>
  <si>
    <t>ŽURAVSKIJ Aleksandr</t>
  </si>
  <si>
    <t>Aleksandr ŽURAVSKIJ</t>
  </si>
  <si>
    <t>+1:28:36.1</t>
  </si>
  <si>
    <t>GUDAITIENĖ Jolanta</t>
  </si>
  <si>
    <t>Jolanta GUDAITIENĖ</t>
  </si>
  <si>
    <t>+1:46:15.7</t>
  </si>
  <si>
    <t> - </t>
  </si>
  <si>
    <t>LAŽAUSKAS Gražvydas</t>
  </si>
  <si>
    <t>Gražvydas LAŽAUSKAS</t>
  </si>
  <si>
    <t>Withdrawal</t>
  </si>
  <si>
    <t>STASIKĖLIS Laurynas</t>
  </si>
  <si>
    <t>Laurynas STASIKĖLIS</t>
  </si>
  <si>
    <t>KLIKNA Tomas</t>
  </si>
  <si>
    <t>Tomas KLIKNA</t>
  </si>
  <si>
    <t>PTSC</t>
  </si>
  <si>
    <t>VAKUĻIČS Daniils</t>
  </si>
  <si>
    <t>Daniils VAKUĻIČS</t>
  </si>
  <si>
    <t>Sharky</t>
  </si>
  <si>
    <t>ČESONIS Ernestas</t>
  </si>
  <si>
    <t>Ernestas ČESONIS</t>
  </si>
  <si>
    <t>+1:04.4</t>
  </si>
  <si>
    <t>BELIŪNAS Vytautas</t>
  </si>
  <si>
    <t>Vytautas BELIŪNAS</t>
  </si>
  <si>
    <t>+1:30.2</t>
  </si>
  <si>
    <t>KRIKŠTAPONIS Arūnas</t>
  </si>
  <si>
    <t>Arūnas KRIKŠTAPONIS</t>
  </si>
  <si>
    <t>+2:15.3</t>
  </si>
  <si>
    <t>ZNIŠČINSKIJ Miroslav</t>
  </si>
  <si>
    <t>Miroslav ZNIŠČINSKIJ</t>
  </si>
  <si>
    <t>Ereliai Squad</t>
  </si>
  <si>
    <t>+2:26.1</t>
  </si>
  <si>
    <t>GINCAS Raimondas</t>
  </si>
  <si>
    <t>Raimondas GINCAS</t>
  </si>
  <si>
    <t>+3:41.0</t>
  </si>
  <si>
    <t>ŽIGUTIS Raimondas</t>
  </si>
  <si>
    <t>Raimondas ŽIGUTIS</t>
  </si>
  <si>
    <t>Nemėžio unguriai</t>
  </si>
  <si>
    <t>+3:41.2</t>
  </si>
  <si>
    <t>NARKŪNAITĖ Unė</t>
  </si>
  <si>
    <t>Unė NARKŪNAITĖ</t>
  </si>
  <si>
    <t>+3:53.3</t>
  </si>
  <si>
    <t>GERASIMOV Andrej</t>
  </si>
  <si>
    <t>Andrej GERASIMOV</t>
  </si>
  <si>
    <t>+4:06.3</t>
  </si>
  <si>
    <t>ČEREŠKA Karolis</t>
  </si>
  <si>
    <t>Karolis ČEREŠKA</t>
  </si>
  <si>
    <t>+5:36.4</t>
  </si>
  <si>
    <t>KUBILIUS Mantas</t>
  </si>
  <si>
    <t>Mantas KUBILIUS</t>
  </si>
  <si>
    <t>+5:41.7</t>
  </si>
  <si>
    <t>BULOTAS Tomas</t>
  </si>
  <si>
    <t>Tomas BULOTAS</t>
  </si>
  <si>
    <t>+6:05.3</t>
  </si>
  <si>
    <t>VAIČIULIS Vytautas</t>
  </si>
  <si>
    <t>Vytautas VAIČIULIS</t>
  </si>
  <si>
    <t>+7:09.4</t>
  </si>
  <si>
    <t>ZAMORSKIS Aleksandras</t>
  </si>
  <si>
    <t>Aleksandras ZAMORSKIS</t>
  </si>
  <si>
    <t>+7:33.2</t>
  </si>
  <si>
    <t>KOLESNIKS Marks</t>
  </si>
  <si>
    <t>Marks KOLESNIKS</t>
  </si>
  <si>
    <t>+7:33.5</t>
  </si>
  <si>
    <t>KIRILOVAS Gytis</t>
  </si>
  <si>
    <t>Gytis KIRILOVAS</t>
  </si>
  <si>
    <t>+7:37.8</t>
  </si>
  <si>
    <t>+7:42.4</t>
  </si>
  <si>
    <t>PAUŽAS Henrikas</t>
  </si>
  <si>
    <t>Henrikas PAUŽAS</t>
  </si>
  <si>
    <t>+7:43.7</t>
  </si>
  <si>
    <t>VOVERIS Raimundas</t>
  </si>
  <si>
    <t>Raimundas VOVERIS</t>
  </si>
  <si>
    <t>+7:45.8</t>
  </si>
  <si>
    <t>VAIVADA Karolis</t>
  </si>
  <si>
    <t>Karolis VAIVADA</t>
  </si>
  <si>
    <t>+7:56.5</t>
  </si>
  <si>
    <t>GERBUTAVIČIUS Laurynas</t>
  </si>
  <si>
    <t>Laurynas GERBUTAVIČIUS</t>
  </si>
  <si>
    <t>+8:08.4</t>
  </si>
  <si>
    <t>+8:21.5</t>
  </si>
  <si>
    <t>STULGYS Mindaugas</t>
  </si>
  <si>
    <t>Mindaugas STULGYS</t>
  </si>
  <si>
    <t>+8:44.0</t>
  </si>
  <si>
    <t>ZUBAVIČIUS Mantas</t>
  </si>
  <si>
    <t>Mantas ZUBAVIČIUS</t>
  </si>
  <si>
    <t>+9:07.5</t>
  </si>
  <si>
    <t>KARMAZA Juozas</t>
  </si>
  <si>
    <t>Juozas KARMAZA</t>
  </si>
  <si>
    <t>+9:36.4</t>
  </si>
  <si>
    <t>KILBAUSKAS Darius</t>
  </si>
  <si>
    <t>Darius KILBAUSKAS</t>
  </si>
  <si>
    <t>+9:37.9</t>
  </si>
  <si>
    <t>ALEKNA Žydrūnas</t>
  </si>
  <si>
    <t>Žydrūnas ALEKNA</t>
  </si>
  <si>
    <t>+10:11.0</t>
  </si>
  <si>
    <t>MIKUTAVIČIUS Karolis</t>
  </si>
  <si>
    <t>Karolis MIKUTAVIČIUS</t>
  </si>
  <si>
    <t>+10:15.8</t>
  </si>
  <si>
    <t>JURKEVIČIUS Tomas</t>
  </si>
  <si>
    <t>Tomas JURKEVIČIUS</t>
  </si>
  <si>
    <t>+10:40.2</t>
  </si>
  <si>
    <t>DVILEVIČIŪTĖ Ugnė</t>
  </si>
  <si>
    <t>Ugnė DVILEVIČIŪTĖ</t>
  </si>
  <si>
    <t>+10:44.0</t>
  </si>
  <si>
    <t>RAMANAUSKAS Žygintas</t>
  </si>
  <si>
    <t>Žygintas RAMANAUSKAS</t>
  </si>
  <si>
    <t>Vilniaus veteranų plaukimo klubas</t>
  </si>
  <si>
    <t>+10:52.7</t>
  </si>
  <si>
    <t>ŠVEDAS Tautvydas</t>
  </si>
  <si>
    <t>Tautvydas ŠVEDAS</t>
  </si>
  <si>
    <t>+11:25.8</t>
  </si>
  <si>
    <t>JAZEPČIKIENĖ Rūta</t>
  </si>
  <si>
    <t>Rūta JAZEPČIKIENĖ</t>
  </si>
  <si>
    <t>+11:30.5</t>
  </si>
  <si>
    <t>ZAICIK Mark</t>
  </si>
  <si>
    <t>Mark ZAIČIK</t>
  </si>
  <si>
    <t>+11:37.5</t>
  </si>
  <si>
    <t>BEZZUBOVAS Julius</t>
  </si>
  <si>
    <t>Julius BEZZUBOVAS</t>
  </si>
  <si>
    <t>Stogaga Team</t>
  </si>
  <si>
    <t>+11:55.6</t>
  </si>
  <si>
    <t>POLUJANSKIJ Andrej</t>
  </si>
  <si>
    <t>Andrej POLUJANSKIJ</t>
  </si>
  <si>
    <t>Evanas Jega</t>
  </si>
  <si>
    <t>+12:04.7</t>
  </si>
  <si>
    <t>ČIURLEVIČIUS Povilas</t>
  </si>
  <si>
    <t>Povilas ČIURLEVIČIUS</t>
  </si>
  <si>
    <t>Born2Move LTU</t>
  </si>
  <si>
    <t>+12:16.5</t>
  </si>
  <si>
    <t>JAKAS Tautvydas</t>
  </si>
  <si>
    <t>Tautvydas JAKAS</t>
  </si>
  <si>
    <t>+12:20.3</t>
  </si>
  <si>
    <t>LEVENKOVS Mihails</t>
  </si>
  <si>
    <t>Mihails LEVENKOVS</t>
  </si>
  <si>
    <t>+12:38.2</t>
  </si>
  <si>
    <t>GINCAS Ginas</t>
  </si>
  <si>
    <t>Ginas GINCAS</t>
  </si>
  <si>
    <t>+12:40.0</t>
  </si>
  <si>
    <t>DAMBRAUSKAS Simas</t>
  </si>
  <si>
    <t>Simas DAMBRAUSKAS</t>
  </si>
  <si>
    <t>+12:47.9</t>
  </si>
  <si>
    <t>ULEVIČIŪTĖ Rūta</t>
  </si>
  <si>
    <t>Rūta ULEVIČIŪTĖ</t>
  </si>
  <si>
    <t>+13:06.4</t>
  </si>
  <si>
    <t>JURKŠAS Linas</t>
  </si>
  <si>
    <t>Linas JURKŠAS</t>
  </si>
  <si>
    <t>+13:28.9</t>
  </si>
  <si>
    <t>+14:02.1</t>
  </si>
  <si>
    <t>ŠIRKA Ignas</t>
  </si>
  <si>
    <t>Ignas ŠIRKA</t>
  </si>
  <si>
    <t>+14:15.1</t>
  </si>
  <si>
    <t>GLEBAUSKAS Saulius</t>
  </si>
  <si>
    <t>Saulius GLEBAUSKAS</t>
  </si>
  <si>
    <t>+14:20.6</t>
  </si>
  <si>
    <t>BAREIŠA Andrius</t>
  </si>
  <si>
    <t>Andrius BAREIŠA</t>
  </si>
  <si>
    <t>+14:27.7</t>
  </si>
  <si>
    <t>LAZAUSKAS Mantvydas</t>
  </si>
  <si>
    <t>Mantvydas LAZAUSKAS</t>
  </si>
  <si>
    <t>+14:34.8</t>
  </si>
  <si>
    <t>CARBONI Maurizio</t>
  </si>
  <si>
    <t>Maurizio CARBONI</t>
  </si>
  <si>
    <t>Neko Runners</t>
  </si>
  <si>
    <t>+14:55.3</t>
  </si>
  <si>
    <t>GERVICKAS Tautvydas</t>
  </si>
  <si>
    <t>Tautvydas GERVICKAS</t>
  </si>
  <si>
    <t>+15:07.6</t>
  </si>
  <si>
    <t>+15:12.5</t>
  </si>
  <si>
    <t>JERMALA Darius</t>
  </si>
  <si>
    <t>Darius JERMALA</t>
  </si>
  <si>
    <t>Atletų kalvė</t>
  </si>
  <si>
    <t>+15:19.4</t>
  </si>
  <si>
    <t>DUNAUSKAS Simas</t>
  </si>
  <si>
    <t>Simas DUNAUSKAS</t>
  </si>
  <si>
    <t>KAGO</t>
  </si>
  <si>
    <t>+15:44.6</t>
  </si>
  <si>
    <t>POCIUS Linas</t>
  </si>
  <si>
    <t>Linas POCIUS</t>
  </si>
  <si>
    <t>+15:47.4</t>
  </si>
  <si>
    <t>ALEKSEJEV Eduard</t>
  </si>
  <si>
    <t>Eduard ALEKSEJEV</t>
  </si>
  <si>
    <t>+15:56.1</t>
  </si>
  <si>
    <t>LUKAŠEVIČIUS Viktoras</t>
  </si>
  <si>
    <t>Viktoras LUKAŠEVIČIUS</t>
  </si>
  <si>
    <t>Cirko meškutės RT</t>
  </si>
  <si>
    <t>+16:14.1</t>
  </si>
  <si>
    <t>LUKAŠEVIČIUS Antanas</t>
  </si>
  <si>
    <t>Antanas LUKAŠEVIČIUS</t>
  </si>
  <si>
    <t>+16:19.8</t>
  </si>
  <si>
    <t>NASKAUSKAS Laurynas</t>
  </si>
  <si>
    <t>Laurynas NASKAUSKAS</t>
  </si>
  <si>
    <t>+16:47.7</t>
  </si>
  <si>
    <t>SABALIAUSKIENĖ Domira</t>
  </si>
  <si>
    <t>Domira SABALIAUSKIENĖ</t>
  </si>
  <si>
    <t>+16:53.3</t>
  </si>
  <si>
    <t>+17:10.3</t>
  </si>
  <si>
    <t>JANKUNAS Rimas</t>
  </si>
  <si>
    <t>Rimas JANKUNAS</t>
  </si>
  <si>
    <t>+17:17.4</t>
  </si>
  <si>
    <t>ANČLAUSKAS Romutis</t>
  </si>
  <si>
    <t>Romutis ANČLAUSKAS</t>
  </si>
  <si>
    <t>Kauno sporto klubas "Šilainiai"</t>
  </si>
  <si>
    <t>+17:53.6</t>
  </si>
  <si>
    <t>ZAVECKAS Donatas</t>
  </si>
  <si>
    <t>Donatas ZAVECKAS</t>
  </si>
  <si>
    <t>+17:59.0</t>
  </si>
  <si>
    <t>ERTMANAS Tomas</t>
  </si>
  <si>
    <t>Tomas ERTMANAS</t>
  </si>
  <si>
    <t>+18:55.0</t>
  </si>
  <si>
    <t>IVAŠKEVIČIUS Tadas</t>
  </si>
  <si>
    <t>Tadas IVAŠKEVIČIUS</t>
  </si>
  <si>
    <t>+19:02.4</t>
  </si>
  <si>
    <t>VARANAUSKAS Rimas</t>
  </si>
  <si>
    <t>Rimas VARANAUSKAS</t>
  </si>
  <si>
    <t>FREDA</t>
  </si>
  <si>
    <t>+19:27.8</t>
  </si>
  <si>
    <t>KRJUČKOVA Ksenija</t>
  </si>
  <si>
    <t>Ksenija KRJUČKOVA</t>
  </si>
  <si>
    <t>+19:28.8</t>
  </si>
  <si>
    <t>IVANAUSKAS Kęstutis</t>
  </si>
  <si>
    <t>Kęstutis IVANAUSKAS</t>
  </si>
  <si>
    <t>+19:43.9</t>
  </si>
  <si>
    <t>BACEVIČIUS Normantas</t>
  </si>
  <si>
    <t>Normantas BACEVIČIUS</t>
  </si>
  <si>
    <t>INK IT TATTOO STUDO</t>
  </si>
  <si>
    <t>+19:54.3</t>
  </si>
  <si>
    <t>BIEKŠA Gintautas</t>
  </si>
  <si>
    <t>Gintautas BIEKŠA</t>
  </si>
  <si>
    <t>+20:05.2</t>
  </si>
  <si>
    <t>RIMKUS Karolis</t>
  </si>
  <si>
    <t>+40:28.6</t>
  </si>
  <si>
    <t>+20:05.3</t>
  </si>
  <si>
    <t>ŠLIUŽAS Šarūnas</t>
  </si>
  <si>
    <t>Šarūnas ŠLIUŽAS</t>
  </si>
  <si>
    <t>+20:17.0</t>
  </si>
  <si>
    <t>RIMKUVIENE Dalia</t>
  </si>
  <si>
    <t>Dalia RIMKUVIENE</t>
  </si>
  <si>
    <t>+20:21.0</t>
  </si>
  <si>
    <t>MASIULIONIS Audrius</t>
  </si>
  <si>
    <t>Audrius MASIULIONIS</t>
  </si>
  <si>
    <t>+20:37.6</t>
  </si>
  <si>
    <t>BERTULIS Jeronimas</t>
  </si>
  <si>
    <t>Jeronimas BERTULIS</t>
  </si>
  <si>
    <t>+20:43.4</t>
  </si>
  <si>
    <t>LIAUDANSKAITĖ Agnė</t>
  </si>
  <si>
    <t>Agnė LIAUDANSKAITĖ</t>
  </si>
  <si>
    <t>+20:51.5</t>
  </si>
  <si>
    <t>MASĖNAITĖ Agnė</t>
  </si>
  <si>
    <t>Agnė MASĖNAITĖ</t>
  </si>
  <si>
    <t>+20:56.4</t>
  </si>
  <si>
    <t>ŠVEDAS Virginijus</t>
  </si>
  <si>
    <t>Virginijus ŠVEDAS</t>
  </si>
  <si>
    <t>+21:44.2</t>
  </si>
  <si>
    <t>KASINSKIENĖ Aistė Alda</t>
  </si>
  <si>
    <t>Aistė Alda KASINSKIENĖ</t>
  </si>
  <si>
    <t>+22:05.9</t>
  </si>
  <si>
    <t>VITONIS Paulius</t>
  </si>
  <si>
    <t>Paulius VITONIS</t>
  </si>
  <si>
    <t>+22:27.0</t>
  </si>
  <si>
    <t>KARMAZIENE Egle</t>
  </si>
  <si>
    <t>Eglė KARMAZIENĖ</t>
  </si>
  <si>
    <t>+22:56.3</t>
  </si>
  <si>
    <t>GRABYS Petras</t>
  </si>
  <si>
    <t>Petras GRABYS</t>
  </si>
  <si>
    <t>Dzukija</t>
  </si>
  <si>
    <t>+23:21.1</t>
  </si>
  <si>
    <t>NEVINSKIENĖ Božena</t>
  </si>
  <si>
    <t>Božena NEVINSKIENĖ</t>
  </si>
  <si>
    <t>+23:57.4</t>
  </si>
  <si>
    <t>SAMAŠKA Linas</t>
  </si>
  <si>
    <t>Linas SAMAŠKA</t>
  </si>
  <si>
    <t>Robinzonada Adventure Team</t>
  </si>
  <si>
    <t>+24:13.9</t>
  </si>
  <si>
    <t>GUDAITIS Dovydas</t>
  </si>
  <si>
    <t>Dovydas GUDAITIS</t>
  </si>
  <si>
    <t>+24:46.2</t>
  </si>
  <si>
    <t>PIRINAUSKAS Justas</t>
  </si>
  <si>
    <t>Justas PIRINAUSKAS</t>
  </si>
  <si>
    <t>+25:06.6</t>
  </si>
  <si>
    <t>JONELIENĖ Vilma</t>
  </si>
  <si>
    <t>Vilma JONELIENĖ</t>
  </si>
  <si>
    <t>+25:32.3</t>
  </si>
  <si>
    <t>UŽKURAITIS Mindaugas</t>
  </si>
  <si>
    <t>Mindaugas UŽKURAITIS</t>
  </si>
  <si>
    <t>+25:39.7</t>
  </si>
  <si>
    <t>PETRUTYTĖ Justina</t>
  </si>
  <si>
    <t>Justina PETRUTYTĖ</t>
  </si>
  <si>
    <t>+26:13.7</t>
  </si>
  <si>
    <t>TAMUSAITIS Lukas</t>
  </si>
  <si>
    <t>Lukas TAMUSAITIS</t>
  </si>
  <si>
    <t>+27:07.0</t>
  </si>
  <si>
    <t>BARKAUSKAITĖ Elvyra</t>
  </si>
  <si>
    <t>Elvyra BARKAUSKAITĖ</t>
  </si>
  <si>
    <t>+27:09.5</t>
  </si>
  <si>
    <t>BIEKŠA Adomas</t>
  </si>
  <si>
    <t>Adomas BIEKŠA</t>
  </si>
  <si>
    <t>+27:34.0</t>
  </si>
  <si>
    <t>ŽILIČIUS Michailas</t>
  </si>
  <si>
    <t>Michailas ŽILIČIUS</t>
  </si>
  <si>
    <t>I'm Shadow Of My Heart</t>
  </si>
  <si>
    <t>+28:23.0</t>
  </si>
  <si>
    <t>DAMBRAUSKAS Andrius</t>
  </si>
  <si>
    <t>Andrius DAMBRAUSKAS</t>
  </si>
  <si>
    <t>+28:58.5</t>
  </si>
  <si>
    <t>JOVARAUSKAS Tautvydas</t>
  </si>
  <si>
    <t>Tautvydas JOVARAUSKAS</t>
  </si>
  <si>
    <t>+29:04.9</t>
  </si>
  <si>
    <t>ŠALAŠEVIČIUS Rytis</t>
  </si>
  <si>
    <t>Rytis ŠALAŠEVIČIUS</t>
  </si>
  <si>
    <t>Akys</t>
  </si>
  <si>
    <t>+29:21.9</t>
  </si>
  <si>
    <t>VIRBICKAS Domininkas</t>
  </si>
  <si>
    <t>Domininkas VIRBICKAS</t>
  </si>
  <si>
    <t>+32:14.9</t>
  </si>
  <si>
    <t>KONDRATJEVA Jekaterina</t>
  </si>
  <si>
    <t>Jekaterina KONDRATJEVA</t>
  </si>
  <si>
    <t>+32:27.0</t>
  </si>
  <si>
    <t>PETRĖNAS Audrius</t>
  </si>
  <si>
    <t>Audrius PETRĖNAS</t>
  </si>
  <si>
    <t>+33:38.9</t>
  </si>
  <si>
    <t>ZNIŠČINSKIJ Eduard</t>
  </si>
  <si>
    <t>Eduard ZNIŠČINSKIJ</t>
  </si>
  <si>
    <t>Inžinerija</t>
  </si>
  <si>
    <t>+33:53.1</t>
  </si>
  <si>
    <t>NORVILAS Regimantas</t>
  </si>
  <si>
    <t>Regimantas NORVILAS</t>
  </si>
  <si>
    <t>+34:41.0</t>
  </si>
  <si>
    <t>ŽILIENĖ Monika</t>
  </si>
  <si>
    <t>Monika ŽILIENĖ</t>
  </si>
  <si>
    <t>TSK Darna</t>
  </si>
  <si>
    <t>+35:15.3</t>
  </si>
  <si>
    <t>LASKIS Mindaugas</t>
  </si>
  <si>
    <t>Mindaugas LASKIS</t>
  </si>
  <si>
    <t>Pagarba</t>
  </si>
  <si>
    <t>+35:39.7</t>
  </si>
  <si>
    <t>ORŽEKAUSKAITĖ Gabija</t>
  </si>
  <si>
    <t>Gabija ORŽEKAUSKAITĖ</t>
  </si>
  <si>
    <t>+37:35.4</t>
  </si>
  <si>
    <t>RASLAVIČIENĖ Eglė</t>
  </si>
  <si>
    <t>Eglė RASLAVIČIENĖ</t>
  </si>
  <si>
    <t>+39:49.9</t>
  </si>
  <si>
    <t>TITKĖ Inga</t>
  </si>
  <si>
    <t>Inga TITKĖ</t>
  </si>
  <si>
    <t>+41:01.3</t>
  </si>
  <si>
    <t>RIMKUS Aurimas</t>
  </si>
  <si>
    <t>Aurimas RIMKUS</t>
  </si>
  <si>
    <t>+41:43.1</t>
  </si>
  <si>
    <t>Swimming</t>
  </si>
  <si>
    <t>Trakų Sporto Centras</t>
  </si>
  <si>
    <t>+3:41.4</t>
  </si>
  <si>
    <t>+6:49.6</t>
  </si>
  <si>
    <t>PEČIUKONIS Povilas</t>
  </si>
  <si>
    <t>Povilas PEČIUKONIS</t>
  </si>
  <si>
    <t>+7:40.6</t>
  </si>
  <si>
    <t>+8:45.2</t>
  </si>
  <si>
    <t>+10:36.4</t>
  </si>
  <si>
    <t>BURBULIS Tomas</t>
  </si>
  <si>
    <t>Tomas BURBULIS</t>
  </si>
  <si>
    <t>+11:54.6</t>
  </si>
  <si>
    <t>POŠKUS Vaidotas</t>
  </si>
  <si>
    <t>Vaidotas POŠKUS</t>
  </si>
  <si>
    <t>+15:07.0</t>
  </si>
  <si>
    <t>+16:10.6</t>
  </si>
  <si>
    <t>+17:30.8</t>
  </si>
  <si>
    <t>+18:07.6</t>
  </si>
  <si>
    <t>SAKALAUSKAS Simas</t>
  </si>
  <si>
    <t>Simas SAKALAUSKAS</t>
  </si>
  <si>
    <t>+18:28.0</t>
  </si>
  <si>
    <t>+18:38.1</t>
  </si>
  <si>
    <t>+18:44.7</t>
  </si>
  <si>
    <t>+18:54.4</t>
  </si>
  <si>
    <t>+19:10.2</t>
  </si>
  <si>
    <t>+20:04.5</t>
  </si>
  <si>
    <t>+20:05.9</t>
  </si>
  <si>
    <t>+21:12.2</t>
  </si>
  <si>
    <t>LABŽENTIS Linas</t>
  </si>
  <si>
    <t>Linas LABŽENTIS</t>
  </si>
  <si>
    <t>+22:20.8</t>
  </si>
  <si>
    <t>+22:21.2</t>
  </si>
  <si>
    <t>+22:42.1</t>
  </si>
  <si>
    <t>TREINYS Žilvinas</t>
  </si>
  <si>
    <t>Žilvinas TREINYS</t>
  </si>
  <si>
    <t>IKIGAI team</t>
  </si>
  <si>
    <t>+22:49.2</t>
  </si>
  <si>
    <t>+24:38.7</t>
  </si>
  <si>
    <t>+25:21.7</t>
  </si>
  <si>
    <t>+25:33.8</t>
  </si>
  <si>
    <t>+26:54.8</t>
  </si>
  <si>
    <t>+27:32.4</t>
  </si>
  <si>
    <t>GRINCEVIČIUS Tadas</t>
  </si>
  <si>
    <t>Tadas GRINCEVIČIUS</t>
  </si>
  <si>
    <t>+27:34.8</t>
  </si>
  <si>
    <t>+27:46.0</t>
  </si>
  <si>
    <t>+28:22.6</t>
  </si>
  <si>
    <t>+28:30.9</t>
  </si>
  <si>
    <t>+28:43.5</t>
  </si>
  <si>
    <t>+29:22.7</t>
  </si>
  <si>
    <t>+29:28.4</t>
  </si>
  <si>
    <t>+29:28.5</t>
  </si>
  <si>
    <t>+29:59.5</t>
  </si>
  <si>
    <t>+30:17.4</t>
  </si>
  <si>
    <t>+31:30.8</t>
  </si>
  <si>
    <t>+31:33.0</t>
  </si>
  <si>
    <t>+32:17.4</t>
  </si>
  <si>
    <t>+33:29.2</t>
  </si>
  <si>
    <t>+34:04.3</t>
  </si>
  <si>
    <t>CHRIMLIS Lukas</t>
  </si>
  <si>
    <t>Lukas CHRIMLIS</t>
  </si>
  <si>
    <t>Tavo Tėvas</t>
  </si>
  <si>
    <t>+34:07.7</t>
  </si>
  <si>
    <t>+35:11.6</t>
  </si>
  <si>
    <t>+35:48.3</t>
  </si>
  <si>
    <t>+36:06.5</t>
  </si>
  <si>
    <t>ABARIUS Kęstutis</t>
  </si>
  <si>
    <t>Kęstutis ABARIUS</t>
  </si>
  <si>
    <t>+36:29.3</t>
  </si>
  <si>
    <t>+36:42.6</t>
  </si>
  <si>
    <t>ŠIDLAUSKIENĖ Sigita</t>
  </si>
  <si>
    <t>Sigita ŠIDLAUSKIENĖ</t>
  </si>
  <si>
    <t>+36:55.2</t>
  </si>
  <si>
    <t>+36:58.5</t>
  </si>
  <si>
    <t>+37:06.9</t>
  </si>
  <si>
    <t>+37:11.5</t>
  </si>
  <si>
    <t>HiLTUS</t>
  </si>
  <si>
    <t>+38:37.6</t>
  </si>
  <si>
    <t>MARMA Martynas</t>
  </si>
  <si>
    <t>Martynas MARMA</t>
  </si>
  <si>
    <t>+39:09.3</t>
  </si>
  <si>
    <t>EIDUKAS Eugenijus</t>
  </si>
  <si>
    <t>Eugenijus EIDUKAS</t>
  </si>
  <si>
    <t>+39:13.9</t>
  </si>
  <si>
    <t>+39:58.3</t>
  </si>
  <si>
    <t>NACEVIČIUS Andrius</t>
  </si>
  <si>
    <t>Andrius NACEVIČIUS</t>
  </si>
  <si>
    <t>+40:06.6</t>
  </si>
  <si>
    <t>JUKNYTĖ Gabija</t>
  </si>
  <si>
    <t>Gabija JUKNYTĖ</t>
  </si>
  <si>
    <t>+40:13.3</t>
  </si>
  <si>
    <t>+40:22.1</t>
  </si>
  <si>
    <t>MASILIAUSKAS Vaidas</t>
  </si>
  <si>
    <t>Vaidas MASILIAUSKAS</t>
  </si>
  <si>
    <t>+40:23.7</t>
  </si>
  <si>
    <t>BAGDONAS Kasparas</t>
  </si>
  <si>
    <t>Kasparas BAGDONAS</t>
  </si>
  <si>
    <t>+40:39.6</t>
  </si>
  <si>
    <t>ITA</t>
  </si>
  <si>
    <t>+41:28.8</t>
  </si>
  <si>
    <t>ČEPONIS Arminas</t>
  </si>
  <si>
    <t>Arminas ČEPONIS</t>
  </si>
  <si>
    <t>Team Ignite</t>
  </si>
  <si>
    <t>+43:10.0</t>
  </si>
  <si>
    <t>SABALIAUSKIENE Domira</t>
  </si>
  <si>
    <t>Domira SABALIAUSKIENE</t>
  </si>
  <si>
    <t>+43:14.2</t>
  </si>
  <si>
    <t>ČERNIUS Ernestas</t>
  </si>
  <si>
    <t>Ernestas ČERNIUS</t>
  </si>
  <si>
    <t>Coached by ChatGPT</t>
  </si>
  <si>
    <t>+43:23.0</t>
  </si>
  <si>
    <t>KANIS Deividas</t>
  </si>
  <si>
    <t>Deividas KANIS</t>
  </si>
  <si>
    <t>+43:30.0</t>
  </si>
  <si>
    <t>+44:36.9</t>
  </si>
  <si>
    <t>+44:44.7</t>
  </si>
  <si>
    <t>MILIAUSKAITE Monika</t>
  </si>
  <si>
    <t>Monika MILIAUSKAITE</t>
  </si>
  <si>
    <t>+44:51.5</t>
  </si>
  <si>
    <t>ŽUKAUSKAS Karolis</t>
  </si>
  <si>
    <t>Karolis ŽUKAUSKAS</t>
  </si>
  <si>
    <t>+45:09.5</t>
  </si>
  <si>
    <t>ZAMBACEVIČIUS Raimundas</t>
  </si>
  <si>
    <t>Raimundas ZAMBACEVIČIUS</t>
  </si>
  <si>
    <t>+45:14.6</t>
  </si>
  <si>
    <t>NORKEVICIUS Antanas ('80)</t>
  </si>
  <si>
    <t>'80) NORKEVICIUS</t>
  </si>
  <si>
    <t>+45:22.4</t>
  </si>
  <si>
    <t>+46:01.3</t>
  </si>
  <si>
    <t>CICĖNAS Rytis</t>
  </si>
  <si>
    <t>Rytis CICĖNAS</t>
  </si>
  <si>
    <t>+46:18.5</t>
  </si>
  <si>
    <t>RADVILAVIČIUS Aurimas</t>
  </si>
  <si>
    <t>Aurimas RADVILAVIČIUS</t>
  </si>
  <si>
    <t>+46:25.5</t>
  </si>
  <si>
    <t>+47:06.9</t>
  </si>
  <si>
    <t>DAUNIENĖ Arūnė</t>
  </si>
  <si>
    <t>Arūnė DAUNIENĖ</t>
  </si>
  <si>
    <t>+47:41.2</t>
  </si>
  <si>
    <t>+48:42.1</t>
  </si>
  <si>
    <t>+49:45.6</t>
  </si>
  <si>
    <t>AZIKEJEV Danas</t>
  </si>
  <si>
    <t>Danas AZIKEJEV</t>
  </si>
  <si>
    <t>+49:45.7</t>
  </si>
  <si>
    <t>BAZIUKAS Jonas</t>
  </si>
  <si>
    <t>Jonas BAZIUKAS</t>
  </si>
  <si>
    <t>stimuliatorius</t>
  </si>
  <si>
    <t>+50:39.6</t>
  </si>
  <si>
    <t>+50:59.5</t>
  </si>
  <si>
    <t>+51:35.1</t>
  </si>
  <si>
    <t>+52:01.0</t>
  </si>
  <si>
    <t>+52:31.9</t>
  </si>
  <si>
    <t>+53:22.5</t>
  </si>
  <si>
    <t>VIKSRAITIS Henrikas</t>
  </si>
  <si>
    <t>Henrikas VIKSRAITIS</t>
  </si>
  <si>
    <t>Sparta</t>
  </si>
  <si>
    <t>+54:08.8</t>
  </si>
  <si>
    <t>+54:45.7</t>
  </si>
  <si>
    <t>+54:55.6</t>
  </si>
  <si>
    <t>MOCKAITIENĖ Simona</t>
  </si>
  <si>
    <t>Simona MOCKAITIENĖ</t>
  </si>
  <si>
    <t>+55:01.0</t>
  </si>
  <si>
    <t>PAKŠTAITĖ - GRIKŠĖ Rūta</t>
  </si>
  <si>
    <t>Rūta PAKŠTAITĖ</t>
  </si>
  <si>
    <t>+58:19.8</t>
  </si>
  <si>
    <t>ŠIMAITIS Mindaugas</t>
  </si>
  <si>
    <t>Mindaugas ŠIMAITIS</t>
  </si>
  <si>
    <t>+1:00:37.3</t>
  </si>
  <si>
    <t>ČEPĖNAS Balys</t>
  </si>
  <si>
    <t>Balys ČEPĖNAS</t>
  </si>
  <si>
    <t>+1:01:13.1</t>
  </si>
  <si>
    <t>GRUSLIENĖ Gabrielė</t>
  </si>
  <si>
    <t>Gabrielė GRUSLIENĖ</t>
  </si>
  <si>
    <t>+1:09:27.8</t>
  </si>
  <si>
    <t>+1:10:26.7</t>
  </si>
  <si>
    <t>+1:19:47.3</t>
  </si>
  <si>
    <t>PETRUŠEVIČIENĖ Laura</t>
  </si>
  <si>
    <t>Laura PETRUŠEVIČIENĖ</t>
  </si>
  <si>
    <t>+1:20:42.1</t>
  </si>
  <si>
    <t>+1:21:13.0</t>
  </si>
  <si>
    <t>NORKEVIČIUS Antanas ('70)</t>
  </si>
  <si>
    <t>'70) NORKEVIČIUS</t>
  </si>
  <si>
    <t>+1:24:50.2</t>
  </si>
  <si>
    <t>MARCINKEVIČIUS Arminas</t>
  </si>
  <si>
    <t>Arminas MARCINKEVIČIUS</t>
  </si>
  <si>
    <t>+1:28:40.1</t>
  </si>
  <si>
    <t>RADŽIŪNAS Mantas</t>
  </si>
  <si>
    <t>Mantas RADŽIŪNAS</t>
  </si>
  <si>
    <t>+1:44:46.9</t>
  </si>
  <si>
    <t>KURKLIETIS Džiugas</t>
  </si>
  <si>
    <t>Džiugas KURKLIETIS</t>
  </si>
  <si>
    <t>RUDMINAS Audrius</t>
  </si>
  <si>
    <t>Audrius RUDMINAS</t>
  </si>
  <si>
    <t>Disqualified</t>
  </si>
  <si>
    <t>Marijampolės Triatlono Draugija</t>
  </si>
  <si>
    <t>+2:42.5</t>
  </si>
  <si>
    <t>+2:42.6</t>
  </si>
  <si>
    <t>+3:34.8</t>
  </si>
  <si>
    <t>+4:49.6</t>
  </si>
  <si>
    <t>+5:28.9</t>
  </si>
  <si>
    <t>Vienas lauke ne kare</t>
  </si>
  <si>
    <t>+6:01.4</t>
  </si>
  <si>
    <t>SAKALAUSKAS Mantvydas</t>
  </si>
  <si>
    <t>Mantvydas SAKALAUSKAS</t>
  </si>
  <si>
    <t>+6:08.6</t>
  </si>
  <si>
    <t>+6:31.5</t>
  </si>
  <si>
    <t>+6:40.0</t>
  </si>
  <si>
    <t>+7:02.9</t>
  </si>
  <si>
    <t>+7:12.9</t>
  </si>
  <si>
    <t>+7:33.0</t>
  </si>
  <si>
    <t>+8:07.6</t>
  </si>
  <si>
    <t>+8:55.7</t>
  </si>
  <si>
    <t>+9:12.0</t>
  </si>
  <si>
    <t>+9:21.2</t>
  </si>
  <si>
    <t>+10:07.9</t>
  </si>
  <si>
    <t>+11:22.8</t>
  </si>
  <si>
    <t>+11:59.6</t>
  </si>
  <si>
    <t>+12:13.8</t>
  </si>
  <si>
    <t>+12:38.4</t>
  </si>
  <si>
    <t>JANULYNAS Audrius</t>
  </si>
  <si>
    <t>Audrius JANULYNAS</t>
  </si>
  <si>
    <t>Javonis OK</t>
  </si>
  <si>
    <t>+13:18.1</t>
  </si>
  <si>
    <t>+13:43.8</t>
  </si>
  <si>
    <t>GER</t>
  </si>
  <si>
    <t>JOCHHEIM Paul</t>
  </si>
  <si>
    <t>Paul JOCHHEIM</t>
  </si>
  <si>
    <t>TVB09</t>
  </si>
  <si>
    <t>+14:04.4</t>
  </si>
  <si>
    <t>+16:01.1</t>
  </si>
  <si>
    <t>+16:42.9</t>
  </si>
  <si>
    <t>GELGOTA Adolfas</t>
  </si>
  <si>
    <t>Adolfas GELGOTA</t>
  </si>
  <si>
    <t>+16:55.0</t>
  </si>
  <si>
    <t>+17:00.4</t>
  </si>
  <si>
    <t>KRIVICIUS Jurijus</t>
  </si>
  <si>
    <t>Jurijus KRIVICIUS</t>
  </si>
  <si>
    <t>+17:18.4</t>
  </si>
  <si>
    <t>GRIGAITIENĖ Edita</t>
  </si>
  <si>
    <t>Edita GRIGAITIENĖ</t>
  </si>
  <si>
    <t>+18:37.0</t>
  </si>
  <si>
    <t>CVIRKIENĖ Gintarė</t>
  </si>
  <si>
    <t>Gintarė CVIRKIENĖ</t>
  </si>
  <si>
    <t>+18:39.0</t>
  </si>
  <si>
    <t>+19:20.4</t>
  </si>
  <si>
    <t>+19:27.1</t>
  </si>
  <si>
    <t>BIEKSA Adomas</t>
  </si>
  <si>
    <t>Adomas BIEKSA</t>
  </si>
  <si>
    <t>+19:40.5</t>
  </si>
  <si>
    <t>+20:06.0</t>
  </si>
  <si>
    <t>BELIAUSKAS Mindaugas</t>
  </si>
  <si>
    <t>Mindaugas BELIAUSKAS</t>
  </si>
  <si>
    <t>+20:47.6</t>
  </si>
  <si>
    <t>+21:00.2</t>
  </si>
  <si>
    <t>LASAUSKAS Nerijus</t>
  </si>
  <si>
    <t>Nerijus LASAUSKAS</t>
  </si>
  <si>
    <t>+21:57.5</t>
  </si>
  <si>
    <t>+22:01.4</t>
  </si>
  <si>
    <t>RIMKUVIENĖ Dalia</t>
  </si>
  <si>
    <t>Dalia RIMKUVIENĖ</t>
  </si>
  <si>
    <t>+22:10.0</t>
  </si>
  <si>
    <t>+22:28.5</t>
  </si>
  <si>
    <t>+22:32.6</t>
  </si>
  <si>
    <t>+24:22.1</t>
  </si>
  <si>
    <t>KLEŠNIEKS Rasa</t>
  </si>
  <si>
    <t>Rasa KLEŠNIEKS</t>
  </si>
  <si>
    <t>+24:43.8</t>
  </si>
  <si>
    <t>+25:41.9</t>
  </si>
  <si>
    <t>ČIUŽAITĖ Eglė</t>
  </si>
  <si>
    <t>Eglė ČIUŽAITĖ</t>
  </si>
  <si>
    <t>+25:54.4</t>
  </si>
  <si>
    <t>BABILA Mindaugas</t>
  </si>
  <si>
    <t>Mindaugas BABILA</t>
  </si>
  <si>
    <t>+27:04.7</t>
  </si>
  <si>
    <t>BERNOTAS Edvardas</t>
  </si>
  <si>
    <t>Edvardas BERNOTAS</t>
  </si>
  <si>
    <t>+28:20.6</t>
  </si>
  <si>
    <t>+31:03.6</t>
  </si>
  <si>
    <t>JUOZAPAVIČIUS Marius</t>
  </si>
  <si>
    <t>Marius JUOZAPAVIČIUS</t>
  </si>
  <si>
    <t>+32:03.3</t>
  </si>
  <si>
    <t>VYŠNIAUSKAS Kristijonas</t>
  </si>
  <si>
    <t>Kristijonas VYŠNIAUSKAS</t>
  </si>
  <si>
    <t>+32:26.1</t>
  </si>
  <si>
    <t>+32:37.1</t>
  </si>
  <si>
    <t>ŠOPIS Audrius</t>
  </si>
  <si>
    <t>Audrius ŠOPIS</t>
  </si>
  <si>
    <t>+32:44.9</t>
  </si>
  <si>
    <t>KESTAUSKAS Adas</t>
  </si>
  <si>
    <t>Adas KESTAUSKAS</t>
  </si>
  <si>
    <t>+33:56.9</t>
  </si>
  <si>
    <t>MATULEVIČIŪTĖ Viktorija</t>
  </si>
  <si>
    <t>Viktorija MATULEVIČIŪTĖ</t>
  </si>
  <si>
    <t>+39:04.5</t>
  </si>
  <si>
    <t>BINKEVIČIUS Tomas</t>
  </si>
  <si>
    <t>Tomas BINKEVIČIUS</t>
  </si>
  <si>
    <t>+39:31.6</t>
  </si>
  <si>
    <t>SNUKIŠKIS Šarūnas</t>
  </si>
  <si>
    <t>Šarūnas SNUKIŠKIS</t>
  </si>
  <si>
    <t>+44:00.7</t>
  </si>
  <si>
    <t>MOCKUS Agne</t>
  </si>
  <si>
    <t>Agne MOCKUS</t>
  </si>
  <si>
    <t>+48:58.6</t>
  </si>
  <si>
    <t>Clovis</t>
  </si>
  <si>
    <t>Beurrier</t>
  </si>
  <si>
    <t>Clovis Beurrier</t>
  </si>
  <si>
    <t>FRA</t>
  </si>
  <si>
    <t>M</t>
  </si>
  <si>
    <t>Airidas</t>
  </si>
  <si>
    <t>Gražinskis</t>
  </si>
  <si>
    <t>Aleksej</t>
  </si>
  <si>
    <t>Kaminskij</t>
  </si>
  <si>
    <t>Lukas</t>
  </si>
  <si>
    <t>Matulaitis</t>
  </si>
  <si>
    <t>Mantas</t>
  </si>
  <si>
    <t>Marcinkevičius</t>
  </si>
  <si>
    <t>Kukenys</t>
  </si>
  <si>
    <t>Rūta</t>
  </si>
  <si>
    <t>Juškevičiūtė</t>
  </si>
  <si>
    <t>K</t>
  </si>
  <si>
    <t>F30-</t>
  </si>
  <si>
    <t>Vaidas</t>
  </si>
  <si>
    <t>Velutis</t>
  </si>
  <si>
    <t>Darius</t>
  </si>
  <si>
    <t>Borisas</t>
  </si>
  <si>
    <t>Saulius</t>
  </si>
  <si>
    <t>Kerza</t>
  </si>
  <si>
    <t>Irmantas</t>
  </si>
  <si>
    <t>Budrys</t>
  </si>
  <si>
    <t>Arūnas</t>
  </si>
  <si>
    <t>Maciulevičius</t>
  </si>
  <si>
    <t>Sigita</t>
  </si>
  <si>
    <t>Šidlauskienė</t>
  </si>
  <si>
    <t>F40-</t>
  </si>
  <si>
    <t>Tomas</t>
  </si>
  <si>
    <t>Gruslys</t>
  </si>
  <si>
    <t>Jūratė</t>
  </si>
  <si>
    <t>Keinytė</t>
  </si>
  <si>
    <t>Aistė</t>
  </si>
  <si>
    <t>Alda Kasinskienė</t>
  </si>
  <si>
    <t>F45-</t>
  </si>
  <si>
    <t>Liudmila</t>
  </si>
  <si>
    <t>Volbikienė</t>
  </si>
  <si>
    <t>Gabrielė</t>
  </si>
  <si>
    <t>Gruslienė</t>
  </si>
  <si>
    <t>Speed</t>
  </si>
  <si>
    <t>MV35</t>
  </si>
  <si>
    <t>15,51</t>
  </si>
  <si>
    <t>MV40</t>
  </si>
  <si>
    <t>14,67</t>
  </si>
  <si>
    <t>MV45</t>
  </si>
  <si>
    <t>14,56</t>
  </si>
  <si>
    <t>MV50</t>
  </si>
  <si>
    <t>14,42</t>
  </si>
  <si>
    <t>14,3</t>
  </si>
  <si>
    <t>Zoomies</t>
  </si>
  <si>
    <t>14,23</t>
  </si>
  <si>
    <t>#ERROR!</t>
  </si>
  <si>
    <t>14,21</t>
  </si>
  <si>
    <t>MV30</t>
  </si>
  <si>
    <t>14,15</t>
  </si>
  <si>
    <t>13,84</t>
  </si>
  <si>
    <t>13,82</t>
  </si>
  <si>
    <t>Aktyvus vaikų ir suaugusių laisvalaikis</t>
  </si>
  <si>
    <t>13,72</t>
  </si>
  <si>
    <t>MV55</t>
  </si>
  <si>
    <t>13,69</t>
  </si>
  <si>
    <t>13,55</t>
  </si>
  <si>
    <t>13,38</t>
  </si>
  <si>
    <t>13,18</t>
  </si>
  <si>
    <t>13,16</t>
  </si>
  <si>
    <t>13,08</t>
  </si>
  <si>
    <t>Sesės bėga</t>
  </si>
  <si>
    <t>12,97</t>
  </si>
  <si>
    <t>12,93</t>
  </si>
  <si>
    <t>12,85</t>
  </si>
  <si>
    <t>LAMMC</t>
  </si>
  <si>
    <t>12,77</t>
  </si>
  <si>
    <t>12,76</t>
  </si>
  <si>
    <t>VVsport</t>
  </si>
  <si>
    <t>12,68</t>
  </si>
  <si>
    <t>OCR Baltic warriors</t>
  </si>
  <si>
    <t>12,67</t>
  </si>
  <si>
    <t>12,66</t>
  </si>
  <si>
    <t>Brasa Crossfit</t>
  </si>
  <si>
    <t>12,59</t>
  </si>
  <si>
    <t>12,5</t>
  </si>
  <si>
    <t>eldorado&amp;humbility sports</t>
  </si>
  <si>
    <t>12,4</t>
  </si>
  <si>
    <t>12,32</t>
  </si>
  <si>
    <t>IronGrimai</t>
  </si>
  <si>
    <t>12,27</t>
  </si>
  <si>
    <t>OK Javonis</t>
  </si>
  <si>
    <t>12,25</t>
  </si>
  <si>
    <t>Decathlon Lietuva</t>
  </si>
  <si>
    <t>12,23</t>
  </si>
  <si>
    <t>12,22</t>
  </si>
  <si>
    <t>12,2</t>
  </si>
  <si>
    <t>12,16</t>
  </si>
  <si>
    <t>12,13</t>
  </si>
  <si>
    <t>12,1</t>
  </si>
  <si>
    <t>MV65</t>
  </si>
  <si>
    <t>12,08</t>
  </si>
  <si>
    <t>individualiai</t>
  </si>
  <si>
    <t>MV60</t>
  </si>
  <si>
    <t>11,98</t>
  </si>
  <si>
    <t>11,89</t>
  </si>
  <si>
    <t>11,88</t>
  </si>
  <si>
    <t>11,84</t>
  </si>
  <si>
    <t>11,83</t>
  </si>
  <si>
    <t>FadersUP</t>
  </si>
  <si>
    <t>11,82</t>
  </si>
  <si>
    <t>Volvere Run</t>
  </si>
  <si>
    <t>11,8</t>
  </si>
  <si>
    <t>11,77</t>
  </si>
  <si>
    <t>11,76</t>
  </si>
  <si>
    <t>11,73</t>
  </si>
  <si>
    <t>Running Cats</t>
  </si>
  <si>
    <t>11,7</t>
  </si>
  <si>
    <t>11,58</t>
  </si>
  <si>
    <t>LIFE IS GOOD</t>
  </si>
  <si>
    <t>11,55</t>
  </si>
  <si>
    <t>MV25</t>
  </si>
  <si>
    <t>11,54</t>
  </si>
  <si>
    <t>Aukštaitijos plaukimo-triatlono akademija</t>
  </si>
  <si>
    <t>11,52</t>
  </si>
  <si>
    <t>11,51</t>
  </si>
  <si>
    <t>11,49</t>
  </si>
  <si>
    <t>11,43</t>
  </si>
  <si>
    <t>11,37</t>
  </si>
  <si>
    <t>Trakų triatlono būrelis</t>
  </si>
  <si>
    <t>11,36</t>
  </si>
  <si>
    <t>11,29</t>
  </si>
  <si>
    <t>11,28</t>
  </si>
  <si>
    <t>11,24</t>
  </si>
  <si>
    <t>11,17</t>
  </si>
  <si>
    <t>11,09</t>
  </si>
  <si>
    <t>11,05</t>
  </si>
  <si>
    <t>Zoomies, SK S-Sportas</t>
  </si>
  <si>
    <t>11,01</t>
  </si>
  <si>
    <t>10,92</t>
  </si>
  <si>
    <t>10,81</t>
  </si>
  <si>
    <t>RPG House</t>
  </si>
  <si>
    <t>10,8</t>
  </si>
  <si>
    <t>10,74</t>
  </si>
  <si>
    <t>10,68</t>
  </si>
  <si>
    <t>10,66</t>
  </si>
  <si>
    <t>Runglorious bastards</t>
  </si>
  <si>
    <t>10,64</t>
  </si>
  <si>
    <t>10,63</t>
  </si>
  <si>
    <t>10,43</t>
  </si>
  <si>
    <t>CatRunTeam</t>
  </si>
  <si>
    <t>10,4</t>
  </si>
  <si>
    <t>10,37</t>
  </si>
  <si>
    <t>10,35</t>
  </si>
  <si>
    <t>BalticPower</t>
  </si>
  <si>
    <t>10,28</t>
  </si>
  <si>
    <t>Grębkebab</t>
  </si>
  <si>
    <t>10,24</t>
  </si>
  <si>
    <t>10,05</t>
  </si>
  <si>
    <t>10,02</t>
  </si>
  <si>
    <t>Squadra Tubi</t>
  </si>
  <si>
    <t>9,81</t>
  </si>
  <si>
    <t>9,73</t>
  </si>
  <si>
    <t>9,61</t>
  </si>
  <si>
    <t>Gedimino Dilerto fanų klubas</t>
  </si>
  <si>
    <t>9,49</t>
  </si>
  <si>
    <t>Amber CrossFit</t>
  </si>
  <si>
    <t>9,39</t>
  </si>
  <si>
    <t>9,25</t>
  </si>
  <si>
    <t>8,26</t>
  </si>
  <si>
    <t>Tingi Monkės</t>
  </si>
  <si>
    <t>8,11</t>
  </si>
  <si>
    <t>7,7</t>
  </si>
  <si>
    <t>HC Dzūkija Alytus</t>
  </si>
  <si>
    <t>MV75</t>
  </si>
  <si>
    <t>7,07</t>
  </si>
  <si>
    <t>Garmin T1+T2</t>
  </si>
  <si>
    <t>EM</t>
  </si>
  <si>
    <t>GRIGONIS Oskaras</t>
  </si>
  <si>
    <t>Emmanuel University - BTT - LSR</t>
  </si>
  <si>
    <t>+3:16.8</t>
  </si>
  <si>
    <t>+5:39.8</t>
  </si>
  <si>
    <t>+6:04.2</t>
  </si>
  <si>
    <t>+6:38.4</t>
  </si>
  <si>
    <t>+9:12.7</t>
  </si>
  <si>
    <t>+10:15.5</t>
  </si>
  <si>
    <t>+11:07.6</t>
  </si>
  <si>
    <t>+12:00.7</t>
  </si>
  <si>
    <t>+12:10.0</t>
  </si>
  <si>
    <t>+12:43.6</t>
  </si>
  <si>
    <t>+13:23.9</t>
  </si>
  <si>
    <t>+13:43.7</t>
  </si>
  <si>
    <t>+14:16.2</t>
  </si>
  <si>
    <t>+14:51.4</t>
  </si>
  <si>
    <t>+14:58.6</t>
  </si>
  <si>
    <t>GARBAUSKAITĖ Gabrielė</t>
  </si>
  <si>
    <t>EF</t>
  </si>
  <si>
    <t>+15:30.4</t>
  </si>
  <si>
    <t>+16:33.4</t>
  </si>
  <si>
    <t>SAPIENS</t>
  </si>
  <si>
    <t>+16:51.8</t>
  </si>
  <si>
    <t>+17:11.4</t>
  </si>
  <si>
    <t>+17:20.6</t>
  </si>
  <si>
    <t>ALSAUSKAS Giedrius</t>
  </si>
  <si>
    <t>+17:37.6</t>
  </si>
  <si>
    <t>UZIALO Deividas</t>
  </si>
  <si>
    <t>Deividas UZIALO</t>
  </si>
  <si>
    <t>+18:34.5</t>
  </si>
  <si>
    <t>RAMONAS Laurynas</t>
  </si>
  <si>
    <t>Laurynas RAMONAS</t>
  </si>
  <si>
    <t>+19:34.6</t>
  </si>
  <si>
    <t>+19:55.5</t>
  </si>
  <si>
    <t>KAZLAUSKAS Andrius</t>
  </si>
  <si>
    <t>Andrius KAZLAUSKAS</t>
  </si>
  <si>
    <t>+20:09.6</t>
  </si>
  <si>
    <t>+20:12.2</t>
  </si>
  <si>
    <t>GUSTAITYTĖ Vilgustė</t>
  </si>
  <si>
    <t>Panevėžio triatlono klubas/RSSG/IPM</t>
  </si>
  <si>
    <t>+20:16.4</t>
  </si>
  <si>
    <t>GERULAITIS Juozas</t>
  </si>
  <si>
    <t>+20:29.9</t>
  </si>
  <si>
    <t>GRINCEVICIUS Tadas</t>
  </si>
  <si>
    <t>+20:59.0</t>
  </si>
  <si>
    <t>+20:59.9</t>
  </si>
  <si>
    <t>+21:18.6</t>
  </si>
  <si>
    <t>GRIGARAS Juozas</t>
  </si>
  <si>
    <t>+21:19.9</t>
  </si>
  <si>
    <t>+22:12.2</t>
  </si>
  <si>
    <t>SVYRYDENKO Viktor</t>
  </si>
  <si>
    <t>+22:22.2</t>
  </si>
  <si>
    <t>+23:12.8</t>
  </si>
  <si>
    <t>RUPŠYS Tomas Petras</t>
  </si>
  <si>
    <t>Petras RUPŠYS</t>
  </si>
  <si>
    <t>+23:17.0</t>
  </si>
  <si>
    <t>+23:26.6</t>
  </si>
  <si>
    <t>+23:33.4</t>
  </si>
  <si>
    <t>+23:48.0</t>
  </si>
  <si>
    <t>MARCINKEVICIUS Antanas</t>
  </si>
  <si>
    <t>+24:12.9</t>
  </si>
  <si>
    <t>PUGEVIČIUS Dovydas</t>
  </si>
  <si>
    <t>Dovydas PUGEVIČIUS</t>
  </si>
  <si>
    <t>+24:15.4</t>
  </si>
  <si>
    <t>+24:27.8</t>
  </si>
  <si>
    <t>LYNIKAS Mantas</t>
  </si>
  <si>
    <t>Loch Ness</t>
  </si>
  <si>
    <t>+24:34.8</t>
  </si>
  <si>
    <t>+24:36.9</t>
  </si>
  <si>
    <t>+24:56.5</t>
  </si>
  <si>
    <t>+24:59.0</t>
  </si>
  <si>
    <t>+25:01.6</t>
  </si>
  <si>
    <t>KARTAŠOVAS Aldas</t>
  </si>
  <si>
    <t>Aldas KARTAŠOVAS</t>
  </si>
  <si>
    <t>+25:02.0</t>
  </si>
  <si>
    <t>+25:07.7</t>
  </si>
  <si>
    <t>+25:32.5</t>
  </si>
  <si>
    <t>+25:49.8</t>
  </si>
  <si>
    <t>+25:54.6</t>
  </si>
  <si>
    <t>+26:16.7</t>
  </si>
  <si>
    <t>ŠAKYS Matas</t>
  </si>
  <si>
    <t>ELDORADO X HUMBILITY SPORTS</t>
  </si>
  <si>
    <t>+26:31.0</t>
  </si>
  <si>
    <t>BUTNORIUS Rokas</t>
  </si>
  <si>
    <t>+26:37.3</t>
  </si>
  <si>
    <t>+27:16.0</t>
  </si>
  <si>
    <t>+27:43.7</t>
  </si>
  <si>
    <t>+27:52.9</t>
  </si>
  <si>
    <t>ZAREVICIUS Ignas</t>
  </si>
  <si>
    <t>+28:03.8</t>
  </si>
  <si>
    <t>+28:09.3</t>
  </si>
  <si>
    <t>JANČIUS Deividas</t>
  </si>
  <si>
    <t>+28:29.3</t>
  </si>
  <si>
    <t>+28:38.0</t>
  </si>
  <si>
    <t>POKALO Roman</t>
  </si>
  <si>
    <t>Roman POKALO</t>
  </si>
  <si>
    <t>+28:45.7</t>
  </si>
  <si>
    <t>+29:17.0</t>
  </si>
  <si>
    <t>+29:20.3</t>
  </si>
  <si>
    <t>ZAPARACKAS Arnas</t>
  </si>
  <si>
    <t>Arnas ZAPARACKAS</t>
  </si>
  <si>
    <t>+29:43.6</t>
  </si>
  <si>
    <t>+30:33.6</t>
  </si>
  <si>
    <t>+30:52.9</t>
  </si>
  <si>
    <t>+30:55.0</t>
  </si>
  <si>
    <t>+30:55.4</t>
  </si>
  <si>
    <t>+30:59.2</t>
  </si>
  <si>
    <t>+31:19.8</t>
  </si>
  <si>
    <t>KOSTAREVS Aleksandrs</t>
  </si>
  <si>
    <t>+31:50.6</t>
  </si>
  <si>
    <t>KOVALENKINAS Pavelas</t>
  </si>
  <si>
    <t>+32:34.6</t>
  </si>
  <si>
    <t>BENIUSIS Nerijus</t>
  </si>
  <si>
    <t>Nerijus BENIUŠIS</t>
  </si>
  <si>
    <t>+32:40.3</t>
  </si>
  <si>
    <t>JAKUČIONIS Martynas</t>
  </si>
  <si>
    <t>Martynas JAKUČIONIS</t>
  </si>
  <si>
    <t>+32:55.8</t>
  </si>
  <si>
    <t>PETRULIONIS Artūras</t>
  </si>
  <si>
    <t>+33:31.7</t>
  </si>
  <si>
    <t>TRUSOVAS Vytautas</t>
  </si>
  <si>
    <t>+33:39.6</t>
  </si>
  <si>
    <t>ALEKSANDRAVIČIUS Domantas</t>
  </si>
  <si>
    <t>Thermo Fisher Scientific</t>
  </si>
  <si>
    <t>+33:53.0</t>
  </si>
  <si>
    <t>JANUSKEVICIUS Gustautas</t>
  </si>
  <si>
    <t>Gustautas JANUSKEVICIUS</t>
  </si>
  <si>
    <t>+34:09.8</t>
  </si>
  <si>
    <t>ČIUŽAS Arvydas</t>
  </si>
  <si>
    <t>Arvydas ČIUŽAS</t>
  </si>
  <si>
    <t>+34:12.6</t>
  </si>
  <si>
    <t>KARPENKO Deimanas</t>
  </si>
  <si>
    <t>+34:31.8</t>
  </si>
  <si>
    <t>+34:40.6</t>
  </si>
  <si>
    <t>SIVICKIJ Valdemaras</t>
  </si>
  <si>
    <t>Valdemaras SIVICKIJ</t>
  </si>
  <si>
    <t>+34:47.7</t>
  </si>
  <si>
    <t>+35:22.0</t>
  </si>
  <si>
    <t>VASILJEVIENĖ Lina</t>
  </si>
  <si>
    <t>Lina VASILJEVIENĖ</t>
  </si>
  <si>
    <t>+36:05.4</t>
  </si>
  <si>
    <t>SKIRGAILA Aurimas</t>
  </si>
  <si>
    <t>Nasdaq</t>
  </si>
  <si>
    <t>+36:08.5</t>
  </si>
  <si>
    <t>ULEVICIUTE Ruta</t>
  </si>
  <si>
    <t>+36:18.4</t>
  </si>
  <si>
    <t>BLAŠKO Jonas</t>
  </si>
  <si>
    <t>+36:46.9</t>
  </si>
  <si>
    <t>NACEVICIUS Andrius</t>
  </si>
  <si>
    <t>Andrius NACEVICIUS</t>
  </si>
  <si>
    <t>+36:47.2</t>
  </si>
  <si>
    <t>VERIKAS Jurgis</t>
  </si>
  <si>
    <t>+37:06.6</t>
  </si>
  <si>
    <t>KLIONOVSKIS Redas</t>
  </si>
  <si>
    <t>+37:10.2</t>
  </si>
  <si>
    <t>JANUSKEVICIUS Elvis</t>
  </si>
  <si>
    <t>Elvis JANUSKEVICIUS</t>
  </si>
  <si>
    <t>+37:16.0</t>
  </si>
  <si>
    <t>EITAVICIUS Giedrius</t>
  </si>
  <si>
    <t>+37:18.2</t>
  </si>
  <si>
    <t>CELIEŠIUS Mindaugas</t>
  </si>
  <si>
    <t>+37:47.3</t>
  </si>
  <si>
    <t>+38:24.9</t>
  </si>
  <si>
    <t>+38:25.7</t>
  </si>
  <si>
    <t>FREIMANIS Kaspars</t>
  </si>
  <si>
    <t>The Tri Guys</t>
  </si>
  <si>
    <t>+38:29.9</t>
  </si>
  <si>
    <t>KINDURYS Jonas</t>
  </si>
  <si>
    <t>Kinetika</t>
  </si>
  <si>
    <t>+39:06.0</t>
  </si>
  <si>
    <t>TOP EXCHANGE</t>
  </si>
  <si>
    <t>+39:20.1</t>
  </si>
  <si>
    <t>PETKEVICIUS Andrius</t>
  </si>
  <si>
    <t>DevSlate</t>
  </si>
  <si>
    <t>+39:28.9</t>
  </si>
  <si>
    <t>+39:37.2</t>
  </si>
  <si>
    <t>+40:14.9</t>
  </si>
  <si>
    <t>+40:30.8</t>
  </si>
  <si>
    <t>MULEVIČIUS Algirdas</t>
  </si>
  <si>
    <t>+40:32.4</t>
  </si>
  <si>
    <t>+41:31.5</t>
  </si>
  <si>
    <t>+41:43.7</t>
  </si>
  <si>
    <t>+41:50.4</t>
  </si>
  <si>
    <t>+42:02.2</t>
  </si>
  <si>
    <t>+42:04.6</t>
  </si>
  <si>
    <t>NAUDŽIUNAS Žilvinas</t>
  </si>
  <si>
    <t>+42:19.8</t>
  </si>
  <si>
    <t>POŠIŪNAS Dominykas</t>
  </si>
  <si>
    <t>+42:32.8</t>
  </si>
  <si>
    <t>MIKAILA Bartas</t>
  </si>
  <si>
    <t>+42:48.7</t>
  </si>
  <si>
    <t>AUKSORAITIS Lukas</t>
  </si>
  <si>
    <t>U</t>
  </si>
  <si>
    <t>+42:59.4</t>
  </si>
  <si>
    <t>VAICEKAUSKAS Karolis</t>
  </si>
  <si>
    <t>Karolis VAICEKAUSKAS</t>
  </si>
  <si>
    <t>+43:22.2</t>
  </si>
  <si>
    <t>JACUKEVIČIUS Tomas</t>
  </si>
  <si>
    <t>+43:33.1</t>
  </si>
  <si>
    <t>GRUODIS Marius</t>
  </si>
  <si>
    <t>Marius GRUODIS</t>
  </si>
  <si>
    <t>Cowi</t>
  </si>
  <si>
    <t>+43:36.7</t>
  </si>
  <si>
    <t>KRINICKIS Karolis</t>
  </si>
  <si>
    <t>TRAKAISKI</t>
  </si>
  <si>
    <t>+43:40.0</t>
  </si>
  <si>
    <t>SPARTA</t>
  </si>
  <si>
    <t>+43:47.7</t>
  </si>
  <si>
    <t>Life is good</t>
  </si>
  <si>
    <t>+44:00.6</t>
  </si>
  <si>
    <t>GRIKIETIS Matas</t>
  </si>
  <si>
    <t>+44:21.1</t>
  </si>
  <si>
    <t>+44:24.9</t>
  </si>
  <si>
    <t>MALUKAS Mantas</t>
  </si>
  <si>
    <t>+44:32.4</t>
  </si>
  <si>
    <t>+44:33.2</t>
  </si>
  <si>
    <t>KOVALEVSKI Andzej</t>
  </si>
  <si>
    <t>+44:45.0</t>
  </si>
  <si>
    <t>+45:08.4</t>
  </si>
  <si>
    <t>KAŠKONAS Eimantas</t>
  </si>
  <si>
    <t>+45:11.1</t>
  </si>
  <si>
    <t>+45:16.3</t>
  </si>
  <si>
    <t>+45:42.6</t>
  </si>
  <si>
    <t>KAVALIŪNAS Kazimieras</t>
  </si>
  <si>
    <t>ANDRONICEVS Nikita</t>
  </si>
  <si>
    <t>+46:31.5</t>
  </si>
  <si>
    <t>JABLONSKIS Antanas</t>
  </si>
  <si>
    <t>GURU PAY</t>
  </si>
  <si>
    <t>+46:37.6</t>
  </si>
  <si>
    <t>TITKA Bernardas</t>
  </si>
  <si>
    <t>Bernardas TITKA</t>
  </si>
  <si>
    <t>+46:50.3</t>
  </si>
  <si>
    <t>+47:04.1</t>
  </si>
  <si>
    <t>+47:22.7</t>
  </si>
  <si>
    <t>NOR</t>
  </si>
  <si>
    <t>BAKKEN WAMMER Sondre</t>
  </si>
  <si>
    <t>Team Bakvogn</t>
  </si>
  <si>
    <t>+47:29.1</t>
  </si>
  <si>
    <t>SMIRNOV Aleksej</t>
  </si>
  <si>
    <t>Lapeles</t>
  </si>
  <si>
    <t>+47:38.0</t>
  </si>
  <si>
    <t>VIRBICKAS Audrius</t>
  </si>
  <si>
    <t>Audrius VIRBICKAS</t>
  </si>
  <si>
    <t>+47:51.3</t>
  </si>
  <si>
    <t>ZUBRECOVAS Viktoras</t>
  </si>
  <si>
    <t>+48:09.3</t>
  </si>
  <si>
    <t>+48:12.2</t>
  </si>
  <si>
    <t>PLIČAS Paulius</t>
  </si>
  <si>
    <t>Paulius PLIČAS</t>
  </si>
  <si>
    <t>+48:15.4</t>
  </si>
  <si>
    <t>+48:26.1</t>
  </si>
  <si>
    <t>+48:36.2</t>
  </si>
  <si>
    <t>ČIURINSKAS Darius</t>
  </si>
  <si>
    <t>+48:46.9</t>
  </si>
  <si>
    <t>GUMBREVICIUS Miglius</t>
  </si>
  <si>
    <t>+48:52.7</t>
  </si>
  <si>
    <t>STRAZDAS Rimvydas</t>
  </si>
  <si>
    <t>+49:03.0</t>
  </si>
  <si>
    <t>GRAT Justin</t>
  </si>
  <si>
    <t>+49:16.0</t>
  </si>
  <si>
    <t>MIEŽYS Aras</t>
  </si>
  <si>
    <t>+49:21.5</t>
  </si>
  <si>
    <t>BIRUTIS Justas</t>
  </si>
  <si>
    <t>+49:21.8</t>
  </si>
  <si>
    <t>KANYS Edgaras</t>
  </si>
  <si>
    <t>+49:22.4</t>
  </si>
  <si>
    <t>KIERAS Karolis</t>
  </si>
  <si>
    <t>Įkrautas</t>
  </si>
  <si>
    <t>+49:51.2</t>
  </si>
  <si>
    <t>BUTKUS Vygantas</t>
  </si>
  <si>
    <t>+49:56.5</t>
  </si>
  <si>
    <t>PONELIS Andrius</t>
  </si>
  <si>
    <t>+50:03.3</t>
  </si>
  <si>
    <t>+50:09.2</t>
  </si>
  <si>
    <t>BERANGER Jules</t>
  </si>
  <si>
    <t>+50:10.1</t>
  </si>
  <si>
    <t>+50:35.0</t>
  </si>
  <si>
    <t>ŽĖKAS Raimondas</t>
  </si>
  <si>
    <t>pilkapėda</t>
  </si>
  <si>
    <t>+50:49.6</t>
  </si>
  <si>
    <t>+51:06.9</t>
  </si>
  <si>
    <t>+51:17.0</t>
  </si>
  <si>
    <t>+51:25.4</t>
  </si>
  <si>
    <t>MOLIS Marius</t>
  </si>
  <si>
    <t>Lactose Intolerant</t>
  </si>
  <si>
    <t>+51:47.6</t>
  </si>
  <si>
    <t>VARNELIS Vidmantas</t>
  </si>
  <si>
    <t>+51:58.5</t>
  </si>
  <si>
    <t>+52:22.7</t>
  </si>
  <si>
    <t>SVIGLINSKIENĖ Laura</t>
  </si>
  <si>
    <t>+52:23.2</t>
  </si>
  <si>
    <t>LEONAVIČIUS Mantas</t>
  </si>
  <si>
    <t>YIT Lietuva</t>
  </si>
  <si>
    <t>+52:27.8</t>
  </si>
  <si>
    <t>DAVIDAVIČIUS Marius</t>
  </si>
  <si>
    <t>+52:29.0</t>
  </si>
  <si>
    <t>GRAŽYS Modestas</t>
  </si>
  <si>
    <t>+52:33.8</t>
  </si>
  <si>
    <t>+52:48.3</t>
  </si>
  <si>
    <t>SIMAITIS Rimantas</t>
  </si>
  <si>
    <t>Šviesos kariai</t>
  </si>
  <si>
    <t>+52:54.1</t>
  </si>
  <si>
    <t>MORKUNAS Mindaugas</t>
  </si>
  <si>
    <t>+52:55.0</t>
  </si>
  <si>
    <t>MONKEVIČIUS Miroslavas</t>
  </si>
  <si>
    <t>+52:56.2</t>
  </si>
  <si>
    <t>Tauragės bėgimo klubas</t>
  </si>
  <si>
    <t>+53:05.8</t>
  </si>
  <si>
    <t>BANEVIČIUS Elonas</t>
  </si>
  <si>
    <t>+53:11.3</t>
  </si>
  <si>
    <t>ČEBRUK Arturas</t>
  </si>
  <si>
    <t>+53:20.5</t>
  </si>
  <si>
    <t>+53:32.6</t>
  </si>
  <si>
    <t>SUVEIZDIS Marius</t>
  </si>
  <si>
    <t>91BN</t>
  </si>
  <si>
    <t>+53:33.1</t>
  </si>
  <si>
    <t>VORONKOV Vitoldas</t>
  </si>
  <si>
    <t>+53:45.8</t>
  </si>
  <si>
    <t>+53:49.0</t>
  </si>
  <si>
    <t>VOGULIS Danas</t>
  </si>
  <si>
    <t>Danas VOGULIS</t>
  </si>
  <si>
    <t>+53:55.3</t>
  </si>
  <si>
    <t>DERTON Nicola</t>
  </si>
  <si>
    <t>GP TRIATHLON</t>
  </si>
  <si>
    <t>+53:56.0</t>
  </si>
  <si>
    <t>LOPEZ-ČEČETAITĖ Danielle</t>
  </si>
  <si>
    <t>+53:57.3</t>
  </si>
  <si>
    <t>KRUETZFELDT Lars</t>
  </si>
  <si>
    <t>+54:14.0</t>
  </si>
  <si>
    <t>KARMAZIENĖ Eglė</t>
  </si>
  <si>
    <t>+54:55.0</t>
  </si>
  <si>
    <t>+55:31.1</t>
  </si>
  <si>
    <t>PAULAUSKAS Modestas</t>
  </si>
  <si>
    <t>+55:47.7</t>
  </si>
  <si>
    <t>BUDŽYS Arnoldas</t>
  </si>
  <si>
    <t>+55:55.6</t>
  </si>
  <si>
    <t>VENCKUTĖ Agnė</t>
  </si>
  <si>
    <t>Agnė VENCKUTĖ</t>
  </si>
  <si>
    <t>+55:58.6</t>
  </si>
  <si>
    <t>MATVEKS Pavels</t>
  </si>
  <si>
    <t>+56:04.4</t>
  </si>
  <si>
    <t>+56:19.8</t>
  </si>
  <si>
    <t>DEMIDENKO Alexey</t>
  </si>
  <si>
    <t>+56:39.5</t>
  </si>
  <si>
    <t>BUTENIS Agnius</t>
  </si>
  <si>
    <t>+56:51.2</t>
  </si>
  <si>
    <t>POL</t>
  </si>
  <si>
    <t>KODZIS Piotr</t>
  </si>
  <si>
    <t>Piotr KODZIS</t>
  </si>
  <si>
    <t>ooo.ovovo.ooo</t>
  </si>
  <si>
    <t>+56:54.9</t>
  </si>
  <si>
    <t>JANKAUSKAS Edgaras</t>
  </si>
  <si>
    <t>+56:58.3</t>
  </si>
  <si>
    <t>+57:07.4</t>
  </si>
  <si>
    <t>+57:25.1</t>
  </si>
  <si>
    <t>+57:26.8</t>
  </si>
  <si>
    <t>RAGINIS Lukas</t>
  </si>
  <si>
    <t>Kinètika studios</t>
  </si>
  <si>
    <t>+57:27.0</t>
  </si>
  <si>
    <t>PAPLAUSKAITĖ Indrė</t>
  </si>
  <si>
    <t>Indrė PAPLAUSKAITĖ</t>
  </si>
  <si>
    <t>+57:48.4</t>
  </si>
  <si>
    <t>KUNIGELIS Arnoldas</t>
  </si>
  <si>
    <t>+58:43.8</t>
  </si>
  <si>
    <t>JAKUBAUSKAS Tadas</t>
  </si>
  <si>
    <t>+58:53.0</t>
  </si>
  <si>
    <t>BRAŽĖNAS Marius</t>
  </si>
  <si>
    <t>+58:56.5</t>
  </si>
  <si>
    <t>SIDLAUSKAS Tomas</t>
  </si>
  <si>
    <t>+59:04.0</t>
  </si>
  <si>
    <t>VIRŠILAS Dalius (Od)</t>
  </si>
  <si>
    <t>Od) VIRŠILAS</t>
  </si>
  <si>
    <t>+59:12.2</t>
  </si>
  <si>
    <t>MOCKAITIENE Simona</t>
  </si>
  <si>
    <t>Simona MOCKAITIENE</t>
  </si>
  <si>
    <t>+59:28.8</t>
  </si>
  <si>
    <t>ŠARAPAJEVAS Vytautas</t>
  </si>
  <si>
    <t>+59:43.8</t>
  </si>
  <si>
    <t>MARCINKUS Matas</t>
  </si>
  <si>
    <t>+59:44.6</t>
  </si>
  <si>
    <t>+59:47.1</t>
  </si>
  <si>
    <t>EST</t>
  </si>
  <si>
    <t>KARRON Kaisa</t>
  </si>
  <si>
    <t>+1:00:01.7</t>
  </si>
  <si>
    <t>URBUTIS Arnoldas</t>
  </si>
  <si>
    <t>+1:00:03.1</t>
  </si>
  <si>
    <t>ANDRIJAUSKAS Rimas</t>
  </si>
  <si>
    <t>Trys draugai</t>
  </si>
  <si>
    <t>+1:00:04.3</t>
  </si>
  <si>
    <t>+1:00:45.5</t>
  </si>
  <si>
    <t>PEMPĖ Žilvinas</t>
  </si>
  <si>
    <t>+1:00:57.2</t>
  </si>
  <si>
    <t>ŠERŠNIOVAS Kirilas</t>
  </si>
  <si>
    <t>+1:01:26.2</t>
  </si>
  <si>
    <t>PŪTYS Mantas</t>
  </si>
  <si>
    <t>Mantas PŪTYS</t>
  </si>
  <si>
    <t>+1:01:32.6</t>
  </si>
  <si>
    <t>ŽAMOIDA Ąžuolas</t>
  </si>
  <si>
    <t>+1:01:35.1</t>
  </si>
  <si>
    <t>+1:03:30.3</t>
  </si>
  <si>
    <t>GESTAUTAS Paulius</t>
  </si>
  <si>
    <t>+1:04:13.0</t>
  </si>
  <si>
    <t>LODA Karolis</t>
  </si>
  <si>
    <t>JMB</t>
  </si>
  <si>
    <t>+1:04:14.7</t>
  </si>
  <si>
    <t>RINKEVIČIUS Dainius</t>
  </si>
  <si>
    <t>Dainius RINKEVIČIUS</t>
  </si>
  <si>
    <t>+1:04:16.4</t>
  </si>
  <si>
    <t>+1:04:38.4</t>
  </si>
  <si>
    <t>JOKUBAUSKIENE Jurgita</t>
  </si>
  <si>
    <t>+1:04:42.7</t>
  </si>
  <si>
    <t>VARNAS Osvaldas</t>
  </si>
  <si>
    <t>+1:05:30.6</t>
  </si>
  <si>
    <t>KAZLOVAS Lukas</t>
  </si>
  <si>
    <t>+1:05:32.9</t>
  </si>
  <si>
    <t>GBR</t>
  </si>
  <si>
    <t>KIMBER Matthew</t>
  </si>
  <si>
    <t>N/.A</t>
  </si>
  <si>
    <t>+1:06:18.8</t>
  </si>
  <si>
    <t>ŠAPRANAUSKAS Aurelijus</t>
  </si>
  <si>
    <t>+1:06:35.5</t>
  </si>
  <si>
    <t>SCHMIDT Jørgen</t>
  </si>
  <si>
    <t>+1:07:29.6</t>
  </si>
  <si>
    <t>PELECKAS Tautvydas</t>
  </si>
  <si>
    <t>+1:07:37.8</t>
  </si>
  <si>
    <t>NAVICKAS Mantas</t>
  </si>
  <si>
    <t>+1:07:39.9</t>
  </si>
  <si>
    <t>SIME Edvinas</t>
  </si>
  <si>
    <t>BASTYS Vilius</t>
  </si>
  <si>
    <t>ChallengeMe_</t>
  </si>
  <si>
    <t>+1:08:12.5</t>
  </si>
  <si>
    <t>CESKEVICIUS Tadas</t>
  </si>
  <si>
    <t>+1:08:14.7</t>
  </si>
  <si>
    <t>RUTKAUSKAS Dominykas</t>
  </si>
  <si>
    <t>+1:08:35.9</t>
  </si>
  <si>
    <t>KVIKLIS Julius</t>
  </si>
  <si>
    <t>+1:08:38.3</t>
  </si>
  <si>
    <t>+1:08:38.4</t>
  </si>
  <si>
    <t>JOCIUS Linas</t>
  </si>
  <si>
    <t>Delfi</t>
  </si>
  <si>
    <t>+1:08:50.5</t>
  </si>
  <si>
    <t>TIURINA Marija</t>
  </si>
  <si>
    <t>+1:09:08.2</t>
  </si>
  <si>
    <t>+1:10:30.6</t>
  </si>
  <si>
    <t>JUKNEVIČIUS Domas</t>
  </si>
  <si>
    <t>+1:10:55.4</t>
  </si>
  <si>
    <t>+1:11:00.0</t>
  </si>
  <si>
    <t>ČEIDA Tomas</t>
  </si>
  <si>
    <t>+1:11:22.8</t>
  </si>
  <si>
    <t>+1:11:29.5</t>
  </si>
  <si>
    <t>RĖZGYS Vaidotas</t>
  </si>
  <si>
    <t>+1:11:36.8</t>
  </si>
  <si>
    <t>VILDAK Gertrud</t>
  </si>
  <si>
    <t>+1:12:22.8</t>
  </si>
  <si>
    <t>MIASNIKOV Aleksandr</t>
  </si>
  <si>
    <t>+1:12:49.4</t>
  </si>
  <si>
    <t>+1:14:18.8</t>
  </si>
  <si>
    <t>DOCIUS Šarūnas</t>
  </si>
  <si>
    <t>Šarūnas DOCIUS</t>
  </si>
  <si>
    <t>zoomies, S-Sportas</t>
  </si>
  <si>
    <t>+1:14:28.4</t>
  </si>
  <si>
    <t>KAJOKAS Arnas</t>
  </si>
  <si>
    <t>+1:14:32.7</t>
  </si>
  <si>
    <t>PUKANASIS Aurimas</t>
  </si>
  <si>
    <t>+1:14:56.9</t>
  </si>
  <si>
    <t>ZIMANTAS Karolis</t>
  </si>
  <si>
    <t>+1:15:20.0</t>
  </si>
  <si>
    <t>MAČIONYTĖ Miglė</t>
  </si>
  <si>
    <t>Runglorious Bastards</t>
  </si>
  <si>
    <t>+1:16:31.8</t>
  </si>
  <si>
    <t>LEVANAS Marius</t>
  </si>
  <si>
    <t>+1:17:47.3</t>
  </si>
  <si>
    <t>+1:18:10.2</t>
  </si>
  <si>
    <t>+1:19:19.9</t>
  </si>
  <si>
    <t>PAULIKAS Jonas</t>
  </si>
  <si>
    <t>+1:20:00.9</t>
  </si>
  <si>
    <t>MORKUS Lukas</t>
  </si>
  <si>
    <t>+1:20:06.8</t>
  </si>
  <si>
    <t>MIASNIKOV Andrej</t>
  </si>
  <si>
    <t>+1:21:09.1</t>
  </si>
  <si>
    <t>BIELIAUSKAS Julius</t>
  </si>
  <si>
    <t>Marsietis</t>
  </si>
  <si>
    <t>+1:21:46.9</t>
  </si>
  <si>
    <t>TILINDĖ Martynas</t>
  </si>
  <si>
    <t>+1:22:17.6</t>
  </si>
  <si>
    <t>SKREBUTENAS Paulius</t>
  </si>
  <si>
    <t>+1:23:37.0</t>
  </si>
  <si>
    <t>ORLAUSKAS Albertas</t>
  </si>
  <si>
    <t>+1:24:09.5</t>
  </si>
  <si>
    <t>LUKOŠIUS Tomas</t>
  </si>
  <si>
    <t>+1:25:54.1</t>
  </si>
  <si>
    <t>JASINSKIJ Artur</t>
  </si>
  <si>
    <t>+1:26:16.4</t>
  </si>
  <si>
    <t>ZAWARDZIN Robert</t>
  </si>
  <si>
    <t>PKO Bank Polski</t>
  </si>
  <si>
    <t>+1:27:27.6</t>
  </si>
  <si>
    <t>STRAUS Alexander</t>
  </si>
  <si>
    <t>Spiridon Frankfurt</t>
  </si>
  <si>
    <t>+1:28:14.9</t>
  </si>
  <si>
    <t>FOUCHET Adrien</t>
  </si>
  <si>
    <t>Greenfuture</t>
  </si>
  <si>
    <t>+1:28:55.0</t>
  </si>
  <si>
    <t>ALEKNA Tadas</t>
  </si>
  <si>
    <t>+1:29:28.1</t>
  </si>
  <si>
    <t>AUGLYTĖ Ieva</t>
  </si>
  <si>
    <t>Ieva AUGLYTĖ</t>
  </si>
  <si>
    <t>+1:29:33.1</t>
  </si>
  <si>
    <t>ŠIMANAUSKAS Martynas</t>
  </si>
  <si>
    <t>ŠIMANAUSKAI</t>
  </si>
  <si>
    <t>+1:30:08.3</t>
  </si>
  <si>
    <t>PEČIULEVIČIUS Džiugas</t>
  </si>
  <si>
    <t>+1:31:20.7</t>
  </si>
  <si>
    <t>STEFANOVIČIUS Martynas</t>
  </si>
  <si>
    <t>+1:32:32.1</t>
  </si>
  <si>
    <t>ALEKNA Paulius</t>
  </si>
  <si>
    <t>+1:32:45.7</t>
  </si>
  <si>
    <t>PETKEVICIUTE Gintare</t>
  </si>
  <si>
    <t>+1:34:03.5</t>
  </si>
  <si>
    <t>SAVEL Tomaš</t>
  </si>
  <si>
    <t>+1:35:08.0</t>
  </si>
  <si>
    <t>DA RODDA Lucio</t>
  </si>
  <si>
    <t>+1:35:16.7</t>
  </si>
  <si>
    <t>SUVEIZDYTE Ingrida</t>
  </si>
  <si>
    <t>+1:37:05.7</t>
  </si>
  <si>
    <t>PRICE Matthew</t>
  </si>
  <si>
    <t>+1:37:07.2</t>
  </si>
  <si>
    <t>SKREBUTĖNAS Alius</t>
  </si>
  <si>
    <t>+1:38:13.6</t>
  </si>
  <si>
    <t>NAUMČIKAS Robertas</t>
  </si>
  <si>
    <t>+1:38:21.0</t>
  </si>
  <si>
    <t>+1:38:27.8</t>
  </si>
  <si>
    <t>IVOŠKA Karolis</t>
  </si>
  <si>
    <t>+1:39:24.3</t>
  </si>
  <si>
    <t>+1:42:08.8</t>
  </si>
  <si>
    <t>MAŽEIKIS Gabrielius</t>
  </si>
  <si>
    <t>Tarmozai</t>
  </si>
  <si>
    <t>+1:44:06.9</t>
  </si>
  <si>
    <t>GRIGORJEVA Jesenija</t>
  </si>
  <si>
    <t>+1:44:39.2</t>
  </si>
  <si>
    <t>BUKATAJA Katryna</t>
  </si>
  <si>
    <t>+1:46:33.9</t>
  </si>
  <si>
    <t>JEDLINSKI Cezary</t>
  </si>
  <si>
    <t>+1:50:13.3</t>
  </si>
  <si>
    <t>MITTELSTADT Hartmut</t>
  </si>
  <si>
    <t>Hartmut MITTELSTADT</t>
  </si>
  <si>
    <t>HC Dzukija Alytus</t>
  </si>
  <si>
    <t>+2:41:28.3</t>
  </si>
  <si>
    <t>OSTAN Massimo</t>
  </si>
  <si>
    <t>SMALSKYS Ignas</t>
  </si>
  <si>
    <t>Trail running factory</t>
  </si>
  <si>
    <t>SUVEIZDIENĖ Justė</t>
  </si>
  <si>
    <t>QUIROZ CADAVID Juan Gonzalo</t>
  </si>
  <si>
    <t>KIERAS Juozas</t>
  </si>
  <si>
    <t>POCIEJUS Nerijus</t>
  </si>
  <si>
    <t>SAKALAS Arimantas</t>
  </si>
  <si>
    <t>SSC - BTT</t>
  </si>
  <si>
    <t>ZIGARKOVS Sebastians</t>
  </si>
  <si>
    <t>TRI24.NET</t>
  </si>
  <si>
    <t>+1:47.5</t>
  </si>
  <si>
    <t>JONIKAITIS Matas</t>
  </si>
  <si>
    <t>Matas JONIKAITIS</t>
  </si>
  <si>
    <t>Panevėžio triatlono klubas/RSSG</t>
  </si>
  <si>
    <t>+3:45.4</t>
  </si>
  <si>
    <t>JONAITIS Jonas Saulius</t>
  </si>
  <si>
    <t>Sostinės SC</t>
  </si>
  <si>
    <t>+4:23.6</t>
  </si>
  <si>
    <t>+4:34.8</t>
  </si>
  <si>
    <t>BUBNYS Faustas</t>
  </si>
  <si>
    <t>+6:35.8</t>
  </si>
  <si>
    <t>SIJAVIČIŪTĖ Ūla</t>
  </si>
  <si>
    <t>+7:00.0</t>
  </si>
  <si>
    <t>+7:10.4</t>
  </si>
  <si>
    <t>KOPŪSTAS Tautvydas</t>
  </si>
  <si>
    <t>Tautvydas KOPŪSTAS</t>
  </si>
  <si>
    <t>+7:47.3</t>
  </si>
  <si>
    <t>+9:41.7</t>
  </si>
  <si>
    <t>+9:58.8</t>
  </si>
  <si>
    <t>TARASEVIČIUS Adolis</t>
  </si>
  <si>
    <t>+11:37.8</t>
  </si>
  <si>
    <t>+11:53.6</t>
  </si>
  <si>
    <t>+11:56.6</t>
  </si>
  <si>
    <t>Varėnos Triatlono Klubas</t>
  </si>
  <si>
    <t>+12:13.5</t>
  </si>
  <si>
    <t>Nemėžio Unguriai</t>
  </si>
  <si>
    <t>+12:47.1</t>
  </si>
  <si>
    <t>GRUSLYS Tomas</t>
  </si>
  <si>
    <t>Tomas GRUSLYS</t>
  </si>
  <si>
    <t>+12:50.1</t>
  </si>
  <si>
    <t>+13:05.1</t>
  </si>
  <si>
    <t>+14:12.1</t>
  </si>
  <si>
    <t>KURAS Tomas</t>
  </si>
  <si>
    <t>+14:48.0</t>
  </si>
  <si>
    <t>GEDMINAS Gytis</t>
  </si>
  <si>
    <t>+15:37.9</t>
  </si>
  <si>
    <t>+15:40.4</t>
  </si>
  <si>
    <t>ESP</t>
  </si>
  <si>
    <t>DENISOVAITĖ Austėja</t>
  </si>
  <si>
    <t>+15:42.4</t>
  </si>
  <si>
    <t>+16:09.0</t>
  </si>
  <si>
    <t>+16:32.4</t>
  </si>
  <si>
    <t>+16:53.7</t>
  </si>
  <si>
    <t>PETREIKIS Lukas</t>
  </si>
  <si>
    <t>+17:19.3</t>
  </si>
  <si>
    <t>MOCKEVIČIUS Andrius</t>
  </si>
  <si>
    <t>Andrius MOCKEVIČIUS</t>
  </si>
  <si>
    <t>+17:25.5</t>
  </si>
  <si>
    <t>Trakų savivaldybės sporto centras</t>
  </si>
  <si>
    <t>+17:39.5</t>
  </si>
  <si>
    <t>JERMAK Denis</t>
  </si>
  <si>
    <t>FAKE CAKE</t>
  </si>
  <si>
    <t>+17:48.9</t>
  </si>
  <si>
    <t>+18:31.4</t>
  </si>
  <si>
    <t>JAKUTIS Vytautas</t>
  </si>
  <si>
    <t>Vytautas JAKUTIS</t>
  </si>
  <si>
    <t>+19:15.0</t>
  </si>
  <si>
    <t>BAGDANAVIČIUS Aurimas</t>
  </si>
  <si>
    <t>+20:07.3</t>
  </si>
  <si>
    <t>VAIČIŪNAITĖ Gerda</t>
  </si>
  <si>
    <t>+20:15.0</t>
  </si>
  <si>
    <t>VERKAUSKAS Aistis</t>
  </si>
  <si>
    <t>+20:15.3</t>
  </si>
  <si>
    <t>VISADA CENTRINIS</t>
  </si>
  <si>
    <t>+20:18.6</t>
  </si>
  <si>
    <t>JASINSKAS Hugas</t>
  </si>
  <si>
    <t>Hugas JASINSKAS</t>
  </si>
  <si>
    <t>+22:34.9</t>
  </si>
  <si>
    <t>KUBILIŪTĖ Giedrė</t>
  </si>
  <si>
    <t>+22:41.0</t>
  </si>
  <si>
    <t>TESLIA Gintas</t>
  </si>
  <si>
    <t>Active Vilnius</t>
  </si>
  <si>
    <t>+23:16.5</t>
  </si>
  <si>
    <t>VITKUTĖ MAKARSKIENĖ Neringa</t>
  </si>
  <si>
    <t>Neringa VITKUTĖ</t>
  </si>
  <si>
    <t>+23:19.5</t>
  </si>
  <si>
    <t>+23:23.8</t>
  </si>
  <si>
    <t>JUDICKAS Martynas</t>
  </si>
  <si>
    <t>Martynas JUDICKAS</t>
  </si>
  <si>
    <t>SMG’erai</t>
  </si>
  <si>
    <t>+23:29.2</t>
  </si>
  <si>
    <t>+23:49.8</t>
  </si>
  <si>
    <t>KRYŽANAUSKAS Ruslanas</t>
  </si>
  <si>
    <t>Ruslanas KRYŽANAUSKAS</t>
  </si>
  <si>
    <t>+23:53.9</t>
  </si>
  <si>
    <t>LASYS Darya</t>
  </si>
  <si>
    <t>enduranceID</t>
  </si>
  <si>
    <t>+24:06.3</t>
  </si>
  <si>
    <t>LASYS Ignas</t>
  </si>
  <si>
    <t>+24:06.4</t>
  </si>
  <si>
    <t>+24:27.1</t>
  </si>
  <si>
    <t>PAULAUSKAS Vytautas</t>
  </si>
  <si>
    <t>Ha ha ha ha stayin alive</t>
  </si>
  <si>
    <t>+25:00.2</t>
  </si>
  <si>
    <t>LUKOŠIS Gediminas</t>
  </si>
  <si>
    <t>+25:12.6</t>
  </si>
  <si>
    <t>+25:15.9</t>
  </si>
  <si>
    <t>JANUŠKEVIČIUS Lukas</t>
  </si>
  <si>
    <t>+25:38.8</t>
  </si>
  <si>
    <t>STANKUTĖ Ingrida</t>
  </si>
  <si>
    <t>+25:43.3</t>
  </si>
  <si>
    <t>+25:46.0</t>
  </si>
  <si>
    <t>ŽIDANAVIČIUS Vytautas</t>
  </si>
  <si>
    <t>Vytautas ŽIDANAVIČIUS</t>
  </si>
  <si>
    <t>+25:52.9</t>
  </si>
  <si>
    <t>PETRAUSKAS Artūras</t>
  </si>
  <si>
    <t>Artūras PETRAUSKAS</t>
  </si>
  <si>
    <t>+25:57.0</t>
  </si>
  <si>
    <t>BALTMIŠKIS Vytautas</t>
  </si>
  <si>
    <t>+26:07.2</t>
  </si>
  <si>
    <t>MORKUS Meda</t>
  </si>
  <si>
    <t>Meda MORKUS</t>
  </si>
  <si>
    <t>+26:27.1</t>
  </si>
  <si>
    <t>BENAITIS Rytis</t>
  </si>
  <si>
    <t>Triatlonas visiems</t>
  </si>
  <si>
    <t>+26:38.3</t>
  </si>
  <si>
    <t>+26:39.5</t>
  </si>
  <si>
    <t>STANAITIS Linas</t>
  </si>
  <si>
    <t>+26:46.3</t>
  </si>
  <si>
    <t>+27:01.3</t>
  </si>
  <si>
    <t>+27:13.8</t>
  </si>
  <si>
    <t>+27:14.1</t>
  </si>
  <si>
    <t>KRIŠČIŪNAS Donatas</t>
  </si>
  <si>
    <t>+27:15.9</t>
  </si>
  <si>
    <t>PUPKEVIČ Hendrik</t>
  </si>
  <si>
    <t>+27:23.2</t>
  </si>
  <si>
    <t>MARTINAITIS Arnas</t>
  </si>
  <si>
    <t>+27:33.9</t>
  </si>
  <si>
    <t>JASKELEVIČIUS Andrius</t>
  </si>
  <si>
    <t>Andrius JASKELEVIČIUS</t>
  </si>
  <si>
    <t>+27:36.8</t>
  </si>
  <si>
    <t>+27:44.5</t>
  </si>
  <si>
    <t>POVILAITIS Mindaugas</t>
  </si>
  <si>
    <t>OXYGEN group</t>
  </si>
  <si>
    <t>+28:05.2</t>
  </si>
  <si>
    <t>VYŠNIAUSKAS Arnas (Sd)</t>
  </si>
  <si>
    <t>+28:13.4</t>
  </si>
  <si>
    <t>ŠIMKEVIČIUS Lukas</t>
  </si>
  <si>
    <t>Lukas ŠIMKEVIČIUS</t>
  </si>
  <si>
    <t>+28:17.0</t>
  </si>
  <si>
    <t>RYNKEVIČ Andžej</t>
  </si>
  <si>
    <t>+28:42.3</t>
  </si>
  <si>
    <t>GEDMINAS Almantas</t>
  </si>
  <si>
    <t>+28:48.9</t>
  </si>
  <si>
    <t>LETUKIENĖ Austėja</t>
  </si>
  <si>
    <t>Austėja LETUKIENĖ</t>
  </si>
  <si>
    <t>+28:57.8</t>
  </si>
  <si>
    <t>ŠABLINSKAS Alanas</t>
  </si>
  <si>
    <t>+29:10.6</t>
  </si>
  <si>
    <t>+29:11.0</t>
  </si>
  <si>
    <t>DAMBRAUSKAS Ovidijus</t>
  </si>
  <si>
    <t>+29:19.5</t>
  </si>
  <si>
    <t>MARTINAITIS Eimantas</t>
  </si>
  <si>
    <t>OP</t>
  </si>
  <si>
    <t>+29:26.8</t>
  </si>
  <si>
    <t>+29:31.6</t>
  </si>
  <si>
    <t>+29:34.3</t>
  </si>
  <si>
    <t>JANČAUSKAS Mantas</t>
  </si>
  <si>
    <t>+29:43.0</t>
  </si>
  <si>
    <t>JANUŠKEVIČIUS Haroldas</t>
  </si>
  <si>
    <t>Haroldas JANUŠKEVIČIUS</t>
  </si>
  <si>
    <t>BFORCE</t>
  </si>
  <si>
    <t>+30:01.6</t>
  </si>
  <si>
    <t>DZIMANAVIČIUS Edvinas</t>
  </si>
  <si>
    <t>+30:03.4</t>
  </si>
  <si>
    <t>+30:32.8</t>
  </si>
  <si>
    <t>RAMANAUSKAS Petras</t>
  </si>
  <si>
    <t>Capital Runners</t>
  </si>
  <si>
    <t>+30:45.8</t>
  </si>
  <si>
    <t>NZL</t>
  </si>
  <si>
    <t>KIRKMAN Mike</t>
  </si>
  <si>
    <t>+31:50.7</t>
  </si>
  <si>
    <t>BLŪMS Edvards</t>
  </si>
  <si>
    <t>+31:50.8</t>
  </si>
  <si>
    <t>+31:52.4</t>
  </si>
  <si>
    <t>KALIUKEVIČIUS Tautvydas</t>
  </si>
  <si>
    <t>+32:08.0</t>
  </si>
  <si>
    <t>ULONAS Mindaugas</t>
  </si>
  <si>
    <t>+32:49.5</t>
  </si>
  <si>
    <t>ZGURSKIY Andrey</t>
  </si>
  <si>
    <t>+33:17.1</t>
  </si>
  <si>
    <t>VALAITYĖ Živilė</t>
  </si>
  <si>
    <t>+33:24.9</t>
  </si>
  <si>
    <t>VIRŠILAS Dalius (Sd)</t>
  </si>
  <si>
    <t>+33:26.7</t>
  </si>
  <si>
    <t>+34:18.1</t>
  </si>
  <si>
    <t>ČIVILIS Egidijus</t>
  </si>
  <si>
    <t>Egidijus ČIVILIS</t>
  </si>
  <si>
    <t>F.O.C.U.S. running</t>
  </si>
  <si>
    <t>+34:41.7</t>
  </si>
  <si>
    <t>+34:45.0</t>
  </si>
  <si>
    <t>ŠEPUTIS Linas</t>
  </si>
  <si>
    <t>Linas ŠEPUTIS</t>
  </si>
  <si>
    <t>+34:50.1</t>
  </si>
  <si>
    <t>MIKALAUSKĖ Vygailė</t>
  </si>
  <si>
    <t>Vygailė MIKALAUSKĖ</t>
  </si>
  <si>
    <t>KATILAUSKAITĖ Elzė Sofija</t>
  </si>
  <si>
    <t>+34:53.5</t>
  </si>
  <si>
    <t>MAKARSKAS Vitalijus</t>
  </si>
  <si>
    <t>Vitalijus MAKARSKAS</t>
  </si>
  <si>
    <t>+35:24.6</t>
  </si>
  <si>
    <t>BIMBIRYTE Jovita</t>
  </si>
  <si>
    <t>Jovita BIMBIRYTE</t>
  </si>
  <si>
    <t>LSR</t>
  </si>
  <si>
    <t>+36:10.1</t>
  </si>
  <si>
    <t>ČAUNE Mārtiņš</t>
  </si>
  <si>
    <t>+36:20.8</t>
  </si>
  <si>
    <t>KROTOVAITĖ Giedrė</t>
  </si>
  <si>
    <t>+36:34.5</t>
  </si>
  <si>
    <t>LASHUK Maksim</t>
  </si>
  <si>
    <t>+36:59.5</t>
  </si>
  <si>
    <t>MIKALAUSKAS Povilas</t>
  </si>
  <si>
    <t>Povilas MIKALAUSKAS</t>
  </si>
  <si>
    <t>+37:12.5</t>
  </si>
  <si>
    <t>+37:17.2</t>
  </si>
  <si>
    <t>KLEPOV Tomas</t>
  </si>
  <si>
    <t>+37:59.7</t>
  </si>
  <si>
    <t>+38:00.4</t>
  </si>
  <si>
    <t>PREIKŠAITIS Paulius</t>
  </si>
  <si>
    <t>Paulius PREIKŠAITIS</t>
  </si>
  <si>
    <t>+38:02.3</t>
  </si>
  <si>
    <t>USA</t>
  </si>
  <si>
    <t>SISKA Kajus</t>
  </si>
  <si>
    <t>+38:11.0</t>
  </si>
  <si>
    <t>MARTINAITIS Karolis</t>
  </si>
  <si>
    <t>+38:14.7</t>
  </si>
  <si>
    <t>JANUŠKEVIČIUS Elvis</t>
  </si>
  <si>
    <t>Elvis JANUŠKEVIČIUS</t>
  </si>
  <si>
    <t>+38:45.3</t>
  </si>
  <si>
    <t>ŽUKOVAS Markas</t>
  </si>
  <si>
    <t>+39:08.4</t>
  </si>
  <si>
    <t>AVIZA Mantas</t>
  </si>
  <si>
    <t>+39:25.8</t>
  </si>
  <si>
    <t>RAMANAUSKAS Marius</t>
  </si>
  <si>
    <t>+39:57.1</t>
  </si>
  <si>
    <t>LATONAS Paulius</t>
  </si>
  <si>
    <t>+40:41.8</t>
  </si>
  <si>
    <t>HARVEY Benjamin</t>
  </si>
  <si>
    <t>+41:25.5</t>
  </si>
  <si>
    <t>BULCIS Arunas</t>
  </si>
  <si>
    <t>+41:27.9</t>
  </si>
  <si>
    <t>GRIGALIŪNAS Justinas</t>
  </si>
  <si>
    <t>+42:12.7</t>
  </si>
  <si>
    <t>PETUKAUSKAS Jonas</t>
  </si>
  <si>
    <t>Klaipėdos Triatlono klubas</t>
  </si>
  <si>
    <t>+42:39.4</t>
  </si>
  <si>
    <t>triatlonasnuonulio</t>
  </si>
  <si>
    <t>BUTKEVIČIUS Grantas</t>
  </si>
  <si>
    <t>+44:11.9</t>
  </si>
  <si>
    <t>Klaipėda</t>
  </si>
  <si>
    <t>+44:44.0</t>
  </si>
  <si>
    <t>MARTINKUTE Inga</t>
  </si>
  <si>
    <t>+44:46.1</t>
  </si>
  <si>
    <t>MILČIŪTĖ-KARBONSKĖ Justė</t>
  </si>
  <si>
    <t>+44:59.9</t>
  </si>
  <si>
    <t>+45:35.3</t>
  </si>
  <si>
    <t>BELYANSKI Denis</t>
  </si>
  <si>
    <t>+46:03.1</t>
  </si>
  <si>
    <t>MISEVIČ Albert</t>
  </si>
  <si>
    <t>+46:57.1</t>
  </si>
  <si>
    <t>ASAKAVIČIUS Justas</t>
  </si>
  <si>
    <t>+47:23.5</t>
  </si>
  <si>
    <t>LUKSYS Dominykas</t>
  </si>
  <si>
    <t>Devslate</t>
  </si>
  <si>
    <t>+49:22.7</t>
  </si>
  <si>
    <t>ZARAMBA Valdas</t>
  </si>
  <si>
    <t>+49:31.4</t>
  </si>
  <si>
    <t>SIDABRAS Mantas</t>
  </si>
  <si>
    <t>GULBINAS Rimvydas</t>
  </si>
  <si>
    <t>+51:02.7</t>
  </si>
  <si>
    <t>JASAS Valdas</t>
  </si>
  <si>
    <t>+52:24.0</t>
  </si>
  <si>
    <t>MIZZI Ronan</t>
  </si>
  <si>
    <t>+53:08.3</t>
  </si>
  <si>
    <t>JASMANTAS Gvidas</t>
  </si>
  <si>
    <t>+53:14.4</t>
  </si>
  <si>
    <t>KANAPECKĖ Jovita</t>
  </si>
  <si>
    <t>+54:11.6</t>
  </si>
  <si>
    <t>RAMANAUSKAS Matas</t>
  </si>
  <si>
    <t>+55:12.2</t>
  </si>
  <si>
    <t>PALŠAUSKAS Mažvydas</t>
  </si>
  <si>
    <t>+58:51.6</t>
  </si>
  <si>
    <t>JANAVICIUS Arnas</t>
  </si>
  <si>
    <t>+1:02:59.9</t>
  </si>
  <si>
    <t>POCIUS Matas Augustas</t>
  </si>
  <si>
    <t>TRIATLETAI LT</t>
  </si>
  <si>
    <t>+1:45.0</t>
  </si>
  <si>
    <t>+6:49.5</t>
  </si>
  <si>
    <t>+8:17.9</t>
  </si>
  <si>
    <t>+9:19.4</t>
  </si>
  <si>
    <t>+10:06.7</t>
  </si>
  <si>
    <t>+11:58.3</t>
  </si>
  <si>
    <t>+12:05.6</t>
  </si>
  <si>
    <t>+14:36.6</t>
  </si>
  <si>
    <t>+15:55.3</t>
  </si>
  <si>
    <t>+16:03.8</t>
  </si>
  <si>
    <t>+16:14.7</t>
  </si>
  <si>
    <t>LĖVERIS Tadas</t>
  </si>
  <si>
    <t>Tadas LĖVERIS</t>
  </si>
  <si>
    <t>+17:05.4</t>
  </si>
  <si>
    <t>+17:55.2</t>
  </si>
  <si>
    <t>+18:03.4</t>
  </si>
  <si>
    <t>+18:18.8</t>
  </si>
  <si>
    <t>BARANAUSKAS Antanas</t>
  </si>
  <si>
    <t>Antanas BARANAUSKAS</t>
  </si>
  <si>
    <t>+19:36.5</t>
  </si>
  <si>
    <t>+20:07.7</t>
  </si>
  <si>
    <t>+20:32.8</t>
  </si>
  <si>
    <t>+21:17.1</t>
  </si>
  <si>
    <t>+21:28.4</t>
  </si>
  <si>
    <t>DASKO Jevgenijs</t>
  </si>
  <si>
    <t>Jevgenijs DASKO</t>
  </si>
  <si>
    <t>+22:00.6</t>
  </si>
  <si>
    <t>+22:04.1</t>
  </si>
  <si>
    <t>+22:23.1</t>
  </si>
  <si>
    <t>+22:46.0</t>
  </si>
  <si>
    <t>+22:52.4</t>
  </si>
  <si>
    <t>JUNEVIČIUS Gytis</t>
  </si>
  <si>
    <t>Gytis JUNEVIČIUS</t>
  </si>
  <si>
    <t>Delfinukas</t>
  </si>
  <si>
    <t>+23:10.9</t>
  </si>
  <si>
    <t>+23:45.5</t>
  </si>
  <si>
    <t>+23:47.8</t>
  </si>
  <si>
    <t>+24:39.7</t>
  </si>
  <si>
    <t>+24:55.1</t>
  </si>
  <si>
    <t>+25:28.9</t>
  </si>
  <si>
    <t>+25:31.1</t>
  </si>
  <si>
    <t>+26:35.6</t>
  </si>
  <si>
    <t>+27:10.1</t>
  </si>
  <si>
    <t>+27:18.1</t>
  </si>
  <si>
    <t>KRUŽIKAS Vytautas</t>
  </si>
  <si>
    <t>Vytautas KRUŽIKAS</t>
  </si>
  <si>
    <t>Trico triathlon club</t>
  </si>
  <si>
    <t>+27:29.0</t>
  </si>
  <si>
    <t>+27:32.3</t>
  </si>
  <si>
    <t>+27:44.2</t>
  </si>
  <si>
    <t>+27:56.3</t>
  </si>
  <si>
    <t>+27:59.9</t>
  </si>
  <si>
    <t>+28:00.4</t>
  </si>
  <si>
    <t>+28:38.5</t>
  </si>
  <si>
    <t>+30:09.7</t>
  </si>
  <si>
    <t>+30:22.0</t>
  </si>
  <si>
    <t>+30:25.7</t>
  </si>
  <si>
    <t>+30:48.3</t>
  </si>
  <si>
    <t>MAČIULAITIS Matas</t>
  </si>
  <si>
    <t>Matas MAČIULAITIS</t>
  </si>
  <si>
    <t>+31:59.4</t>
  </si>
  <si>
    <t>+32:07.7</t>
  </si>
  <si>
    <t>+32:11.3</t>
  </si>
  <si>
    <t>ADAMOVICH Aliaksei</t>
  </si>
  <si>
    <t>Aliaksei ADAMOVICH</t>
  </si>
  <si>
    <t>Stembridge RC</t>
  </si>
  <si>
    <t>+32:41.7</t>
  </si>
  <si>
    <t>+33:47.5</t>
  </si>
  <si>
    <t>+34:27.3</t>
  </si>
  <si>
    <t>+34:55.9</t>
  </si>
  <si>
    <t>MASAS Vaidotas</t>
  </si>
  <si>
    <t>Vaidotas MASAS</t>
  </si>
  <si>
    <t>+34:56.1</t>
  </si>
  <si>
    <t>+35:20.8</t>
  </si>
  <si>
    <t>+35:28.9</t>
  </si>
  <si>
    <t>BUIKA Egidijus</t>
  </si>
  <si>
    <t>Egidijus BUIKA</t>
  </si>
  <si>
    <t>+35:34.3</t>
  </si>
  <si>
    <t>GRIKSAS Mantas</t>
  </si>
  <si>
    <t>Mantas GRIKSAS</t>
  </si>
  <si>
    <t>Brasa CrossFit</t>
  </si>
  <si>
    <t>+35:54.0</t>
  </si>
  <si>
    <t>RAKSTELIS Lukas</t>
  </si>
  <si>
    <t>Lukas RAKSTELIS</t>
  </si>
  <si>
    <t>+36:43.1</t>
  </si>
  <si>
    <t>GRINEVIČIUS Markas</t>
  </si>
  <si>
    <t>Markas GRINEVIČIUS</t>
  </si>
  <si>
    <t>Million Steps</t>
  </si>
  <si>
    <t>+36:57.0</t>
  </si>
  <si>
    <t>+37:52.8</t>
  </si>
  <si>
    <t>+38:28.0</t>
  </si>
  <si>
    <t>A.M.A.I.</t>
  </si>
  <si>
    <t>+38:40.7</t>
  </si>
  <si>
    <t>+39:09.1</t>
  </si>
  <si>
    <t>+40:08.2</t>
  </si>
  <si>
    <t>+40:08.3</t>
  </si>
  <si>
    <t>+41:24.3</t>
  </si>
  <si>
    <t>+41:45.0</t>
  </si>
  <si>
    <t>+41:53.4</t>
  </si>
  <si>
    <t>+42:19.7</t>
  </si>
  <si>
    <t>+42:58.0</t>
  </si>
  <si>
    <t>ZAKARAUSKAS Tomas</t>
  </si>
  <si>
    <t>Tomas ZAKARAUSKAS</t>
  </si>
  <si>
    <t>Savage</t>
  </si>
  <si>
    <t>+43:25.0</t>
  </si>
  <si>
    <t>+43:55.4</t>
  </si>
  <si>
    <t>DAUNYS Ignas</t>
  </si>
  <si>
    <t>Ignas DAUNYS</t>
  </si>
  <si>
    <t>+44:08.0</t>
  </si>
  <si>
    <t>GIMŽAUSKAS Lukas</t>
  </si>
  <si>
    <t>Lukas GIMŽAUSKAS</t>
  </si>
  <si>
    <t>+44:46.7</t>
  </si>
  <si>
    <t>+45:07.2</t>
  </si>
  <si>
    <t>+45:21.1</t>
  </si>
  <si>
    <t>PAKŠTAITĖ-GRIKŠĖ Rūta</t>
  </si>
  <si>
    <t>+45:29.1</t>
  </si>
  <si>
    <t>BAUSYS Marius</t>
  </si>
  <si>
    <t>Marius BAUSYS</t>
  </si>
  <si>
    <t>+45:43.2</t>
  </si>
  <si>
    <t>+45:52.0</t>
  </si>
  <si>
    <t>JANUŠAUSKAITĖ Austė</t>
  </si>
  <si>
    <t>Austė JANUŠAUSKAITĖ</t>
  </si>
  <si>
    <t>+45:58.7</t>
  </si>
  <si>
    <t>+46:33.9</t>
  </si>
  <si>
    <t>GOKAS Danielius</t>
  </si>
  <si>
    <t>Danielius GOKAS</t>
  </si>
  <si>
    <t>+47:00.0</t>
  </si>
  <si>
    <t>+47:24.7</t>
  </si>
  <si>
    <t>+47:25.7</t>
  </si>
  <si>
    <t>+48:31.5</t>
  </si>
  <si>
    <t>+49:35.8</t>
  </si>
  <si>
    <t>+49:45.4</t>
  </si>
  <si>
    <t>+49:59.5</t>
  </si>
  <si>
    <t>+50:37.4</t>
  </si>
  <si>
    <t>+50:41.8</t>
  </si>
  <si>
    <t>+51:25.3</t>
  </si>
  <si>
    <t>BERENYTĖ Simona</t>
  </si>
  <si>
    <t>Simona BERENYTĖ</t>
  </si>
  <si>
    <t>+51:30.0</t>
  </si>
  <si>
    <t>JUDICKAS Edgaras</t>
  </si>
  <si>
    <t>Edgaras JUDICKAS</t>
  </si>
  <si>
    <t>2Vilkai</t>
  </si>
  <si>
    <t>+51:39.0</t>
  </si>
  <si>
    <t>+52:00.9</t>
  </si>
  <si>
    <t>+52:03.5</t>
  </si>
  <si>
    <t>+52:23.3</t>
  </si>
  <si>
    <t>+53:14.0</t>
  </si>
  <si>
    <t>+53:18.7</t>
  </si>
  <si>
    <t>+53:36.7</t>
  </si>
  <si>
    <t>+53:57.6</t>
  </si>
  <si>
    <t>+54:25.8</t>
  </si>
  <si>
    <t>KUPČINSKAS Justas</t>
  </si>
  <si>
    <t>Justas KUPČINSKAS</t>
  </si>
  <si>
    <t>+55:22.1</t>
  </si>
  <si>
    <t>BEIŠYS Povilas</t>
  </si>
  <si>
    <t>Povilas BEIŠYS</t>
  </si>
  <si>
    <t>+56:09.7</t>
  </si>
  <si>
    <t>+56:53.6</t>
  </si>
  <si>
    <t>+57:01.3</t>
  </si>
  <si>
    <t>+57:05.0</t>
  </si>
  <si>
    <t>+58:36.4</t>
  </si>
  <si>
    <t>KRUPAVIČIUS Algirdas</t>
  </si>
  <si>
    <t>Algirdas KRUPAVIČIUS</t>
  </si>
  <si>
    <t>+1:01:44.3</t>
  </si>
  <si>
    <t>RUPŠYS Žygimantas</t>
  </si>
  <si>
    <t>Žygimantas RUPŠYS</t>
  </si>
  <si>
    <t>+1:02:07.4</t>
  </si>
  <si>
    <t>RUDMINAS'71 Audrius</t>
  </si>
  <si>
    <t>Audrius RUDMINAS'</t>
  </si>
  <si>
    <t>+1:04:17.4</t>
  </si>
  <si>
    <t>VALEVICIUS Grantas</t>
  </si>
  <si>
    <t>Grantas VALEVICIUS</t>
  </si>
  <si>
    <t>+1:04:22.8</t>
  </si>
  <si>
    <t>+1:05:49.9</t>
  </si>
  <si>
    <t>+1:06:51.3</t>
  </si>
  <si>
    <t>REMEIKIENĖ Aistė Kotryna</t>
  </si>
  <si>
    <t>Kotryna REMEIKIENĖ</t>
  </si>
  <si>
    <t>+1:07:08.8</t>
  </si>
  <si>
    <t>S-Sportas, zoomies</t>
  </si>
  <si>
    <t>+1:07:11.0</t>
  </si>
  <si>
    <t>BUTKUS Džiugas</t>
  </si>
  <si>
    <t>Džiugas BUTKUS</t>
  </si>
  <si>
    <t>+1:08:30.6</t>
  </si>
  <si>
    <t>AŠMONTAITĖ Gintarė</t>
  </si>
  <si>
    <t>Gintarė AŠMONTAITĖ</t>
  </si>
  <si>
    <t>+1:09:39.8</t>
  </si>
  <si>
    <t>STAŠYTĖ Aleksandra</t>
  </si>
  <si>
    <t>Aleksandra STAŠYTĖ</t>
  </si>
  <si>
    <t>+1:11:29.0</t>
  </si>
  <si>
    <t>+1:13:12.3</t>
  </si>
  <si>
    <t>RINKEVIČIUS Andrius</t>
  </si>
  <si>
    <t>Andrius RINKEVIČIUS</t>
  </si>
  <si>
    <t>+1:15:43.2</t>
  </si>
  <si>
    <t>MOROZOVA Marina</t>
  </si>
  <si>
    <t>Marina MOROZOVA</t>
  </si>
  <si>
    <t>+1:20:39.8</t>
  </si>
  <si>
    <t>KERUTIS Vilius</t>
  </si>
  <si>
    <t>Vilius KERUTIS</t>
  </si>
  <si>
    <t>+1:22:26.7</t>
  </si>
  <si>
    <t>ISIUNAS Danielius</t>
  </si>
  <si>
    <t>Danielius ISIUNAS</t>
  </si>
  <si>
    <t>+1:25:16.1</t>
  </si>
  <si>
    <t>+1:25:45.1</t>
  </si>
  <si>
    <t>+1:38:28.9</t>
  </si>
  <si>
    <t>RAKSTELIS Rokas</t>
  </si>
  <si>
    <t>Rokas RAKSTELIS</t>
  </si>
  <si>
    <t>+1:43:48.9</t>
  </si>
  <si>
    <t>KIRDEIKAITE Viktorija</t>
  </si>
  <si>
    <t>Viktorija KIRDEIKAITE</t>
  </si>
  <si>
    <t>SIMAITIS Kristupas</t>
  </si>
  <si>
    <t>Kristupas SIMAITIS</t>
  </si>
  <si>
    <t>KIŠKIS Justinas</t>
  </si>
  <si>
    <t>Justinas KIŠKIS</t>
  </si>
  <si>
    <t>Raimundo Sarguno sporto gimnazija</t>
  </si>
  <si>
    <t>+1:02.2</t>
  </si>
  <si>
    <t>+3:34.7</t>
  </si>
  <si>
    <t>NAUJOKAS Tauras</t>
  </si>
  <si>
    <t>Tauras NAUJOKAS</t>
  </si>
  <si>
    <t>BTT/SSC</t>
  </si>
  <si>
    <t>+4:03.8</t>
  </si>
  <si>
    <t>Marijampoles triatlono draugija</t>
  </si>
  <si>
    <t>+4:54.7</t>
  </si>
  <si>
    <t>+5:29.9</t>
  </si>
  <si>
    <t>+5:40.8</t>
  </si>
  <si>
    <t>SHARKY</t>
  </si>
  <si>
    <t>+5:57.6</t>
  </si>
  <si>
    <t>+6:32.7</t>
  </si>
  <si>
    <t>+6:33.6</t>
  </si>
  <si>
    <t>+7:26.7</t>
  </si>
  <si>
    <t>+7:26.8</t>
  </si>
  <si>
    <t>BATAVIČIUS Saulius</t>
  </si>
  <si>
    <t>Saulius BATAVIČIUS</t>
  </si>
  <si>
    <t>+7:36.5</t>
  </si>
  <si>
    <t>+8:23.1</t>
  </si>
  <si>
    <t>+8:31.2</t>
  </si>
  <si>
    <t>+9:16.8</t>
  </si>
  <si>
    <t>+10:04.0</t>
  </si>
  <si>
    <t>KALVELYTĖ Viktorija</t>
  </si>
  <si>
    <t>Viktorija KALVELYTĖ</t>
  </si>
  <si>
    <t>+10:23.5</t>
  </si>
  <si>
    <t>TARASEVIČIUS Regimantas</t>
  </si>
  <si>
    <t>Regimantas TARASEVIČIUS</t>
  </si>
  <si>
    <t>+10:35.4</t>
  </si>
  <si>
    <t>+11:09.8</t>
  </si>
  <si>
    <t>BARANAUSKAS Vilmantas</t>
  </si>
  <si>
    <t>Vilmantas BARANAUSKAS</t>
  </si>
  <si>
    <t>+12:58.8</t>
  </si>
  <si>
    <t>STATKĖ Indrė</t>
  </si>
  <si>
    <t>Indrė STATKĖ</t>
  </si>
  <si>
    <t>+14:09.4</t>
  </si>
  <si>
    <t>+14:36.1</t>
  </si>
  <si>
    <t>+14:36.5</t>
  </si>
  <si>
    <t>+15:36.6</t>
  </si>
  <si>
    <t>+15:58.7</t>
  </si>
  <si>
    <t>+15:59.2</t>
  </si>
  <si>
    <t>LAZUTKA Ugnius</t>
  </si>
  <si>
    <t>Ugnius LAZUTKA</t>
  </si>
  <si>
    <t>+16:39.5</t>
  </si>
  <si>
    <t>+16:45.3</t>
  </si>
  <si>
    <t>+16:49.2</t>
  </si>
  <si>
    <t>+16:52.3</t>
  </si>
  <si>
    <t>+17:41.3</t>
  </si>
  <si>
    <t>KYBARTAS Marius</t>
  </si>
  <si>
    <t>Marius KYBARTAS</t>
  </si>
  <si>
    <t>+17:50.7</t>
  </si>
  <si>
    <t>ARMINAS Vilius</t>
  </si>
  <si>
    <t>Vilius ARMINAS</t>
  </si>
  <si>
    <t>+17:54.7</t>
  </si>
  <si>
    <t>ŠNIAUKA Dovainis</t>
  </si>
  <si>
    <t>Dovainis ŠNIAUKA</t>
  </si>
  <si>
    <t>+18:35.1</t>
  </si>
  <si>
    <t>SAULĪTIS Krišs</t>
  </si>
  <si>
    <t>Krišs SAULĪTIS</t>
  </si>
  <si>
    <t>TriKan</t>
  </si>
  <si>
    <t>+18:57.3</t>
  </si>
  <si>
    <t>+19:26.8</t>
  </si>
  <si>
    <t>+19:28.6</t>
  </si>
  <si>
    <t>+19:50.3</t>
  </si>
  <si>
    <t>BISIKIRSKAS Justinas</t>
  </si>
  <si>
    <t>Justinas BISIKIRSKAS</t>
  </si>
  <si>
    <t>+20:02.1</t>
  </si>
  <si>
    <t>RIMUTE Dovile</t>
  </si>
  <si>
    <t>Dovile RIMUTE</t>
  </si>
  <si>
    <t>+20:20.0</t>
  </si>
  <si>
    <t>+20:23.7</t>
  </si>
  <si>
    <t>JONAITIS Gintautas</t>
  </si>
  <si>
    <t>Gintautas JONAITIS</t>
  </si>
  <si>
    <t>+21:36.9</t>
  </si>
  <si>
    <t>+21:38.9</t>
  </si>
  <si>
    <t>+22:01.7</t>
  </si>
  <si>
    <t>KIRDEIKAITĖ Viktorija</t>
  </si>
  <si>
    <t>Viktorija KIRDEIKAITĖ</t>
  </si>
  <si>
    <t>+22:02.7</t>
  </si>
  <si>
    <t>+22:34.3</t>
  </si>
  <si>
    <t>+22:47.0</t>
  </si>
  <si>
    <t>+22:59.7</t>
  </si>
  <si>
    <t>+23:17.1</t>
  </si>
  <si>
    <t>ALIMAS Emilijus</t>
  </si>
  <si>
    <t>Emilijus ALIMAS</t>
  </si>
  <si>
    <t>+23:54.9</t>
  </si>
  <si>
    <t>BULCIS Arūnas</t>
  </si>
  <si>
    <t>Arūnas BULCIS</t>
  </si>
  <si>
    <t>+24:07.0</t>
  </si>
  <si>
    <t>PAŠKEVIČIŪTĖ Viktorija</t>
  </si>
  <si>
    <t>Viktorija PAŠKEVIČIŪTĖ</t>
  </si>
  <si>
    <t>+24:14.3</t>
  </si>
  <si>
    <t>+24:45.7</t>
  </si>
  <si>
    <t>+24:48.7</t>
  </si>
  <si>
    <t>+25:10.9</t>
  </si>
  <si>
    <t>JODKA Robertas</t>
  </si>
  <si>
    <t>Robertas JODKA</t>
  </si>
  <si>
    <t>+25:11.5</t>
  </si>
  <si>
    <t>+25:16.8</t>
  </si>
  <si>
    <t>ADAMOVICH Iryna</t>
  </si>
  <si>
    <t>Iryna ADAMOVICH</t>
  </si>
  <si>
    <t>Rovar</t>
  </si>
  <si>
    <t>+25:30.5</t>
  </si>
  <si>
    <t>TURULIENĖ Jurgita</t>
  </si>
  <si>
    <t>Jurgita TURULIENĖ</t>
  </si>
  <si>
    <t>+25:35.2</t>
  </si>
  <si>
    <t>I'm Shadow of My Heart</t>
  </si>
  <si>
    <t>+25:36.5</t>
  </si>
  <si>
    <t>BAKULA Vitalij</t>
  </si>
  <si>
    <t>Vitalij BAKULA</t>
  </si>
  <si>
    <t>+25:42.3</t>
  </si>
  <si>
    <t>+26:53.5</t>
  </si>
  <si>
    <t>MATUSEVIČIUS Martynas</t>
  </si>
  <si>
    <t>Martynas MATUSEVIČIUS</t>
  </si>
  <si>
    <t>+27:23.7</t>
  </si>
  <si>
    <t>+27:38.0</t>
  </si>
  <si>
    <t>BAŠKYTĖ Julija</t>
  </si>
  <si>
    <t>Julija BAŠKYTĖ</t>
  </si>
  <si>
    <t>DOBILAS Mantas</t>
  </si>
  <si>
    <t>Mantas DOBILAS</t>
  </si>
  <si>
    <t>+28:21.0</t>
  </si>
  <si>
    <t>+28:22.8</t>
  </si>
  <si>
    <t>+28:26.0</t>
  </si>
  <si>
    <t>MERLIŪNIENĖ Ieva</t>
  </si>
  <si>
    <t>Ieva MERLIŪNIENĖ</t>
  </si>
  <si>
    <t>+29:13.6</t>
  </si>
  <si>
    <t>MALINAUSKIENE Aurelija</t>
  </si>
  <si>
    <t>Aurelija MALINAUSKIENE</t>
  </si>
  <si>
    <t>Geležinė mama</t>
  </si>
  <si>
    <t>+31:10.5</t>
  </si>
  <si>
    <t>BINKEVČIUS Tomas</t>
  </si>
  <si>
    <t>Tomas BINKEVČIUS</t>
  </si>
  <si>
    <t>+32:19.8</t>
  </si>
  <si>
    <t>GOLOŠČAPOVAS Andriejus</t>
  </si>
  <si>
    <t>Andriejus GOLOŠČAPOVAS</t>
  </si>
  <si>
    <t>+35:12.4</t>
  </si>
  <si>
    <t>MARTINKUTĖ Inga</t>
  </si>
  <si>
    <t>Inga MARTINKUTĖ</t>
  </si>
  <si>
    <t>+36:02.8</t>
  </si>
  <si>
    <t>+39:07.6</t>
  </si>
  <si>
    <t>+54:06.2</t>
  </si>
  <si>
    <t>Starto grupė</t>
  </si>
  <si>
    <t>PAJĖDA Gediminas</t>
  </si>
  <si>
    <t>Gediminas Pajėda</t>
  </si>
  <si>
    <t>+1:24.6</t>
  </si>
  <si>
    <t>Marijus Butrimavičius</t>
  </si>
  <si>
    <t>Traku sporto centras</t>
  </si>
  <si>
    <t>+12:41.3</t>
  </si>
  <si>
    <t>+15:17.6</t>
  </si>
  <si>
    <t>Donatas Stulgys</t>
  </si>
  <si>
    <t>+20:27.1</t>
  </si>
  <si>
    <t>Andrius Ogintas</t>
  </si>
  <si>
    <t>+21:56.8</t>
  </si>
  <si>
    <t>Edgaras Galdikas</t>
  </si>
  <si>
    <t>+29:50.9</t>
  </si>
  <si>
    <t>+30:53.5</t>
  </si>
  <si>
    <t>Deividas Uzialo</t>
  </si>
  <si>
    <t>+30:57.1</t>
  </si>
  <si>
    <t>Gabrielė Garbauskaitė</t>
  </si>
  <si>
    <t>Neko Team/MATRICA</t>
  </si>
  <si>
    <t>F20</t>
  </si>
  <si>
    <t>+31:29.0</t>
  </si>
  <si>
    <t>Laurynas Ramonas</t>
  </si>
  <si>
    <t>+32:31.9</t>
  </si>
  <si>
    <t>Antanas Baranauskas</t>
  </si>
  <si>
    <t>+32:56.6</t>
  </si>
  <si>
    <t>Giedrius Alsauskas</t>
  </si>
  <si>
    <t>+34:20.4</t>
  </si>
  <si>
    <t>Simas Rindeikis</t>
  </si>
  <si>
    <t>+36:14.4</t>
  </si>
  <si>
    <t>Masaharu Tsuchiya</t>
  </si>
  <si>
    <t>+36:44.3</t>
  </si>
  <si>
    <t>Jonas Beleška</t>
  </si>
  <si>
    <t>+38:56.0</t>
  </si>
  <si>
    <t>Juozas Gerulaitis</t>
  </si>
  <si>
    <t>+39:17.4</t>
  </si>
  <si>
    <t>Mantas Srėbalius</t>
  </si>
  <si>
    <t>+39:33.6</t>
  </si>
  <si>
    <t>Ovidijus Balčiūnas</t>
  </si>
  <si>
    <t>+40:12.1</t>
  </si>
  <si>
    <t>KAUPAS Kestutis</t>
  </si>
  <si>
    <t>Kestutis Kaupas</t>
  </si>
  <si>
    <t>Simas Sakalauskas</t>
  </si>
  <si>
    <t>Kudos Track Club</t>
  </si>
  <si>
    <t>+43:05.1</t>
  </si>
  <si>
    <t>Lukas Stankevičius</t>
  </si>
  <si>
    <t>+43:23.7</t>
  </si>
  <si>
    <t>Gytis Junevičius</t>
  </si>
  <si>
    <t>+43:54.8</t>
  </si>
  <si>
    <t>Vytautas Trusovas</t>
  </si>
  <si>
    <t>+44:07.5</t>
  </si>
  <si>
    <t>+44:17.6</t>
  </si>
  <si>
    <t>Darius Šimkus</t>
  </si>
  <si>
    <t>+44:43.0</t>
  </si>
  <si>
    <t>Arūnas Krikštaponis</t>
  </si>
  <si>
    <t>+44:51.8</t>
  </si>
  <si>
    <t>+45:30.7</t>
  </si>
  <si>
    <t>Marius Turulis</t>
  </si>
  <si>
    <t>+47:35.7</t>
  </si>
  <si>
    <t>Tautvydas Kopūstas</t>
  </si>
  <si>
    <t>+48:30.6</t>
  </si>
  <si>
    <t>Justinas Gedvilas</t>
  </si>
  <si>
    <t>+48:37.6</t>
  </si>
  <si>
    <t>+48:41.9</t>
  </si>
  <si>
    <t>Evaldas Katkus</t>
  </si>
  <si>
    <t>+48:52.5</t>
  </si>
  <si>
    <t>Karolis Baltrūnas</t>
  </si>
  <si>
    <t>+48:57.8</t>
  </si>
  <si>
    <t>Simas Veleckas</t>
  </si>
  <si>
    <t>+50:15.8</t>
  </si>
  <si>
    <t>+50:43.7</t>
  </si>
  <si>
    <t>Edvardas Lucevicius</t>
  </si>
  <si>
    <t>+50:50.1</t>
  </si>
  <si>
    <t>RUPŠLAUKIS Rolandas</t>
  </si>
  <si>
    <t>Rolandas Rupšlaukis</t>
  </si>
  <si>
    <t>+52:43.2</t>
  </si>
  <si>
    <t>ANDRIUSKA Mantas</t>
  </si>
  <si>
    <t>Mantas Andriuska</t>
  </si>
  <si>
    <t>plkl</t>
  </si>
  <si>
    <t>+53:28.7</t>
  </si>
  <si>
    <t>Matas Navickas</t>
  </si>
  <si>
    <t>+53:50.5</t>
  </si>
  <si>
    <t>Evaldas Šleževičius</t>
  </si>
  <si>
    <t>+54:24.9</t>
  </si>
  <si>
    <t>Aleksandrs Kostarevs</t>
  </si>
  <si>
    <t>Lepsky Team</t>
  </si>
  <si>
    <t>+57:04.5</t>
  </si>
  <si>
    <t>Paulius Andriekus</t>
  </si>
  <si>
    <t>+57:14.0</t>
  </si>
  <si>
    <t>Mantvydas Sakalauskas</t>
  </si>
  <si>
    <t>+58:08.5</t>
  </si>
  <si>
    <t>Darius Tijūnonis</t>
  </si>
  <si>
    <t>+58:51.3</t>
  </si>
  <si>
    <t>Viktor Svyrydenko</t>
  </si>
  <si>
    <t>+59:02.7</t>
  </si>
  <si>
    <t>Modestas Vrubliauskas</t>
  </si>
  <si>
    <t>+59:32.0</t>
  </si>
  <si>
    <t>+59:53.5</t>
  </si>
  <si>
    <t>Pranas Urbonas</t>
  </si>
  <si>
    <t>+1:03:45.4</t>
  </si>
  <si>
    <t>Vaidotas Bauža</t>
  </si>
  <si>
    <t>+1:06:49.0</t>
  </si>
  <si>
    <t>GVAZDAUSKAS Benas</t>
  </si>
  <si>
    <t>Benas Gvazdauskas</t>
  </si>
  <si>
    <t>+1:10:01.1</t>
  </si>
  <si>
    <t>Darius Jermala</t>
  </si>
  <si>
    <t>+1:11:24.1</t>
  </si>
  <si>
    <t>+1:12:18.0</t>
  </si>
  <si>
    <t>Benas Lydis</t>
  </si>
  <si>
    <t>+1:12:25.8</t>
  </si>
  <si>
    <t>+1:13:17.3</t>
  </si>
  <si>
    <t>Giedrius Sedekerskis</t>
  </si>
  <si>
    <t>+1:13:23.8</t>
  </si>
  <si>
    <t>Gabija Juknyte</t>
  </si>
  <si>
    <t>F25</t>
  </si>
  <si>
    <t>+1:17:30.8</t>
  </si>
  <si>
    <t>Tautvydas Švedas</t>
  </si>
  <si>
    <t>+1:17:56.8</t>
  </si>
  <si>
    <t>SIMĖ Edvinas</t>
  </si>
  <si>
    <t>Edvinas Simė</t>
  </si>
  <si>
    <t>+1:19:08.8</t>
  </si>
  <si>
    <t>UTINĀNE Elīza</t>
  </si>
  <si>
    <t>Elīza Utināne</t>
  </si>
  <si>
    <t>Triatlona akadēmija</t>
  </si>
  <si>
    <t>+1:21:42.5</t>
  </si>
  <si>
    <t>ARLAUSKAS Ignas</t>
  </si>
  <si>
    <t>Ignas Arlauskas</t>
  </si>
  <si>
    <t>+1:22:18.2</t>
  </si>
  <si>
    <t>Andrius Zokaitis</t>
  </si>
  <si>
    <t>+1:22:40.5</t>
  </si>
  <si>
    <t>Evaldas Kazlauskis</t>
  </si>
  <si>
    <t>+1:22:53.1</t>
  </si>
  <si>
    <t>Henrikas Gelgota</t>
  </si>
  <si>
    <t>+1:23:24.4</t>
  </si>
  <si>
    <t>Alexey Demidenko</t>
  </si>
  <si>
    <t>+1:24:48.1</t>
  </si>
  <si>
    <t>Mindaugas Stulgys</t>
  </si>
  <si>
    <t>+1:25:11.4</t>
  </si>
  <si>
    <t>Žygintas Ramanauskas</t>
  </si>
  <si>
    <t>+1:25:38.5</t>
  </si>
  <si>
    <t>Danas Vogulis</t>
  </si>
  <si>
    <t>+1:26:55.1</t>
  </si>
  <si>
    <t>Ignas Daunys</t>
  </si>
  <si>
    <t>+1:27:51.6</t>
  </si>
  <si>
    <t>Lina Vasiljevienė</t>
  </si>
  <si>
    <t>+1:27:58.0</t>
  </si>
  <si>
    <t>Andrius Ponelis</t>
  </si>
  <si>
    <t>Be klubo</t>
  </si>
  <si>
    <t>+1:28:33.5</t>
  </si>
  <si>
    <t>Gerda Vaičiūnaitė</t>
  </si>
  <si>
    <t>F30</t>
  </si>
  <si>
    <t>+1:29:49.8</t>
  </si>
  <si>
    <t>Andrius Arnašius</t>
  </si>
  <si>
    <t>+1:30:38.2</t>
  </si>
  <si>
    <t>Agnė Venckutė</t>
  </si>
  <si>
    <t>+1:31:48.9</t>
  </si>
  <si>
    <t>Tomas Baltramonaitis</t>
  </si>
  <si>
    <t>+1:32:13.4</t>
  </si>
  <si>
    <t>Aleksej Smirnov</t>
  </si>
  <si>
    <t>+1:33:14.2</t>
  </si>
  <si>
    <t>Monika Miliauskaite</t>
  </si>
  <si>
    <t>F35</t>
  </si>
  <si>
    <t>+1:33:51.3</t>
  </si>
  <si>
    <t>VIRSILAS Dalius</t>
  </si>
  <si>
    <t>Dalius Virsilas</t>
  </si>
  <si>
    <t>+1:34:21.3</t>
  </si>
  <si>
    <t>Karolis Vaicekauskas</t>
  </si>
  <si>
    <t>+1:36:23.2</t>
  </si>
  <si>
    <t>Ronaldas Grižas</t>
  </si>
  <si>
    <t>+1:36:56.7</t>
  </si>
  <si>
    <t>Maxim Mantorov</t>
  </si>
  <si>
    <t>+1:36:59.7</t>
  </si>
  <si>
    <t>Domira Sabaliauskienė</t>
  </si>
  <si>
    <t>+1:38:09.5</t>
  </si>
  <si>
    <t>SINIUS Aidas</t>
  </si>
  <si>
    <t>Aidas Sinius</t>
  </si>
  <si>
    <t>+1:38:48.7</t>
  </si>
  <si>
    <t>Karolis Kieras</t>
  </si>
  <si>
    <t>+1:39:13.7</t>
  </si>
  <si>
    <t>MITKEVIČIUS Joris</t>
  </si>
  <si>
    <t>Joris Mitkevičius</t>
  </si>
  <si>
    <t>Proveržis</t>
  </si>
  <si>
    <t>+1:39:18.0</t>
  </si>
  <si>
    <t>PAULIŪTĖ Evelina</t>
  </si>
  <si>
    <t>Evelina Pauliūtė</t>
  </si>
  <si>
    <t>+1:40:59.4</t>
  </si>
  <si>
    <t>Darius Puknys</t>
  </si>
  <si>
    <t>+1:41:46.7</t>
  </si>
  <si>
    <t>Modestas Paulauskas</t>
  </si>
  <si>
    <t>+1:41:52.5</t>
  </si>
  <si>
    <t>Matas Kėblis</t>
  </si>
  <si>
    <t>+1:42:58.9</t>
  </si>
  <si>
    <t>BŪTĖNAS Petras</t>
  </si>
  <si>
    <t>Petras Būtėnas</t>
  </si>
  <si>
    <t>neturiu</t>
  </si>
  <si>
    <t>+1:44:45.0</t>
  </si>
  <si>
    <t>Andrius Jurevičius</t>
  </si>
  <si>
    <t>+1:45:02.9</t>
  </si>
  <si>
    <t>Mantas Leonavičius</t>
  </si>
  <si>
    <t>+1:45:12.8</t>
  </si>
  <si>
    <t>ŽVYKAS Eugenijus</t>
  </si>
  <si>
    <t>Eugenijus Žvykas</t>
  </si>
  <si>
    <t>+1:45:55.5</t>
  </si>
  <si>
    <t>F45</t>
  </si>
  <si>
    <t>+1:48:42.2</t>
  </si>
  <si>
    <t>+1:50:32.0</t>
  </si>
  <si>
    <t>Ramūnas Keliuotis</t>
  </si>
  <si>
    <t>+1:51:33.6</t>
  </si>
  <si>
    <t>Jonas Stasiukynas</t>
  </si>
  <si>
    <t>+1:52:43.3</t>
  </si>
  <si>
    <t>LAPINSKAS Justinas</t>
  </si>
  <si>
    <t>Justinas Lapinskas</t>
  </si>
  <si>
    <t>Architektai.com</t>
  </si>
  <si>
    <t>+1:54:50.2</t>
  </si>
  <si>
    <t>NORKEVICIUS Antanas</t>
  </si>
  <si>
    <t>Antanas Norkevicius</t>
  </si>
  <si>
    <t>+2:00:23.8</t>
  </si>
  <si>
    <t>SON Lev</t>
  </si>
  <si>
    <t>Lev Son</t>
  </si>
  <si>
    <t>+2:02:22.8</t>
  </si>
  <si>
    <t>Artūras Jucaitis</t>
  </si>
  <si>
    <t>Vakonda</t>
  </si>
  <si>
    <t>+2:03:19.6</t>
  </si>
  <si>
    <t>KRISIŪNAITĖ Živilė</t>
  </si>
  <si>
    <t>Živilė Krisiūnaitė</t>
  </si>
  <si>
    <t>+2:05:08.4</t>
  </si>
  <si>
    <t>Tadas Ivaškevičius</t>
  </si>
  <si>
    <t>+2:06:57.7</t>
  </si>
  <si>
    <t>Eivinas Mikulionis</t>
  </si>
  <si>
    <t>+2:07:02.5</t>
  </si>
  <si>
    <t>Lukas Šipkauskas</t>
  </si>
  <si>
    <t>+2:12:04.3</t>
  </si>
  <si>
    <t>Dalius Sventickas</t>
  </si>
  <si>
    <t>+2:14:13.5</t>
  </si>
  <si>
    <t>Raimundas Zambacevičius</t>
  </si>
  <si>
    <t>M60</t>
  </si>
  <si>
    <t>+2:17:45.3</t>
  </si>
  <si>
    <t>Saulius Naskauskas</t>
  </si>
  <si>
    <t>+2:19:00.6</t>
  </si>
  <si>
    <t>KULVIETIS Liudvikas</t>
  </si>
  <si>
    <t>Liudvikas Kulvietis</t>
  </si>
  <si>
    <t>+2:22:06.5</t>
  </si>
  <si>
    <t>BUTKUS Alanas</t>
  </si>
  <si>
    <t>Alanas Butkus</t>
  </si>
  <si>
    <t>+2:23:42.1</t>
  </si>
  <si>
    <t>Monika Žilienė</t>
  </si>
  <si>
    <t>+2:23:42.6</t>
  </si>
  <si>
    <t>RADZEVIČIUS Artūras</t>
  </si>
  <si>
    <t>Artūras Radzevičius</t>
  </si>
  <si>
    <t>+2:23:42.7</t>
  </si>
  <si>
    <t>VYSNIAUSKAS Arnas</t>
  </si>
  <si>
    <t>Arnas Vysniauskas</t>
  </si>
  <si>
    <t>+2:29:51.8</t>
  </si>
  <si>
    <t>Jolanta Gudaitienė</t>
  </si>
  <si>
    <t>+2:37:55.4</t>
  </si>
  <si>
    <t>BARTAUSKAS Dalius</t>
  </si>
  <si>
    <t>Dalius Bartauskas</t>
  </si>
  <si>
    <t>+2:56:42.9</t>
  </si>
  <si>
    <t>JAZEPČIKAS Vytautas</t>
  </si>
  <si>
    <t>Giedrė Banevičiūtė</t>
  </si>
  <si>
    <t>Gediminas Jašinas</t>
  </si>
  <si>
    <t>MERTZ-JEPSEN Mikael</t>
  </si>
  <si>
    <t>+5:27.8</t>
  </si>
  <si>
    <t>+9:30.6</t>
  </si>
  <si>
    <t>+9:46.7</t>
  </si>
  <si>
    <t>+11:00.2</t>
  </si>
  <si>
    <t>+13:15.3</t>
  </si>
  <si>
    <t>+14:26.3</t>
  </si>
  <si>
    <t>+15:27.6</t>
  </si>
  <si>
    <t>Kestutis KAUPAS</t>
  </si>
  <si>
    <t>+18:05.7</t>
  </si>
  <si>
    <t>+19:52.2</t>
  </si>
  <si>
    <t>+21:43.5</t>
  </si>
  <si>
    <t>+21:47.0</t>
  </si>
  <si>
    <t>+21:53.7</t>
  </si>
  <si>
    <t>+26:14.4</t>
  </si>
  <si>
    <t>+26:22.7</t>
  </si>
  <si>
    <t>+26:28.1</t>
  </si>
  <si>
    <t>TOLEIKIS Deividas</t>
  </si>
  <si>
    <t>Deividas TOLEIKIS</t>
  </si>
  <si>
    <t>+28:55.0</t>
  </si>
  <si>
    <t>DRAGŪNAS Darius</t>
  </si>
  <si>
    <t>Darius DRAGŪNAS</t>
  </si>
  <si>
    <t>+30:24.9</t>
  </si>
  <si>
    <t xml:space="preserve">GUDAITIS Aurimas </t>
  </si>
  <si>
    <t>Aurimas GUDAITIS</t>
  </si>
  <si>
    <t>+33:00.0</t>
  </si>
  <si>
    <t>+33:20.8</t>
  </si>
  <si>
    <t>+33:46.3</t>
  </si>
  <si>
    <t>GRIKŠAS Mantas</t>
  </si>
  <si>
    <t>Mantas GRIKŠAS</t>
  </si>
  <si>
    <t>+34:16.6</t>
  </si>
  <si>
    <t>+34:47.3</t>
  </si>
  <si>
    <t>+36:40.7</t>
  </si>
  <si>
    <t>+37:29.9</t>
  </si>
  <si>
    <t>+38:48.1</t>
  </si>
  <si>
    <t>+39:32.4</t>
  </si>
  <si>
    <t>+39:42.0</t>
  </si>
  <si>
    <t>ALAUNYTĖ-AMBROZĖ Žydrė</t>
  </si>
  <si>
    <t>Žydrė ALAUNYTĖ</t>
  </si>
  <si>
    <t>+39:56.7</t>
  </si>
  <si>
    <t>Lev SON</t>
  </si>
  <si>
    <t>+40:18.9</t>
  </si>
  <si>
    <t>+40:23.0</t>
  </si>
  <si>
    <t>+40:51.7</t>
  </si>
  <si>
    <t>+41:14.7</t>
  </si>
  <si>
    <t>+42:54.1</t>
  </si>
  <si>
    <t>+43:04.6</t>
  </si>
  <si>
    <t>+44:25.5</t>
  </si>
  <si>
    <t>BAREIKA Edvinas</t>
  </si>
  <si>
    <t>Edvinas BAREIKA</t>
  </si>
  <si>
    <t>+44:41.9</t>
  </si>
  <si>
    <t>+45:32.8</t>
  </si>
  <si>
    <t>+48:06.3</t>
  </si>
  <si>
    <t>DAUKŠYS Nedas</t>
  </si>
  <si>
    <t>Nedas DAUKŠYS</t>
  </si>
  <si>
    <t>+48:25.4</t>
  </si>
  <si>
    <t>MAZONAS Kazimieras</t>
  </si>
  <si>
    <t>Kazimieras MAZONAS</t>
  </si>
  <si>
    <t>Ugne TM</t>
  </si>
  <si>
    <t>+48:27.7</t>
  </si>
  <si>
    <t>+52:55.3</t>
  </si>
  <si>
    <t>+56:31.2</t>
  </si>
  <si>
    <t>+56:49.3</t>
  </si>
  <si>
    <t>ASAKAVICIUS Justas</t>
  </si>
  <si>
    <t>Justas ASAKAVICIUS</t>
  </si>
  <si>
    <t>+57:04.0</t>
  </si>
  <si>
    <t>MILČINAUSKAS Rokas</t>
  </si>
  <si>
    <t>Rokas MILČINAUSKAS</t>
  </si>
  <si>
    <t>+57:15.9</t>
  </si>
  <si>
    <t>VOZGIRDAS Aivaras</t>
  </si>
  <si>
    <t>Aivaras VOZGIRDAS</t>
  </si>
  <si>
    <t>White Samurai</t>
  </si>
  <si>
    <t>+57:33.0</t>
  </si>
  <si>
    <t>+1:00:32.6</t>
  </si>
  <si>
    <t>+1:00:40.4</t>
  </si>
  <si>
    <t>MUMGAUDIS Jonas</t>
  </si>
  <si>
    <t>Jonas MUMGAUDIS</t>
  </si>
  <si>
    <t>+1:01:48.0</t>
  </si>
  <si>
    <t>PETRIKAS Kęstutis</t>
  </si>
  <si>
    <t>Kęstutis PETRIKAS</t>
  </si>
  <si>
    <t>+1:05:37.3</t>
  </si>
  <si>
    <t>+1:05:46.0</t>
  </si>
  <si>
    <t>+1:06:09.8</t>
  </si>
  <si>
    <t>JASAITIS Karolis</t>
  </si>
  <si>
    <t>Karolis JASAITIS</t>
  </si>
  <si>
    <t>+1:07:08.3</t>
  </si>
  <si>
    <t>VILČINSKAS Justas</t>
  </si>
  <si>
    <t>Justas VILČINSKAS</t>
  </si>
  <si>
    <t>Savamokslis</t>
  </si>
  <si>
    <t>+1:12:03.7</t>
  </si>
  <si>
    <t>+1:16:53.5</t>
  </si>
  <si>
    <t>MATULEVIČIUS Jokūbas</t>
  </si>
  <si>
    <t>Jokūbas MATULEVIČIUS</t>
  </si>
  <si>
    <t>+2:31.8</t>
  </si>
  <si>
    <t>+3:02.6</t>
  </si>
  <si>
    <t>BUGNYS Faustas</t>
  </si>
  <si>
    <t>Faustas BUGNYS</t>
  </si>
  <si>
    <t>+4:42.9</t>
  </si>
  <si>
    <t>+4:45.4</t>
  </si>
  <si>
    <t>+4:53.9</t>
  </si>
  <si>
    <t>+5:17.2</t>
  </si>
  <si>
    <t>BALČIŪNAS Ovdijus</t>
  </si>
  <si>
    <t>Ovdijus BALČIŪNAS</t>
  </si>
  <si>
    <t>+5:35.0</t>
  </si>
  <si>
    <t>KVEDERIS Danielis</t>
  </si>
  <si>
    <t>Danielis KVEDERIS</t>
  </si>
  <si>
    <t>Neilas Kalpokas</t>
  </si>
  <si>
    <t>+5:49.3</t>
  </si>
  <si>
    <t>+6:04.0</t>
  </si>
  <si>
    <t>+6:36.6</t>
  </si>
  <si>
    <t>+7:34.5</t>
  </si>
  <si>
    <t>+7:46.1</t>
  </si>
  <si>
    <t>+7:46.7</t>
  </si>
  <si>
    <t>+8:16.3</t>
  </si>
  <si>
    <t>+8:21.4</t>
  </si>
  <si>
    <t>+9:00.8</t>
  </si>
  <si>
    <t>VENCKUNAS Jonas</t>
  </si>
  <si>
    <t>Jonas VENCKUNAS</t>
  </si>
  <si>
    <t>+9:12.9</t>
  </si>
  <si>
    <t>MTB Tauragė</t>
  </si>
  <si>
    <t>+11:15.2</t>
  </si>
  <si>
    <t>+13:22.2</t>
  </si>
  <si>
    <t>+13:46.1</t>
  </si>
  <si>
    <t>BEZZUVOVAS Julius</t>
  </si>
  <si>
    <t>Julius BEZZUVOVAS</t>
  </si>
  <si>
    <t>STOGAGA TEAM</t>
  </si>
  <si>
    <t>+13:55.6</t>
  </si>
  <si>
    <t>+14:02.9</t>
  </si>
  <si>
    <t>+15:27.3</t>
  </si>
  <si>
    <t>+15:32.1</t>
  </si>
  <si>
    <t>+16:10.1</t>
  </si>
  <si>
    <t>+16:24.3</t>
  </si>
  <si>
    <t>KRIVIČIUS Jurijus</t>
  </si>
  <si>
    <t>Jurijus KRIVIČIUS</t>
  </si>
  <si>
    <t>TRAKŲ TRIATLONO BŪRELIS</t>
  </si>
  <si>
    <t>+16:41.0</t>
  </si>
  <si>
    <t>VISLIJS Artjoms</t>
  </si>
  <si>
    <t>Artjoms VISLIJS</t>
  </si>
  <si>
    <t>+16:48.2</t>
  </si>
  <si>
    <t>+16:50.7</t>
  </si>
  <si>
    <t>+17:04.8</t>
  </si>
  <si>
    <t>+18:06.3</t>
  </si>
  <si>
    <t>Love streams running</t>
  </si>
  <si>
    <t>+19:07.0</t>
  </si>
  <si>
    <t>+19:18.9</t>
  </si>
  <si>
    <t>+19:19.3</t>
  </si>
  <si>
    <t>+19:58.9</t>
  </si>
  <si>
    <t>SMG'erai</t>
  </si>
  <si>
    <t>+21:17.4</t>
  </si>
  <si>
    <t>+22:02.3</t>
  </si>
  <si>
    <t>+23:30.3</t>
  </si>
  <si>
    <t>ŠIPAILAITĖ Gabrielė</t>
  </si>
  <si>
    <t>Gabrielė ŠIPAILAITĖ</t>
  </si>
  <si>
    <t>+23:46.3</t>
  </si>
  <si>
    <t>ŠALKAUSKAITĖ Reda</t>
  </si>
  <si>
    <t>Reda ŠALKAUSKAITĖ</t>
  </si>
  <si>
    <t>+23:58.2</t>
  </si>
  <si>
    <t>+24:31.1</t>
  </si>
  <si>
    <t>+24:42.7</t>
  </si>
  <si>
    <t>+24:48.8</t>
  </si>
  <si>
    <t>+25:13.8</t>
  </si>
  <si>
    <t>+25:27.8</t>
  </si>
  <si>
    <t>MIKŠYS Laurynas</t>
  </si>
  <si>
    <t>Laurynas MIKŠYS</t>
  </si>
  <si>
    <t>+25:48.4</t>
  </si>
  <si>
    <t>+26:23.6</t>
  </si>
  <si>
    <t>+26:26.4</t>
  </si>
  <si>
    <t>+26:27.9</t>
  </si>
  <si>
    <t>+27:03.9</t>
  </si>
  <si>
    <t>KUZMICKAS Andrius</t>
  </si>
  <si>
    <t>Andrius KUZMICKAS</t>
  </si>
  <si>
    <t>+27:21.5</t>
  </si>
  <si>
    <t>+28:07.4</t>
  </si>
  <si>
    <t>+30:56.4</t>
  </si>
  <si>
    <t>RADŽIŪNAS Paulius</t>
  </si>
  <si>
    <t>Paulius RADŽIŪNAS</t>
  </si>
  <si>
    <t>+32:18.1</t>
  </si>
  <si>
    <t>RAGAUSKAS Rokas</t>
  </si>
  <si>
    <t>Rokas RAGAUSKAS</t>
  </si>
  <si>
    <t>+32:24.8</t>
  </si>
  <si>
    <t>KARBONSKYTE Simona</t>
  </si>
  <si>
    <t>Simona KARBONSKYTE</t>
  </si>
  <si>
    <t>LŠS Vytauto Didžiojo 2-oji rinktinė</t>
  </si>
  <si>
    <t>+32:25.7</t>
  </si>
  <si>
    <t>GRINSKIS Julius</t>
  </si>
  <si>
    <t>Julius GRINSKIS</t>
  </si>
  <si>
    <t>+33:02.8</t>
  </si>
  <si>
    <t>BAŠINSKAITĖ Rugilė</t>
  </si>
  <si>
    <t>Rugilė BAŠINSKAITĖ</t>
  </si>
  <si>
    <t>+33:06.5</t>
  </si>
  <si>
    <t>+33:20.3</t>
  </si>
  <si>
    <t>NORUTĖ Emilija</t>
  </si>
  <si>
    <t>Emilija NORUTĖ</t>
  </si>
  <si>
    <t>+34:45.2</t>
  </si>
  <si>
    <t>+36:30.5</t>
  </si>
  <si>
    <t>RAULINAITIS Antanas</t>
  </si>
  <si>
    <t>Antanas RAULINAITIS</t>
  </si>
  <si>
    <t>Antano hibridinis sportas</t>
  </si>
  <si>
    <t>+37:43.6</t>
  </si>
  <si>
    <t>+38:26.2</t>
  </si>
  <si>
    <t>KARBAUSKYTĖ Justė</t>
  </si>
  <si>
    <t>Justė KARBAUSKYTĖ</t>
  </si>
  <si>
    <t>ČERNEVIČIUS Dovydas</t>
  </si>
  <si>
    <t>Dovydas ČERNEVIČIUS</t>
  </si>
  <si>
    <t>+39:26.5</t>
  </si>
  <si>
    <t>+40:59.2</t>
  </si>
  <si>
    <t>SINKEVIČIUS Edvardas</t>
  </si>
  <si>
    <t>Edvardas SINKEVIČIUS</t>
  </si>
  <si>
    <t>Stasys</t>
  </si>
  <si>
    <t>+47:00.1</t>
  </si>
  <si>
    <t>STANKEVIČIENĖ Rūta</t>
  </si>
  <si>
    <t>Rūta STANKEVIČIENĖ</t>
  </si>
  <si>
    <t>+49:40.0</t>
  </si>
  <si>
    <t>KUZMICKAITĖ Gabija</t>
  </si>
  <si>
    <t>Gabija KUZMICKAITĖ</t>
  </si>
  <si>
    <t>+51:37.5</t>
  </si>
  <si>
    <t>JASKELEVIČIENĖ Asta</t>
  </si>
  <si>
    <t>Asta JASKELEVIČIENĖ</t>
  </si>
  <si>
    <t>+51:40.6</t>
  </si>
  <si>
    <t>+59:58.1</t>
  </si>
  <si>
    <t>STRELČIŪNAS Matas</t>
  </si>
  <si>
    <t>Matas STRELČIŪNAS</t>
  </si>
  <si>
    <t>+1:51.7</t>
  </si>
  <si>
    <t>+11:59.3</t>
  </si>
  <si>
    <t>+12:33.1</t>
  </si>
  <si>
    <t>+13:18.9</t>
  </si>
  <si>
    <t>+14:19.5</t>
  </si>
  <si>
    <t>+14:34.1</t>
  </si>
  <si>
    <t>+16:19.7</t>
  </si>
  <si>
    <t>+18:21.7</t>
  </si>
  <si>
    <t>+18:47.0</t>
  </si>
  <si>
    <t>+19:10.0</t>
  </si>
  <si>
    <t>+19:30.8</t>
  </si>
  <si>
    <t>+20:12.7</t>
  </si>
  <si>
    <t>+20:25.6</t>
  </si>
  <si>
    <t>Boxing HUB</t>
  </si>
  <si>
    <t>+20:51.9</t>
  </si>
  <si>
    <t>+21:02.6</t>
  </si>
  <si>
    <t>+21:27.1</t>
  </si>
  <si>
    <t>+21:36.8</t>
  </si>
  <si>
    <t>+21:45.3</t>
  </si>
  <si>
    <t>+22:27.4</t>
  </si>
  <si>
    <t>+22:31.7</t>
  </si>
  <si>
    <t>+22:59.3</t>
  </si>
  <si>
    <t>+23:40.7</t>
  </si>
  <si>
    <t>+24:27.9</t>
  </si>
  <si>
    <t>+24:34.4</t>
  </si>
  <si>
    <t>+26:01.0</t>
  </si>
  <si>
    <t>+26:01.2</t>
  </si>
  <si>
    <t>+26:14.3</t>
  </si>
  <si>
    <t>+26:29.1</t>
  </si>
  <si>
    <t>+26:33.3</t>
  </si>
  <si>
    <t>+26:50.3</t>
  </si>
  <si>
    <t>MARTISONOK Jevgenij</t>
  </si>
  <si>
    <t>Jevgenij MARTISONOK</t>
  </si>
  <si>
    <t>+28:56.8</t>
  </si>
  <si>
    <t>BAAUŽA Vaidotas</t>
  </si>
  <si>
    <t>Vaidotas BAAUŽA</t>
  </si>
  <si>
    <t>+29:01.8</t>
  </si>
  <si>
    <t>+30:32.4</t>
  </si>
  <si>
    <t>+30:44.7</t>
  </si>
  <si>
    <t>+31:15.1</t>
  </si>
  <si>
    <t>+31:24.0</t>
  </si>
  <si>
    <t>+33:28.4</t>
  </si>
  <si>
    <t>+33:47.3</t>
  </si>
  <si>
    <t>+34:11.4</t>
  </si>
  <si>
    <t>JERMA Denis</t>
  </si>
  <si>
    <t>Denis JERMA</t>
  </si>
  <si>
    <t>+35:47.9</t>
  </si>
  <si>
    <t>+35:51.1</t>
  </si>
  <si>
    <t>+36:08.1</t>
  </si>
  <si>
    <t>+36:10.5</t>
  </si>
  <si>
    <t>ADOMAVIČIUS Lukas</t>
  </si>
  <si>
    <t>Lukas ADOMAVIČIUS</t>
  </si>
  <si>
    <t>Baltas Vilkas</t>
  </si>
  <si>
    <t>+36:34.0</t>
  </si>
  <si>
    <t>JANĖNAS Lukas</t>
  </si>
  <si>
    <t>Lukas JANĖNAS</t>
  </si>
  <si>
    <t>+36:43.7</t>
  </si>
  <si>
    <t>Team Jaunius Strazdas</t>
  </si>
  <si>
    <t>+36:46.3</t>
  </si>
  <si>
    <t>+37:26.3</t>
  </si>
  <si>
    <t>+38:00.7</t>
  </si>
  <si>
    <t>ŽALNIERIUS Deimantas</t>
  </si>
  <si>
    <t>Deimantas ŽALNIERIUS</t>
  </si>
  <si>
    <t>+38:31.9</t>
  </si>
  <si>
    <t>+38:38.9</t>
  </si>
  <si>
    <t>+38:40.5</t>
  </si>
  <si>
    <t>+39:55.8</t>
  </si>
  <si>
    <t>+39:56.6</t>
  </si>
  <si>
    <t>+40:02.2</t>
  </si>
  <si>
    <t>+40:39.2</t>
  </si>
  <si>
    <t>KURALAVIČIUS Dalius</t>
  </si>
  <si>
    <t>Dalius KURALAVIČIUS</t>
  </si>
  <si>
    <t>+41:30.7</t>
  </si>
  <si>
    <t>+41:34.4</t>
  </si>
  <si>
    <t>+42:16.2</t>
  </si>
  <si>
    <t>+43:26.6</t>
  </si>
  <si>
    <t>BARAVYKAS Remigijus</t>
  </si>
  <si>
    <t>Remigijus BARAVYKAS</t>
  </si>
  <si>
    <t>Plikas ruonis</t>
  </si>
  <si>
    <t>+43:41.7</t>
  </si>
  <si>
    <t>+44:29.2</t>
  </si>
  <si>
    <t>+45:01.2</t>
  </si>
  <si>
    <t>+45:05.9</t>
  </si>
  <si>
    <t>+45:13.3</t>
  </si>
  <si>
    <t>+45:26.9</t>
  </si>
  <si>
    <t>+46:56.4</t>
  </si>
  <si>
    <t>+47:20.8</t>
  </si>
  <si>
    <t>+47:45.4</t>
  </si>
  <si>
    <t>+48:59.6</t>
  </si>
  <si>
    <t>+49:11.3</t>
  </si>
  <si>
    <t>+49:55.1</t>
  </si>
  <si>
    <t>+50:01.5</t>
  </si>
  <si>
    <t>+50:19.2</t>
  </si>
  <si>
    <t>ŽVINYS Paulius</t>
  </si>
  <si>
    <t>Paulius ŽVINYS</t>
  </si>
  <si>
    <t>+51:29.0</t>
  </si>
  <si>
    <t>Eugenijus ŽVYKAS</t>
  </si>
  <si>
    <t>+51:31.8</t>
  </si>
  <si>
    <t>beklubis, bet su klubais</t>
  </si>
  <si>
    <t>+51:50.6</t>
  </si>
  <si>
    <t>+52:03.4</t>
  </si>
  <si>
    <t>+52:04.2</t>
  </si>
  <si>
    <t>+52:16.1</t>
  </si>
  <si>
    <t>BRŪZGA Andrius</t>
  </si>
  <si>
    <t>Andrius BRŪZGA</t>
  </si>
  <si>
    <t>+54:33.4</t>
  </si>
  <si>
    <t>+54:39.2</t>
  </si>
  <si>
    <t>+55:53.4</t>
  </si>
  <si>
    <t>GRIGALIŪNAS Gvidas</t>
  </si>
  <si>
    <t>Gvidas GRIGALIŪNAS</t>
  </si>
  <si>
    <t>+56:19.6</t>
  </si>
  <si>
    <t>INK IT TATTOO STUDIO</t>
  </si>
  <si>
    <t>+56:44.5</t>
  </si>
  <si>
    <t>BERNATAVIČIŪTĖ Urtė</t>
  </si>
  <si>
    <t>Urtė BERNATAVIČIŪTĖ</t>
  </si>
  <si>
    <t>+57:09.6</t>
  </si>
  <si>
    <t>MARCINKEVIČIENĖ Gintarė</t>
  </si>
  <si>
    <t>Gintarė MARCINKEVIČIENĖ</t>
  </si>
  <si>
    <t>+58:20.2</t>
  </si>
  <si>
    <t>+59:55.5</t>
  </si>
  <si>
    <t>+1:01:26.7</t>
  </si>
  <si>
    <t>DAUKSYS Nedas</t>
  </si>
  <si>
    <t>Nedas DAUKSYS</t>
  </si>
  <si>
    <t>Back On 74</t>
  </si>
  <si>
    <t>+1:01:50.1</t>
  </si>
  <si>
    <t>VAIČIULIS Laurynas</t>
  </si>
  <si>
    <t>Laurynas VAIČIULIS</t>
  </si>
  <si>
    <t>+1:02:03.6</t>
  </si>
  <si>
    <t>+1:02:35.9</t>
  </si>
  <si>
    <t>+1:07:07.3</t>
  </si>
  <si>
    <t>JAKUBAUSKAITĖ Liepa</t>
  </si>
  <si>
    <t>Liepa JAKUBAUSKAITĖ</t>
  </si>
  <si>
    <t>+1:09:21.9</t>
  </si>
  <si>
    <t>+1:15:06.0</t>
  </si>
  <si>
    <t>VAIČIULIS Jokūbas</t>
  </si>
  <si>
    <t>Jokūbas VAIČIULIS</t>
  </si>
  <si>
    <t>+1:15:07.8</t>
  </si>
  <si>
    <t>+1:16:02.7</t>
  </si>
  <si>
    <t>+1:18:14.6</t>
  </si>
  <si>
    <t>+1:23:13.4</t>
  </si>
  <si>
    <t>+1:27:12.2</t>
  </si>
  <si>
    <t>VASILEVIČIUS Vytas</t>
  </si>
  <si>
    <t>Vytas VASILEVIČIUS</t>
  </si>
  <si>
    <t>+2:59.1</t>
  </si>
  <si>
    <t>+3:20.1</t>
  </si>
  <si>
    <t>+3:35.3</t>
  </si>
  <si>
    <t>Sargūno sporto gimnazija</t>
  </si>
  <si>
    <t>+4:00.1</t>
  </si>
  <si>
    <t>+4:23.9</t>
  </si>
  <si>
    <t>+4:33.6</t>
  </si>
  <si>
    <t>+5:03.6</t>
  </si>
  <si>
    <t>+5:45.4</t>
  </si>
  <si>
    <t>+6:12.9</t>
  </si>
  <si>
    <t>+6:48.4</t>
  </si>
  <si>
    <t>+7:32.1</t>
  </si>
  <si>
    <t>+8:12.4</t>
  </si>
  <si>
    <t>+8:42.6</t>
  </si>
  <si>
    <t>+8:47.8</t>
  </si>
  <si>
    <t>+8:53.0</t>
  </si>
  <si>
    <t>+9:04.1</t>
  </si>
  <si>
    <t>+10:08.1</t>
  </si>
  <si>
    <t>+11:49.7</t>
  </si>
  <si>
    <t>JUOZELSKIS Andrius</t>
  </si>
  <si>
    <t>Andrius JUOZELSKIS</t>
  </si>
  <si>
    <t>+13:04.0</t>
  </si>
  <si>
    <t>+13:54.0</t>
  </si>
  <si>
    <t>+13:59.2</t>
  </si>
  <si>
    <t>+14:41.8</t>
  </si>
  <si>
    <t>TTB</t>
  </si>
  <si>
    <t>+15:22.3</t>
  </si>
  <si>
    <t>SKREBELIS Saulius</t>
  </si>
  <si>
    <t>Saulius SKREBELIS</t>
  </si>
  <si>
    <t>Utena Cycling team</t>
  </si>
  <si>
    <t>+15:32.3</t>
  </si>
  <si>
    <t>+15:36.3</t>
  </si>
  <si>
    <t>+16:02.7</t>
  </si>
  <si>
    <t>+16:19.4</t>
  </si>
  <si>
    <t>+16:27.0</t>
  </si>
  <si>
    <t>+16:32.1</t>
  </si>
  <si>
    <t>+16:38.3</t>
  </si>
  <si>
    <t>+16:54.0</t>
  </si>
  <si>
    <t>GYLYS Ignas</t>
  </si>
  <si>
    <t>Ignas GYLYS</t>
  </si>
  <si>
    <t>Pabaigsiu nenupilęs</t>
  </si>
  <si>
    <t>+17:15.7</t>
  </si>
  <si>
    <t>VIRŠILAS Dalius</t>
  </si>
  <si>
    <t>Dalius VIRŠILAS</t>
  </si>
  <si>
    <t>+17:35.1</t>
  </si>
  <si>
    <t>+17:53.1</t>
  </si>
  <si>
    <t>+17:57.9</t>
  </si>
  <si>
    <t>+18:01.5</t>
  </si>
  <si>
    <t>+18:04.4</t>
  </si>
  <si>
    <t>+18:14.0</t>
  </si>
  <si>
    <t>+19:13.5</t>
  </si>
  <si>
    <t>GORELČIONKA Tomas</t>
  </si>
  <si>
    <t>Tomas GORELČIONKA</t>
  </si>
  <si>
    <t>+19:20.9</t>
  </si>
  <si>
    <t>+19:40.9</t>
  </si>
  <si>
    <t>RIMUTĖ Dovilė</t>
  </si>
  <si>
    <t>Dovilė RIMUTĖ</t>
  </si>
  <si>
    <t>+19:43.0</t>
  </si>
  <si>
    <t>SONGAILA Tomas</t>
  </si>
  <si>
    <t>Tomas SONGAILA</t>
  </si>
  <si>
    <t>+20:02.9</t>
  </si>
  <si>
    <t>+20:31.3</t>
  </si>
  <si>
    <t>JAKUTYTĖ Vaida</t>
  </si>
  <si>
    <t>Vaida JAKUTYTĖ</t>
  </si>
  <si>
    <t>+20:31.6</t>
  </si>
  <si>
    <t>+21:10.6</t>
  </si>
  <si>
    <t>+21:27.0</t>
  </si>
  <si>
    <t>+21:39.5</t>
  </si>
  <si>
    <t>+21:57.2</t>
  </si>
  <si>
    <t>+22:27.8</t>
  </si>
  <si>
    <t>+22:29.5</t>
  </si>
  <si>
    <t>+22:54.4</t>
  </si>
  <si>
    <t>NAKVOSE Nadezhda</t>
  </si>
  <si>
    <t>Nadezhda NAKVOSE</t>
  </si>
  <si>
    <t>+22:59.2</t>
  </si>
  <si>
    <t>+23:05.6</t>
  </si>
  <si>
    <t>+23:42.4</t>
  </si>
  <si>
    <t>+24:14.8</t>
  </si>
  <si>
    <t>VOLBIKIENĖ Liudmila</t>
  </si>
  <si>
    <t>Liudmila VOLBIKIENĖ</t>
  </si>
  <si>
    <t>+24:26.1</t>
  </si>
  <si>
    <t>+24:43.0</t>
  </si>
  <si>
    <t>+24:44.6</t>
  </si>
  <si>
    <t>+26:21.6</t>
  </si>
  <si>
    <t>MALŪKAS Mantas</t>
  </si>
  <si>
    <t>Mantas MALŪKAS</t>
  </si>
  <si>
    <t>+26:31.5</t>
  </si>
  <si>
    <t>MICHAILOV-BYLA Martin</t>
  </si>
  <si>
    <t>Martin MICHAILOV</t>
  </si>
  <si>
    <t>+27:53.6</t>
  </si>
  <si>
    <t>+28:02.4</t>
  </si>
  <si>
    <t>IKIGAI</t>
  </si>
  <si>
    <t>+28:12.5</t>
  </si>
  <si>
    <t>+29:13.2</t>
  </si>
  <si>
    <t>ŠNIUKIENĖ Agnė</t>
  </si>
  <si>
    <t>Agnė ŠNIUKIENĖ</t>
  </si>
  <si>
    <t>#GeležinėMAMA</t>
  </si>
  <si>
    <t>+29:18.8</t>
  </si>
  <si>
    <t>+30:27.6</t>
  </si>
  <si>
    <t>Funkcinių treniruočių studija</t>
  </si>
  <si>
    <t>+30:46.9</t>
  </si>
  <si>
    <t>VALAITYTĖ Živilė</t>
  </si>
  <si>
    <t>Živilė VALAITYTĖ</t>
  </si>
  <si>
    <t>+31:19.7</t>
  </si>
  <si>
    <t>JURGAITIS Skirmantas Petras</t>
  </si>
  <si>
    <t>Petras JURGAITIS</t>
  </si>
  <si>
    <t>+31:31.9</t>
  </si>
  <si>
    <t>+32:44.1</t>
  </si>
  <si>
    <t>+33:01.1</t>
  </si>
  <si>
    <t>VANPOUCKE Denis</t>
  </si>
  <si>
    <t>Denis VANPOUCKE</t>
  </si>
  <si>
    <t>+36:27.5</t>
  </si>
  <si>
    <t>KOPŪSTAS Dainius</t>
  </si>
  <si>
    <t>Dainius KOPŪSTAS</t>
  </si>
  <si>
    <t>+36:44.8</t>
  </si>
  <si>
    <t>CIESIUNAS Rimvydas</t>
  </si>
  <si>
    <t>Rimvydas CIESIUNAS</t>
  </si>
  <si>
    <t>+37:50.3</t>
  </si>
  <si>
    <t>+43:16.8</t>
  </si>
  <si>
    <t>+1:12:03.0</t>
  </si>
  <si>
    <t>Starto banga</t>
  </si>
  <si>
    <t>Gun time  </t>
  </si>
  <si>
    <t>Pirma 08:00:00</t>
  </si>
  <si>
    <t>+2:27.1</t>
  </si>
  <si>
    <t>+4:32.0</t>
  </si>
  <si>
    <t>LUKAUSKIS Tadas</t>
  </si>
  <si>
    <t>Faster - Human Performance</t>
  </si>
  <si>
    <t>+5:37.5</t>
  </si>
  <si>
    <t>+7:58.6</t>
  </si>
  <si>
    <t>Lietuvos kariuomenė / TRItonas</t>
  </si>
  <si>
    <t>+8:28.5</t>
  </si>
  <si>
    <t>Lietuvos kariuomenė/S-Sportas</t>
  </si>
  <si>
    <t>+9:22.1</t>
  </si>
  <si>
    <t>+9:46.3</t>
  </si>
  <si>
    <t>+13:28.0</t>
  </si>
  <si>
    <t>+13:48.8</t>
  </si>
  <si>
    <t>+14:24.2</t>
  </si>
  <si>
    <t>LINKUS Gediminas</t>
  </si>
  <si>
    <t>+15:15.1</t>
  </si>
  <si>
    <t>+15:37.2</t>
  </si>
  <si>
    <t>+15:54.8</t>
  </si>
  <si>
    <t>Neko Team</t>
  </si>
  <si>
    <t>+15:55.9</t>
  </si>
  <si>
    <t>+16:00.2</t>
  </si>
  <si>
    <t>SKALANDIS Eimantas</t>
  </si>
  <si>
    <t>+16:49.1</t>
  </si>
  <si>
    <t>+17:01.4</t>
  </si>
  <si>
    <t>+17:09.1</t>
  </si>
  <si>
    <t>KOZLOVSKIS Genrikas</t>
  </si>
  <si>
    <t>+17:21.3</t>
  </si>
  <si>
    <t>+17:30.7</t>
  </si>
  <si>
    <t>RADZEVICIUS Sarunas</t>
  </si>
  <si>
    <t>Trečia 09:00:00</t>
  </si>
  <si>
    <t>+17:40.4</t>
  </si>
  <si>
    <t>+17:42.7</t>
  </si>
  <si>
    <t>+18:16.5</t>
  </si>
  <si>
    <t>IKIGAI Team</t>
  </si>
  <si>
    <t>+18:32.4</t>
  </si>
  <si>
    <t>RUDNICKAS Darius</t>
  </si>
  <si>
    <t>+18:55.5</t>
  </si>
  <si>
    <t>+19:14.0</t>
  </si>
  <si>
    <t>Antra 08:30:00</t>
  </si>
  <si>
    <t>+20:03.4</t>
  </si>
  <si>
    <t>+20:14.0</t>
  </si>
  <si>
    <t>+20:21.7</t>
  </si>
  <si>
    <t>+22:01.5</t>
  </si>
  <si>
    <t>+22:30.6</t>
  </si>
  <si>
    <t>+22:36.4</t>
  </si>
  <si>
    <t>+23:02.4</t>
  </si>
  <si>
    <t>GROMAS Tadas</t>
  </si>
  <si>
    <t>+23:19.8</t>
  </si>
  <si>
    <t>INTERESOVAS Robertas</t>
  </si>
  <si>
    <t>+23:25.5</t>
  </si>
  <si>
    <t>+24:30.4</t>
  </si>
  <si>
    <t>Mikael MERTZ-JEPSEN</t>
  </si>
  <si>
    <t>+24:30.5</t>
  </si>
  <si>
    <t>+24:36.3</t>
  </si>
  <si>
    <t>PILIPAVICIUS Mantas</t>
  </si>
  <si>
    <t>+24:46.9</t>
  </si>
  <si>
    <t>+24:54.3</t>
  </si>
  <si>
    <t>+25:06.4</t>
  </si>
  <si>
    <t>+25:17.1</t>
  </si>
  <si>
    <t>Saulius Batavičius</t>
  </si>
  <si>
    <t>+25:22.0</t>
  </si>
  <si>
    <t>MATUZA Donatas</t>
  </si>
  <si>
    <t>Lietuvos kariuomenė</t>
  </si>
  <si>
    <t>+26:03.8</t>
  </si>
  <si>
    <t>AUKSELYTĖ Inga</t>
  </si>
  <si>
    <t>+26:04.6</t>
  </si>
  <si>
    <t>Pilėnai</t>
  </si>
  <si>
    <t>+26:08.8</t>
  </si>
  <si>
    <t>GRĖBLIŪNAS Donatas</t>
  </si>
  <si>
    <t>+26:25.2</t>
  </si>
  <si>
    <t>+26:30.4</t>
  </si>
  <si>
    <t>+26:47.2</t>
  </si>
  <si>
    <t>+27:07.3</t>
  </si>
  <si>
    <t>+27:10.6</t>
  </si>
  <si>
    <t>+27:20.4</t>
  </si>
  <si>
    <t>KERBEDIS Rasius</t>
  </si>
  <si>
    <t>+27:31.8</t>
  </si>
  <si>
    <t>AUGLYS Modestas</t>
  </si>
  <si>
    <t>+27:37.2</t>
  </si>
  <si>
    <t>SEREIKA Tadas</t>
  </si>
  <si>
    <t>+27:50.2</t>
  </si>
  <si>
    <t>+28:39.7</t>
  </si>
  <si>
    <t>Lietuvos kariuomenė/HighPeaks Lietuva</t>
  </si>
  <si>
    <t>+28:51.0</t>
  </si>
  <si>
    <t>+28:56.9</t>
  </si>
  <si>
    <t>+29:23.8</t>
  </si>
  <si>
    <t>ŠALTENYTĖ Monika</t>
  </si>
  <si>
    <t>+29:26.5</t>
  </si>
  <si>
    <t>+29:42.7</t>
  </si>
  <si>
    <t>+30:41.0</t>
  </si>
  <si>
    <t>BENIUŠIS Nerijus</t>
  </si>
  <si>
    <t>+30:50.5</t>
  </si>
  <si>
    <t>+31:2.6</t>
  </si>
  <si>
    <t>+31:13.1</t>
  </si>
  <si>
    <t>+31:35.3</t>
  </si>
  <si>
    <t>+31:44.6</t>
  </si>
  <si>
    <t>+31:48.5</t>
  </si>
  <si>
    <t>+32:07.8</t>
  </si>
  <si>
    <t>+32:13.6</t>
  </si>
  <si>
    <t>+32:22.5</t>
  </si>
  <si>
    <t>+32:39.1</t>
  </si>
  <si>
    <t>+32:46.9</t>
  </si>
  <si>
    <t>+32:47.5</t>
  </si>
  <si>
    <t>DAUKŠA Paulius</t>
  </si>
  <si>
    <t>BIELSKIJ Valerij</t>
  </si>
  <si>
    <t>+33:20.1</t>
  </si>
  <si>
    <t>+33:22.1</t>
  </si>
  <si>
    <t>MARTIŠONOK Jevgenij</t>
  </si>
  <si>
    <t>+34:04.4</t>
  </si>
  <si>
    <t>+34:43.1</t>
  </si>
  <si>
    <t>+34:50.0</t>
  </si>
  <si>
    <t>SWE</t>
  </si>
  <si>
    <t>MANBERGER Wilma</t>
  </si>
  <si>
    <t>Race &amp; Shine</t>
  </si>
  <si>
    <t>DOMBRAUSKIS Julius</t>
  </si>
  <si>
    <t>+34:58.1</t>
  </si>
  <si>
    <t>+34:59.7</t>
  </si>
  <si>
    <t>+35:06.5</t>
  </si>
  <si>
    <t>+36:09.8</t>
  </si>
  <si>
    <t>+36:15.5</t>
  </si>
  <si>
    <t>MIKUTAVICIUS Karolis</t>
  </si>
  <si>
    <t>+36:46.8</t>
  </si>
  <si>
    <t>+37:04.0</t>
  </si>
  <si>
    <t>+37:14.6</t>
  </si>
  <si>
    <t>+37:43.9</t>
  </si>
  <si>
    <t>BUZAITIS Justas</t>
  </si>
  <si>
    <t>+38:29.5</t>
  </si>
  <si>
    <t>Triatlona Akadēmija</t>
  </si>
  <si>
    <t>+38:34.8</t>
  </si>
  <si>
    <t>BORUSEVIČIUS Vaidas</t>
  </si>
  <si>
    <t>+38:39.8</t>
  </si>
  <si>
    <t>+39:03.0</t>
  </si>
  <si>
    <t>+39:15.9</t>
  </si>
  <si>
    <t>+39:16.4</t>
  </si>
  <si>
    <t>+39:59.1</t>
  </si>
  <si>
    <t>GRIŠKA Gediminas</t>
  </si>
  <si>
    <t>+40:04.0</t>
  </si>
  <si>
    <t>+40:06.1</t>
  </si>
  <si>
    <t>ŪSAS Marijus</t>
  </si>
  <si>
    <t>Trakų Triatlono Būrelis / Lietuvos kariuomenė</t>
  </si>
  <si>
    <t>+40:11.9</t>
  </si>
  <si>
    <t>+40:2.1</t>
  </si>
  <si>
    <t>+40:33.3</t>
  </si>
  <si>
    <t>+40:45.1</t>
  </si>
  <si>
    <t>DAMBRAUSKAS Ramūnas</t>
  </si>
  <si>
    <t>+40:53.4</t>
  </si>
  <si>
    <t>Lietuvos kariuomenė/ TTB</t>
  </si>
  <si>
    <t>+40:56.5</t>
  </si>
  <si>
    <t>+41:01.0</t>
  </si>
  <si>
    <t>+41:02.7</t>
  </si>
  <si>
    <t>BOGDANOVIČ Edgaras</t>
  </si>
  <si>
    <t>+43:01.3</t>
  </si>
  <si>
    <t>Fake Cake</t>
  </si>
  <si>
    <t>+43:21.3</t>
  </si>
  <si>
    <t>LUKOŠIUS Arnas</t>
  </si>
  <si>
    <t>TriKotletai</t>
  </si>
  <si>
    <t>+43:22.3</t>
  </si>
  <si>
    <t>+43:26.0</t>
  </si>
  <si>
    <t>+43:40.6</t>
  </si>
  <si>
    <t>+43:52.2</t>
  </si>
  <si>
    <t>+44:16.5</t>
  </si>
  <si>
    <t>+44:18.0</t>
  </si>
  <si>
    <t>+44:35.2</t>
  </si>
  <si>
    <t>+45:05.0</t>
  </si>
  <si>
    <t>+45:13.0</t>
  </si>
  <si>
    <t>+45:25.5</t>
  </si>
  <si>
    <t>+45:35.7</t>
  </si>
  <si>
    <t>ANIULIS Karolis</t>
  </si>
  <si>
    <t>+45:55.9</t>
  </si>
  <si>
    <t>+46:09.9</t>
  </si>
  <si>
    <t>BAUSYTĖ Rugilė</t>
  </si>
  <si>
    <t>+46:19.6</t>
  </si>
  <si>
    <t>Swedbank, AB</t>
  </si>
  <si>
    <t>+46:50.7</t>
  </si>
  <si>
    <t>+47:28.0</t>
  </si>
  <si>
    <t>+47:35.8</t>
  </si>
  <si>
    <t>+47:48.3</t>
  </si>
  <si>
    <t>+48:22.8</t>
  </si>
  <si>
    <t>SIMANAUSKAS Raimondas</t>
  </si>
  <si>
    <t>+48:31.9</t>
  </si>
  <si>
    <t>+49:30.1</t>
  </si>
  <si>
    <t>+49:36.6</t>
  </si>
  <si>
    <t>+50:06.5</t>
  </si>
  <si>
    <t>VASKELA Mantas</t>
  </si>
  <si>
    <t>+50:26.5</t>
  </si>
  <si>
    <t>+50:27.3</t>
  </si>
  <si>
    <t>+51:11.2</t>
  </si>
  <si>
    <t>+51:57.4</t>
  </si>
  <si>
    <t>+52:05.1</t>
  </si>
  <si>
    <t>JUOZAPAVIČIENĖ Ligita</t>
  </si>
  <si>
    <t>+52:45.6</t>
  </si>
  <si>
    <t>BRAZDEIKIS Arūnas</t>
  </si>
  <si>
    <t>+52:48.8</t>
  </si>
  <si>
    <t>VARNAS Lukas</t>
  </si>
  <si>
    <t>+53:05.1</t>
  </si>
  <si>
    <t>VIRBICKAS Kestutis</t>
  </si>
  <si>
    <t>+53:51.9</t>
  </si>
  <si>
    <t>TRI-fun</t>
  </si>
  <si>
    <t>+54:11.4</t>
  </si>
  <si>
    <t>ZELVYS Zilvinas</t>
  </si>
  <si>
    <t>+54:58.1</t>
  </si>
  <si>
    <t>+55:27.1</t>
  </si>
  <si>
    <t>+55:34.0</t>
  </si>
  <si>
    <t>Distyle</t>
  </si>
  <si>
    <t>+56:45.2</t>
  </si>
  <si>
    <t>+56:59.5</t>
  </si>
  <si>
    <t>+57:42.7</t>
  </si>
  <si>
    <t>+59:2.3</t>
  </si>
  <si>
    <t>BUTKUS Audrius</t>
  </si>
  <si>
    <t>+59:33.1</t>
  </si>
  <si>
    <t>ŠLUTA Valdas</t>
  </si>
  <si>
    <t>+59:33.5</t>
  </si>
  <si>
    <t>+59:35.9</t>
  </si>
  <si>
    <t>PLIAVGO Justas</t>
  </si>
  <si>
    <t>Motyvuoti kotletai</t>
  </si>
  <si>
    <t>+1:00:29.2</t>
  </si>
  <si>
    <t>+1:00:57.3</t>
  </si>
  <si>
    <t>+1:01:31.2</t>
  </si>
  <si>
    <t>+1:01:34.9</t>
  </si>
  <si>
    <t>KUNCA Antanas</t>
  </si>
  <si>
    <t>+1:01:41.0</t>
  </si>
  <si>
    <t>+1:02:50.6</t>
  </si>
  <si>
    <t>JUODZIUKYNAS Tomas</t>
  </si>
  <si>
    <t>+1:02:58.2</t>
  </si>
  <si>
    <t>PAPLAUSKAITE Indre</t>
  </si>
  <si>
    <t>+1:05:53.7</t>
  </si>
  <si>
    <t>+1:08:29.9</t>
  </si>
  <si>
    <t>+1:08:42.5</t>
  </si>
  <si>
    <t>+1:08:59.8</t>
  </si>
  <si>
    <t>ŠIDEIKYTĖ Toma</t>
  </si>
  <si>
    <t>+1:13:15.9</t>
  </si>
  <si>
    <t>+1:13:29.2</t>
  </si>
  <si>
    <t>LOZORAITIS Jonas</t>
  </si>
  <si>
    <t>Show Up &amp; Partners</t>
  </si>
  <si>
    <t>+1:17:05.7</t>
  </si>
  <si>
    <t>+1:17:42.6</t>
  </si>
  <si>
    <t>+1:21:21.1</t>
  </si>
  <si>
    <t>GUOBIS Žygimantas</t>
  </si>
  <si>
    <t>+1:24:35.3</t>
  </si>
  <si>
    <t>PIEČIA Armandas</t>
  </si>
  <si>
    <t>+1:45:59.6</t>
  </si>
  <si>
    <t>Pirma banga 13:00:00</t>
  </si>
  <si>
    <t>Lietuvos kariuomenė / Marijampolės triatlono draugija</t>
  </si>
  <si>
    <t>+2:03.7</t>
  </si>
  <si>
    <t>+3:04.8</t>
  </si>
  <si>
    <t>+3:39.8</t>
  </si>
  <si>
    <t>ŠIMAITIS Aistis</t>
  </si>
  <si>
    <t>+4:12.2</t>
  </si>
  <si>
    <t>Antra banga 13:30:00</t>
  </si>
  <si>
    <t>+5:02.8</t>
  </si>
  <si>
    <t>+5:42.4</t>
  </si>
  <si>
    <t>+5:58.1</t>
  </si>
  <si>
    <t>+6:00.0</t>
  </si>
  <si>
    <t>GUNTIS Kristupas</t>
  </si>
  <si>
    <t>ET</t>
  </si>
  <si>
    <t>+7:27.9</t>
  </si>
  <si>
    <t>PETRULIS Vitalijus</t>
  </si>
  <si>
    <t>VENKŪNAS Tomas</t>
  </si>
  <si>
    <t>+8:27.4</t>
  </si>
  <si>
    <t>SVIPAS Laurynas</t>
  </si>
  <si>
    <t>+8:35.9</t>
  </si>
  <si>
    <t>PAPLAUSKAS Donatas</t>
  </si>
  <si>
    <t>+8:40.2</t>
  </si>
  <si>
    <t>+9:28.6</t>
  </si>
  <si>
    <t>TOLSTOKOROVAS Jevgenijus</t>
  </si>
  <si>
    <t>+9:29.6</t>
  </si>
  <si>
    <t>UMANTAS Aivaras</t>
  </si>
  <si>
    <t>+10:04.7</t>
  </si>
  <si>
    <t>+10:15.6</t>
  </si>
  <si>
    <t>ZDANCEVIČIUS Simonas</t>
  </si>
  <si>
    <t>+10:40.4</t>
  </si>
  <si>
    <t>+10:43.0</t>
  </si>
  <si>
    <t>JUOZAPAVIČIUS Laimutis</t>
  </si>
  <si>
    <t>+10:56.8</t>
  </si>
  <si>
    <t>ŠUKYS Mintautas</t>
  </si>
  <si>
    <t>+11:17.5</t>
  </si>
  <si>
    <t>+11:35.8</t>
  </si>
  <si>
    <t>VENCKŪNAS Jonas</t>
  </si>
  <si>
    <t>+11:41.0</t>
  </si>
  <si>
    <t>+11:42.4</t>
  </si>
  <si>
    <t>ANDREJAUSKAS Pijus</t>
  </si>
  <si>
    <t>+12:55.1</t>
  </si>
  <si>
    <t>+13:07.4</t>
  </si>
  <si>
    <t>Stogaga</t>
  </si>
  <si>
    <t>+14:15.6</t>
  </si>
  <si>
    <t>+14:22.4</t>
  </si>
  <si>
    <t>VAKULICA Anastasija</t>
  </si>
  <si>
    <t>+14:26.6</t>
  </si>
  <si>
    <t>ALAUNYTĖ - AMBROZĖ Žydrė</t>
  </si>
  <si>
    <t>+14:57.3</t>
  </si>
  <si>
    <t>+15:09.4</t>
  </si>
  <si>
    <t>+15:19.9</t>
  </si>
  <si>
    <t>URBA Daivis</t>
  </si>
  <si>
    <t>+15:34.0</t>
  </si>
  <si>
    <t>+15:57.5</t>
  </si>
  <si>
    <t>SMG</t>
  </si>
  <si>
    <t>+16:31.7</t>
  </si>
  <si>
    <t>JANUŠKEVIČIUS Jokūbas</t>
  </si>
  <si>
    <t>+16:59.3</t>
  </si>
  <si>
    <t>+17:04.2</t>
  </si>
  <si>
    <t>KARALIUS Jonas</t>
  </si>
  <si>
    <t>+17:39.2</t>
  </si>
  <si>
    <t>+17:46.5</t>
  </si>
  <si>
    <t>+17:49.9</t>
  </si>
  <si>
    <t>+18:00.7</t>
  </si>
  <si>
    <t>JUODIŠIUS Virgilijus</t>
  </si>
  <si>
    <t>+18:06.0</t>
  </si>
  <si>
    <t>Decathlon</t>
  </si>
  <si>
    <t>+18:08.0</t>
  </si>
  <si>
    <t>+18:10.8</t>
  </si>
  <si>
    <t>+18:24.2</t>
  </si>
  <si>
    <t>VASILJEVAITĖ Emilija</t>
  </si>
  <si>
    <t>+19:30.1</t>
  </si>
  <si>
    <t>JASAITIS Dominykas</t>
  </si>
  <si>
    <t>+19:42.4</t>
  </si>
  <si>
    <t>+19:57.1</t>
  </si>
  <si>
    <t>ŠETIKAS Šarūnas</t>
  </si>
  <si>
    <t>+19:57.7</t>
  </si>
  <si>
    <t>PURAS Karolis</t>
  </si>
  <si>
    <t>+19:59.0</t>
  </si>
  <si>
    <t>+20:17.5</t>
  </si>
  <si>
    <t>+21:19.6</t>
  </si>
  <si>
    <t>IVAŠKA Mantas</t>
  </si>
  <si>
    <t>+21:22.7</t>
  </si>
  <si>
    <t>+21:59.8</t>
  </si>
  <si>
    <t>+22:11.1</t>
  </si>
  <si>
    <t>+22:15.4</t>
  </si>
  <si>
    <t>+22:25.3</t>
  </si>
  <si>
    <t>+22:26.8</t>
  </si>
  <si>
    <t>KOZLOVSKOS Tomas</t>
  </si>
  <si>
    <t>+22:40.6</t>
  </si>
  <si>
    <t>ŠIMAITIENĖ Elena</t>
  </si>
  <si>
    <t>+22:42.6</t>
  </si>
  <si>
    <t>GREGORAUSKAS Julius</t>
  </si>
  <si>
    <t>+23:01.2</t>
  </si>
  <si>
    <t>+23:11.4</t>
  </si>
  <si>
    <t>ŽEMAITAITIS Kęstutis</t>
  </si>
  <si>
    <t>+23:19.3</t>
  </si>
  <si>
    <t>+23:31.1</t>
  </si>
  <si>
    <t>MISIŪNAS Petras</t>
  </si>
  <si>
    <t>+23:46.4</t>
  </si>
  <si>
    <t>+24:09.7</t>
  </si>
  <si>
    <t>+24:20.3</t>
  </si>
  <si>
    <t>+24:31.7</t>
  </si>
  <si>
    <t>+24:36.6</t>
  </si>
  <si>
    <t>+25:28.5</t>
  </si>
  <si>
    <t>+25:43.4</t>
  </si>
  <si>
    <t>+25:43.9</t>
  </si>
  <si>
    <t>ZAVECKAS Rytis</t>
  </si>
  <si>
    <t>+26:34.4</t>
  </si>
  <si>
    <t>EINORIS Regimantas</t>
  </si>
  <si>
    <t>+26:40.6</t>
  </si>
  <si>
    <t>KRASAUSKAS Ignas</t>
  </si>
  <si>
    <t>REDGO</t>
  </si>
  <si>
    <t>+26:54.6</t>
  </si>
  <si>
    <t>KARTAVIČIUS Linas</t>
  </si>
  <si>
    <t>+27:01.4</t>
  </si>
  <si>
    <t>BENAITIS Rimantas</t>
  </si>
  <si>
    <t>+27:23.8</t>
  </si>
  <si>
    <t>BOGDANOVAS Artiomas</t>
  </si>
  <si>
    <t>+27:24.2</t>
  </si>
  <si>
    <t>MATELYTE Arune</t>
  </si>
  <si>
    <t>+27:26.3</t>
  </si>
  <si>
    <t>+27:48.5</t>
  </si>
  <si>
    <t>+27:49.3</t>
  </si>
  <si>
    <t>+27:55.7</t>
  </si>
  <si>
    <t>BRADAUSKAS Justas</t>
  </si>
  <si>
    <t>+28:09.8</t>
  </si>
  <si>
    <t>ČERNIAUSKAS Domantas</t>
  </si>
  <si>
    <t>+28:23.1</t>
  </si>
  <si>
    <t>+28:32.7</t>
  </si>
  <si>
    <t>Innosport.lt</t>
  </si>
  <si>
    <t>+29:20.5</t>
  </si>
  <si>
    <t>KOROTČENKOVIENĖ Inga</t>
  </si>
  <si>
    <t>+29:42.1</t>
  </si>
  <si>
    <t>REZGYS Vaidotas</t>
  </si>
  <si>
    <t>+29:47.6</t>
  </si>
  <si>
    <t>GRĖBLIŪNĖ Justė</t>
  </si>
  <si>
    <t>+29:58.2</t>
  </si>
  <si>
    <t>TAMOŠAUSKAS Julius</t>
  </si>
  <si>
    <t>+29:59.3</t>
  </si>
  <si>
    <t>+30:17.5</t>
  </si>
  <si>
    <t>PERVENECKAS Tadas</t>
  </si>
  <si>
    <t>+31:08.1</t>
  </si>
  <si>
    <t>VIKŠRAITIS Henrikas</t>
  </si>
  <si>
    <t>Spartafightgym</t>
  </si>
  <si>
    <t>+31:17.3</t>
  </si>
  <si>
    <t>+31:19.3</t>
  </si>
  <si>
    <t>+31:29.4</t>
  </si>
  <si>
    <t>BAKŠYS Regimantas</t>
  </si>
  <si>
    <t>+32:14.6</t>
  </si>
  <si>
    <t>VENCKŪNAS Vincentas</t>
  </si>
  <si>
    <t>IVANAUSKAITĖ Ramunė</t>
  </si>
  <si>
    <t>+32:53.3</t>
  </si>
  <si>
    <t>TOMAITĖ-SVIPIENĖ Laura</t>
  </si>
  <si>
    <t>+35:00.1</t>
  </si>
  <si>
    <t>+35:53.0</t>
  </si>
  <si>
    <t>LEONAVIČIUS Evaldas</t>
  </si>
  <si>
    <t>+37:49.7</t>
  </si>
  <si>
    <t>+38:39.0</t>
  </si>
  <si>
    <t>+40:10.0</t>
  </si>
  <si>
    <t>Horizontas</t>
  </si>
  <si>
    <t>+40:57.2</t>
  </si>
  <si>
    <t>+42:41.2</t>
  </si>
  <si>
    <t>ALEKSIUNIENE Andzelina</t>
  </si>
  <si>
    <t>LIETUVOS KARIUOMENE ,,DEPU TARNYBA''</t>
  </si>
  <si>
    <t>+46:36.7</t>
  </si>
  <si>
    <t>GRABAUSKAS Žydrūnas</t>
  </si>
  <si>
    <t>+46:45.0</t>
  </si>
  <si>
    <t>LEŠČINSKAITĖ Aistė</t>
  </si>
  <si>
    <t>+48:39.8</t>
  </si>
  <si>
    <t>GRABAUSKIENĖ Margarita</t>
  </si>
  <si>
    <t>+49:35.6</t>
  </si>
  <si>
    <t>MITTELSTADT Harmut</t>
  </si>
  <si>
    <t>+1:04:21.1</t>
  </si>
  <si>
    <t>VENCKŪNAS</t>
  </si>
  <si>
    <t>Andrius</t>
  </si>
  <si>
    <t>Vyras</t>
  </si>
  <si>
    <t>TRI-FUN-13V</t>
  </si>
  <si>
    <t>DUBROVSKIY</t>
  </si>
  <si>
    <t>Vladislav</t>
  </si>
  <si>
    <t>TRI-FUN-18V</t>
  </si>
  <si>
    <t>UŽPALEVIČIUS</t>
  </si>
  <si>
    <t>Kazimieras</t>
  </si>
  <si>
    <t>TRI-FUN-40V</t>
  </si>
  <si>
    <t>TAMUTYTĖ</t>
  </si>
  <si>
    <t>Liepa</t>
  </si>
  <si>
    <t>SSC BTT</t>
  </si>
  <si>
    <t>Moteris</t>
  </si>
  <si>
    <t>TRI-FUN-13M</t>
  </si>
  <si>
    <t>KORSAKOVAS</t>
  </si>
  <si>
    <t>Valdas</t>
  </si>
  <si>
    <t>VASILJEVAITĖ</t>
  </si>
  <si>
    <t>Emilija</t>
  </si>
  <si>
    <t>TRI-FUN-16M</t>
  </si>
  <si>
    <t>ZAVECKAS</t>
  </si>
  <si>
    <t>Rytis</t>
  </si>
  <si>
    <t>TESLIA</t>
  </si>
  <si>
    <t>Gintas</t>
  </si>
  <si>
    <t>RIMKEVIČIŪTĖ</t>
  </si>
  <si>
    <t>Saulė</t>
  </si>
  <si>
    <t>Sostinės SC/ BTT</t>
  </si>
  <si>
    <t>STANAITIS</t>
  </si>
  <si>
    <t>Arnoldas</t>
  </si>
  <si>
    <t>LEONTJEV</t>
  </si>
  <si>
    <t>Feliks</t>
  </si>
  <si>
    <t>GELZINIS</t>
  </si>
  <si>
    <t>Virginijus</t>
  </si>
  <si>
    <t>MITRIKAS</t>
  </si>
  <si>
    <t>Matas</t>
  </si>
  <si>
    <t>Vincentas</t>
  </si>
  <si>
    <t>PLIAVGO</t>
  </si>
  <si>
    <t>Justas</t>
  </si>
  <si>
    <t>VENCKŪNAITĖ</t>
  </si>
  <si>
    <t>Liucija</t>
  </si>
  <si>
    <t>REPEČKA</t>
  </si>
  <si>
    <t>Laurynas</t>
  </si>
  <si>
    <t>NAIKUS</t>
  </si>
  <si>
    <t>Aidas</t>
  </si>
  <si>
    <t>LAUKIENĖ</t>
  </si>
  <si>
    <t>Julija</t>
  </si>
  <si>
    <t>#IRONMAMA</t>
  </si>
  <si>
    <t>TRI-FUN-18M</t>
  </si>
  <si>
    <t>VALMAITĖ</t>
  </si>
  <si>
    <t>Miglė</t>
  </si>
  <si>
    <t>UŽPALEVIČIENĖ</t>
  </si>
  <si>
    <t>Kristina</t>
  </si>
  <si>
    <t>TRI-FUN-40M</t>
  </si>
  <si>
    <t>KESTAUSKAS</t>
  </si>
  <si>
    <t>Adas</t>
  </si>
  <si>
    <t>LAZAUSKAS</t>
  </si>
  <si>
    <t>Pijus</t>
  </si>
  <si>
    <t>STANKEVIČIUS</t>
  </si>
  <si>
    <t>BERTULIS</t>
  </si>
  <si>
    <t>Jeronimas</t>
  </si>
  <si>
    <t>NORKUS</t>
  </si>
  <si>
    <t>Stanislovas</t>
  </si>
  <si>
    <t>VAIČIŪNAITĖ</t>
  </si>
  <si>
    <t>Gerda</t>
  </si>
  <si>
    <t>RIMAS</t>
  </si>
  <si>
    <t>Hugabook</t>
  </si>
  <si>
    <t>Tadas</t>
  </si>
  <si>
    <t>KUBILIŪTĖ</t>
  </si>
  <si>
    <t>Gustė</t>
  </si>
  <si>
    <t>STAVECKIENĖ</t>
  </si>
  <si>
    <t>Asta</t>
  </si>
  <si>
    <t>ANTANAVIČIENĖ</t>
  </si>
  <si>
    <t>BLIUVAITĖ</t>
  </si>
  <si>
    <t>Samanta</t>
  </si>
  <si>
    <t>ŽASETIS</t>
  </si>
  <si>
    <t>Grantas</t>
  </si>
  <si>
    <t>TRI-FUN-16V</t>
  </si>
  <si>
    <t>BALTRANAITE</t>
  </si>
  <si>
    <t>Nida</t>
  </si>
  <si>
    <t>OPONAVIČIŪTĖ</t>
  </si>
  <si>
    <t>Vitalija</t>
  </si>
  <si>
    <t>PETUKAUSKAS</t>
  </si>
  <si>
    <t>Robertas</t>
  </si>
  <si>
    <t>PŠITULSKIENĖ</t>
  </si>
  <si>
    <t>DIEČKĖ</t>
  </si>
  <si>
    <t>Glorija</t>
  </si>
  <si>
    <t>DIEČKUS</t>
  </si>
  <si>
    <t>Joris</t>
  </si>
  <si>
    <t>BUIKAITĖ</t>
  </si>
  <si>
    <t>Augustė</t>
  </si>
  <si>
    <t>Sporto Klinika</t>
  </si>
  <si>
    <t>DIRMEIKIS</t>
  </si>
  <si>
    <t>Vytenis</t>
  </si>
  <si>
    <t>ŽURAVSKIJ</t>
  </si>
  <si>
    <t>Aleksandr</t>
  </si>
  <si>
    <t>KUBILĖ</t>
  </si>
  <si>
    <t>Vilma</t>
  </si>
  <si>
    <t>LESEVIČIŪTĖ</t>
  </si>
  <si>
    <t>Karina</t>
  </si>
  <si>
    <t>KAPLERIS</t>
  </si>
  <si>
    <t>Marius</t>
  </si>
  <si>
    <t>Temple</t>
  </si>
  <si>
    <t>PETNIŪNAS</t>
  </si>
  <si>
    <t>Julius</t>
  </si>
  <si>
    <t>KARBONSKYTĖ</t>
  </si>
  <si>
    <t>Simona</t>
  </si>
  <si>
    <t>ŽILINSKAITĖ</t>
  </si>
  <si>
    <t>Rasa</t>
  </si>
  <si>
    <t>KUBILIUS</t>
  </si>
  <si>
    <t>VANPOUCKE</t>
  </si>
  <si>
    <t>Denis</t>
  </si>
  <si>
    <t>GERVELĖ</t>
  </si>
  <si>
    <t>NAIKIENĖ</t>
  </si>
  <si>
    <t>Ieva</t>
  </si>
  <si>
    <t>KVEDERIS</t>
  </si>
  <si>
    <t>ŽASETYTĖ</t>
  </si>
  <si>
    <t>Smiltė</t>
  </si>
  <si>
    <t>GEDMINĖ</t>
  </si>
  <si>
    <t>Kotryna</t>
  </si>
  <si>
    <t>KUKENYS</t>
  </si>
  <si>
    <t>Kostas</t>
  </si>
  <si>
    <t>STUČKA</t>
  </si>
  <si>
    <t>Povilas</t>
  </si>
  <si>
    <t>STUCKIENE</t>
  </si>
  <si>
    <t>Aura</t>
  </si>
  <si>
    <t xml:space="preserve"> - </t>
  </si>
  <si>
    <t>URBIETIS</t>
  </si>
  <si>
    <t>Žygimantas</t>
  </si>
  <si>
    <t>DNF</t>
  </si>
  <si>
    <t>TAMUTIS Kristupas</t>
  </si>
  <si>
    <t>Sostinės SC / BTT</t>
  </si>
  <si>
    <t>GUDAITIS Aurimas</t>
  </si>
  <si>
    <t>+3:55.4</t>
  </si>
  <si>
    <t>URBANAVIČIUS Emilis</t>
  </si>
  <si>
    <t>+13:39.3</t>
  </si>
  <si>
    <t>MARTINAITIS Rokas</t>
  </si>
  <si>
    <t>VSC BTT</t>
  </si>
  <si>
    <t>Bendras startas 15:30:00</t>
  </si>
  <si>
    <t>Emilis URBANAVIČIUS</t>
  </si>
  <si>
    <t>+8:15.9</t>
  </si>
  <si>
    <t>2024 04 13  PANEVĖŽYS</t>
  </si>
  <si>
    <t>2025 06 29 TRAKAI</t>
  </si>
  <si>
    <t>2025 07 20 JONAVA</t>
  </si>
  <si>
    <t>2025 08 02 PANEVĖŽYS</t>
  </si>
  <si>
    <t>2025 08 16 VEISIEJAI</t>
  </si>
  <si>
    <t>2025 09 06 DRUSKININKAI</t>
  </si>
  <si>
    <t>2024 09 20 TRAKAI</t>
  </si>
  <si>
    <t>Raminta Dalgedaitė Baškienė</t>
  </si>
  <si>
    <t>Valdemar Sivickij</t>
  </si>
  <si>
    <t>2024 05 12 PANEVĖŽYS</t>
  </si>
  <si>
    <t>2024 06 02 KAIŠIADORYS</t>
  </si>
  <si>
    <t>2024 06 30 TRAKAI</t>
  </si>
  <si>
    <t>2024 07 21 JONAVA</t>
  </si>
  <si>
    <t>2023 08 03 PANEVĖŽYS</t>
  </si>
  <si>
    <t>2024 08 18 VEISIEJAI</t>
  </si>
  <si>
    <t>2024 08 24 TALINAS</t>
  </si>
  <si>
    <t>2024 08 31 DRUSKININKAI</t>
  </si>
  <si>
    <t>Užsienio startas</t>
  </si>
  <si>
    <t>Rūta Cimarmanaitė</t>
  </si>
  <si>
    <t>Darius Matuliauskas</t>
  </si>
  <si>
    <t>Roberta Prelgauskienė</t>
  </si>
  <si>
    <t>Gediminas Garbauskas</t>
  </si>
  <si>
    <t>Jaunius Sarapas</t>
  </si>
  <si>
    <t>Julius Tomaševičius</t>
  </si>
  <si>
    <t>Jurga Girdzijauskaitė-Kabelkė</t>
  </si>
  <si>
    <t>Jurgita Paulauskienė</t>
  </si>
  <si>
    <t>Liudmila Iniakina</t>
  </si>
  <si>
    <t>Marco Rosello</t>
  </si>
  <si>
    <t>Meinardas Valkevičius</t>
  </si>
  <si>
    <t>Ugnė Steliulionytė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</si>
</sst>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\ _€_-;\-* #,##0.00\ _€_-;_-* &quot;-&quot;??\ _€_-;_-@_-"/>
    <numFmt numFmtId="165" formatCode="hh:mm:ss.0"/>
    <numFmt numFmtId="166" formatCode="hh:mm:ss;@"/>
  </numFmts>
  <fonts count="63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b/>
      <sz val="12"/>
      <color rgb="FF000000"/>
      <name val="Calibri"/>
    </font>
    <font>
      <sz val="10"/>
      <color rgb="FF000000"/>
      <name val="Calibri"/>
    </font>
    <font>
      <sz val="9"/>
      <color rgb="FF000000"/>
      <name val="Calibri"/>
    </font>
    <font>
      <b/>
      <sz val="11"/>
      <color rgb="FF000000"/>
      <name val="Calibri"/>
    </font>
    <font>
      <b/>
      <sz val="11"/>
      <color rgb="FFFF0000"/>
      <name val="Noto Sans Symbols"/>
    </font>
    <font>
      <b/>
      <sz val="8"/>
      <name val="Calibri"/>
    </font>
    <font>
      <sz val="8"/>
      <color rgb="FF000000"/>
      <name val="Calibri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 Light"/>
      <family val="2"/>
      <charset val="186"/>
      <scheme val="major"/>
    </font>
    <font>
      <b/>
      <sz val="15"/>
      <color theme="3"/>
      <name val="Calibri"/>
      <family val="2"/>
      <charset val="186"/>
      <scheme val="minor"/>
    </font>
    <font>
      <b/>
      <sz val="13"/>
      <color theme="3"/>
      <name val="Calibri"/>
      <family val="2"/>
      <charset val="186"/>
      <scheme val="minor"/>
    </font>
    <font>
      <b/>
      <sz val="11"/>
      <color theme="3"/>
      <name val="Calibri"/>
      <family val="2"/>
      <charset val="186"/>
      <scheme val="minor"/>
    </font>
    <font>
      <sz val="11"/>
      <color rgb="FF006100"/>
      <name val="Calibri"/>
      <family val="2"/>
      <charset val="186"/>
      <scheme val="minor"/>
    </font>
    <font>
      <sz val="11"/>
      <color rgb="FF9C0006"/>
      <name val="Calibri"/>
      <family val="2"/>
      <charset val="186"/>
      <scheme val="minor"/>
    </font>
    <font>
      <sz val="11"/>
      <color rgb="FF3F3F76"/>
      <name val="Calibri"/>
      <family val="2"/>
      <charset val="186"/>
      <scheme val="minor"/>
    </font>
    <font>
      <b/>
      <sz val="11"/>
      <color rgb="FF3F3F3F"/>
      <name val="Calibri"/>
      <family val="2"/>
      <charset val="186"/>
      <scheme val="minor"/>
    </font>
    <font>
      <b/>
      <sz val="11"/>
      <color rgb="FFFA7D00"/>
      <name val="Calibri"/>
      <family val="2"/>
      <charset val="186"/>
      <scheme val="minor"/>
    </font>
    <font>
      <sz val="11"/>
      <color rgb="FFFA7D00"/>
      <name val="Calibri"/>
      <family val="2"/>
      <charset val="186"/>
      <scheme val="minor"/>
    </font>
    <font>
      <b/>
      <sz val="11"/>
      <color theme="0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  <font>
      <i/>
      <sz val="11"/>
      <color rgb="FF7F7F7F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color theme="0"/>
      <name val="Calibri"/>
      <family val="2"/>
      <charset val="186"/>
      <scheme val="minor"/>
    </font>
    <font>
      <sz val="11"/>
      <color rgb="FF9C6500"/>
      <name val="Calibri"/>
      <family val="2"/>
      <charset val="186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8"/>
      <name val="Calibri"/>
      <family val="2"/>
    </font>
    <font>
      <sz val="9"/>
      <color rgb="FFFF00FF"/>
      <name val="Arial"/>
      <charset val="1"/>
    </font>
    <font>
      <sz val="11"/>
      <color rgb="FF000000"/>
      <name val="Calibri"/>
      <charset val="1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charset val="1"/>
    </font>
    <font>
      <sz val="11"/>
      <color rgb="FF9C5700"/>
      <name val="Calibri"/>
      <family val="2"/>
      <scheme val="minor"/>
    </font>
    <font>
      <sz val="8"/>
      <name val="Calibri"/>
    </font>
    <font>
      <sz val="9"/>
      <color rgb="FF000000"/>
      <name val="Arial"/>
      <family val="2"/>
    </font>
    <font>
      <sz val="9"/>
      <color rgb="FFFF00FF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name val="Calibri"/>
      <family val="2"/>
    </font>
    <font>
      <sz val="10"/>
      <color theme="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rgb="FF5B9BD5"/>
        <bgColor rgb="FF5B9BD5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EEAF6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rgb="FFDEEAF6"/>
      </patternFill>
    </fill>
    <fill>
      <patternFill patternType="solid">
        <fgColor theme="4" tint="0.39997558519241921"/>
        <bgColor indexed="64"/>
      </patternFill>
    </fill>
  </fills>
  <borders count="63">
    <border>
      <left/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/>
      <bottom/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 style="hair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hair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09">
    <xf numFmtId="0" fontId="0" fillId="0" borderId="0"/>
    <xf numFmtId="164" fontId="11" fillId="0" borderId="2" applyFont="0" applyFill="0" applyBorder="0" applyAlignment="0" applyProtection="0"/>
    <xf numFmtId="0" fontId="11" fillId="0" borderId="2"/>
    <xf numFmtId="0" fontId="12" fillId="0" borderId="2" applyNumberFormat="0" applyFill="0" applyBorder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2" applyNumberFormat="0" applyFill="0" applyBorder="0" applyAlignment="0" applyProtection="0"/>
    <xf numFmtId="0" fontId="16" fillId="3" borderId="2" applyNumberFormat="0" applyBorder="0" applyAlignment="0" applyProtection="0"/>
    <xf numFmtId="0" fontId="17" fillId="4" borderId="2" applyNumberFormat="0" applyBorder="0" applyAlignment="0" applyProtection="0"/>
    <xf numFmtId="0" fontId="18" fillId="5" borderId="2" applyNumberFormat="0" applyBorder="0" applyAlignment="0" applyProtection="0"/>
    <xf numFmtId="0" fontId="19" fillId="6" borderId="8" applyNumberFormat="0" applyAlignment="0" applyProtection="0"/>
    <xf numFmtId="0" fontId="20" fillId="7" borderId="9" applyNumberFormat="0" applyAlignment="0" applyProtection="0"/>
    <xf numFmtId="0" fontId="21" fillId="7" borderId="8" applyNumberFormat="0" applyAlignment="0" applyProtection="0"/>
    <xf numFmtId="0" fontId="22" fillId="0" borderId="10" applyNumberFormat="0" applyFill="0" applyAlignment="0" applyProtection="0"/>
    <xf numFmtId="0" fontId="23" fillId="8" borderId="11" applyNumberFormat="0" applyAlignment="0" applyProtection="0"/>
    <xf numFmtId="0" fontId="24" fillId="0" borderId="2" applyNumberFormat="0" applyFill="0" applyBorder="0" applyAlignment="0" applyProtection="0"/>
    <xf numFmtId="0" fontId="11" fillId="9" borderId="12" applyNumberFormat="0" applyFont="0" applyAlignment="0" applyProtection="0"/>
    <xf numFmtId="0" fontId="25" fillId="0" borderId="2" applyNumberFormat="0" applyFill="0" applyBorder="0" applyAlignment="0" applyProtection="0"/>
    <xf numFmtId="0" fontId="26" fillId="0" borderId="13" applyNumberFormat="0" applyFill="0" applyAlignment="0" applyProtection="0"/>
    <xf numFmtId="0" fontId="27" fillId="10" borderId="2" applyNumberFormat="0" applyBorder="0" applyAlignment="0" applyProtection="0"/>
    <xf numFmtId="0" fontId="11" fillId="11" borderId="2" applyNumberFormat="0" applyBorder="0" applyAlignment="0" applyProtection="0"/>
    <xf numFmtId="0" fontId="11" fillId="12" borderId="2" applyNumberFormat="0" applyBorder="0" applyAlignment="0" applyProtection="0"/>
    <xf numFmtId="0" fontId="27" fillId="13" borderId="2" applyNumberFormat="0" applyBorder="0" applyAlignment="0" applyProtection="0"/>
    <xf numFmtId="0" fontId="27" fillId="14" borderId="2" applyNumberFormat="0" applyBorder="0" applyAlignment="0" applyProtection="0"/>
    <xf numFmtId="0" fontId="11" fillId="15" borderId="2" applyNumberFormat="0" applyBorder="0" applyAlignment="0" applyProtection="0"/>
    <xf numFmtId="0" fontId="11" fillId="16" borderId="2" applyNumberFormat="0" applyBorder="0" applyAlignment="0" applyProtection="0"/>
    <xf numFmtId="0" fontId="27" fillId="17" borderId="2" applyNumberFormat="0" applyBorder="0" applyAlignment="0" applyProtection="0"/>
    <xf numFmtId="0" fontId="27" fillId="18" borderId="2" applyNumberFormat="0" applyBorder="0" applyAlignment="0" applyProtection="0"/>
    <xf numFmtId="0" fontId="11" fillId="19" borderId="2" applyNumberFormat="0" applyBorder="0" applyAlignment="0" applyProtection="0"/>
    <xf numFmtId="0" fontId="11" fillId="20" borderId="2" applyNumberFormat="0" applyBorder="0" applyAlignment="0" applyProtection="0"/>
    <xf numFmtId="0" fontId="27" fillId="21" borderId="2" applyNumberFormat="0" applyBorder="0" applyAlignment="0" applyProtection="0"/>
    <xf numFmtId="0" fontId="27" fillId="22" borderId="2" applyNumberFormat="0" applyBorder="0" applyAlignment="0" applyProtection="0"/>
    <xf numFmtId="0" fontId="11" fillId="23" borderId="2" applyNumberFormat="0" applyBorder="0" applyAlignment="0" applyProtection="0"/>
    <xf numFmtId="0" fontId="11" fillId="24" borderId="2" applyNumberFormat="0" applyBorder="0" applyAlignment="0" applyProtection="0"/>
    <xf numFmtId="0" fontId="27" fillId="25" borderId="2" applyNumberFormat="0" applyBorder="0" applyAlignment="0" applyProtection="0"/>
    <xf numFmtId="0" fontId="27" fillId="26" borderId="2" applyNumberFormat="0" applyBorder="0" applyAlignment="0" applyProtection="0"/>
    <xf numFmtId="0" fontId="11" fillId="27" borderId="2" applyNumberFormat="0" applyBorder="0" applyAlignment="0" applyProtection="0"/>
    <xf numFmtId="0" fontId="11" fillId="28" borderId="2" applyNumberFormat="0" applyBorder="0" applyAlignment="0" applyProtection="0"/>
    <xf numFmtId="0" fontId="27" fillId="29" borderId="2" applyNumberFormat="0" applyBorder="0" applyAlignment="0" applyProtection="0"/>
    <xf numFmtId="0" fontId="27" fillId="30" borderId="2" applyNumberFormat="0" applyBorder="0" applyAlignment="0" applyProtection="0"/>
    <xf numFmtId="0" fontId="11" fillId="31" borderId="2" applyNumberFormat="0" applyBorder="0" applyAlignment="0" applyProtection="0"/>
    <xf numFmtId="0" fontId="11" fillId="32" borderId="2" applyNumberFormat="0" applyBorder="0" applyAlignment="0" applyProtection="0"/>
    <xf numFmtId="0" fontId="27" fillId="33" borderId="2" applyNumberFormat="0" applyBorder="0" applyAlignment="0" applyProtection="0"/>
    <xf numFmtId="164" fontId="11" fillId="0" borderId="2" applyFont="0" applyFill="0" applyBorder="0" applyAlignment="0" applyProtection="0"/>
    <xf numFmtId="0" fontId="29" fillId="0" borderId="5" applyNumberFormat="0" applyFill="0" applyAlignment="0" applyProtection="0"/>
    <xf numFmtId="0" fontId="30" fillId="0" borderId="6" applyNumberFormat="0" applyFill="0" applyAlignment="0" applyProtection="0"/>
    <xf numFmtId="0" fontId="31" fillId="0" borderId="7" applyNumberFormat="0" applyFill="0" applyAlignment="0" applyProtection="0"/>
    <xf numFmtId="0" fontId="34" fillId="6" borderId="8" applyNumberFormat="0" applyAlignment="0" applyProtection="0"/>
    <xf numFmtId="0" fontId="35" fillId="7" borderId="9" applyNumberFormat="0" applyAlignment="0" applyProtection="0"/>
    <xf numFmtId="0" fontId="36" fillId="7" borderId="8" applyNumberFormat="0" applyAlignment="0" applyProtection="0"/>
    <xf numFmtId="0" fontId="37" fillId="0" borderId="10" applyNumberFormat="0" applyFill="0" applyAlignment="0" applyProtection="0"/>
    <xf numFmtId="0" fontId="38" fillId="8" borderId="11" applyNumberFormat="0" applyAlignment="0" applyProtection="0"/>
    <xf numFmtId="0" fontId="41" fillId="0" borderId="13" applyNumberFormat="0" applyFill="0" applyAlignment="0" applyProtection="0"/>
    <xf numFmtId="0" fontId="2" fillId="0" borderId="2"/>
    <xf numFmtId="0" fontId="2" fillId="11" borderId="2" applyNumberFormat="0" applyBorder="0" applyAlignment="0" applyProtection="0"/>
    <xf numFmtId="0" fontId="2" fillId="31" borderId="2" applyNumberFormat="0" applyBorder="0" applyAlignment="0" applyProtection="0"/>
    <xf numFmtId="0" fontId="2" fillId="32" borderId="2" applyNumberFormat="0" applyBorder="0" applyAlignment="0" applyProtection="0"/>
    <xf numFmtId="0" fontId="2" fillId="23" borderId="2" applyNumberFormat="0" applyBorder="0" applyAlignment="0" applyProtection="0"/>
    <xf numFmtId="0" fontId="2" fillId="27" borderId="2" applyNumberFormat="0" applyBorder="0" applyAlignment="0" applyProtection="0"/>
    <xf numFmtId="0" fontId="2" fillId="15" borderId="2" applyNumberFormat="0" applyBorder="0" applyAlignment="0" applyProtection="0"/>
    <xf numFmtId="0" fontId="32" fillId="3" borderId="2" applyNumberFormat="0" applyBorder="0" applyAlignment="0" applyProtection="0"/>
    <xf numFmtId="0" fontId="42" fillId="30" borderId="2" applyNumberFormat="0" applyBorder="0" applyAlignment="0" applyProtection="0"/>
    <xf numFmtId="0" fontId="2" fillId="16" borderId="2" applyNumberFormat="0" applyBorder="0" applyAlignment="0" applyProtection="0"/>
    <xf numFmtId="0" fontId="2" fillId="20" borderId="2" applyNumberFormat="0" applyBorder="0" applyAlignment="0" applyProtection="0"/>
    <xf numFmtId="0" fontId="42" fillId="17" borderId="2" applyNumberFormat="0" applyBorder="0" applyAlignment="0" applyProtection="0"/>
    <xf numFmtId="0" fontId="40" fillId="0" borderId="2" applyNumberFormat="0" applyFill="0" applyBorder="0" applyAlignment="0" applyProtection="0"/>
    <xf numFmtId="0" fontId="42" fillId="10" borderId="2" applyNumberFormat="0" applyBorder="0" applyAlignment="0" applyProtection="0"/>
    <xf numFmtId="0" fontId="42" fillId="14" borderId="2" applyNumberFormat="0" applyBorder="0" applyAlignment="0" applyProtection="0"/>
    <xf numFmtId="0" fontId="42" fillId="21" borderId="2" applyNumberFormat="0" applyBorder="0" applyAlignment="0" applyProtection="0"/>
    <xf numFmtId="0" fontId="2" fillId="28" borderId="2" applyNumberFormat="0" applyBorder="0" applyAlignment="0" applyProtection="0"/>
    <xf numFmtId="0" fontId="2" fillId="19" borderId="2" applyNumberFormat="0" applyBorder="0" applyAlignment="0" applyProtection="0"/>
    <xf numFmtId="0" fontId="2" fillId="24" borderId="2" applyNumberFormat="0" applyBorder="0" applyAlignment="0" applyProtection="0"/>
    <xf numFmtId="0" fontId="33" fillId="4" borderId="2" applyNumberFormat="0" applyBorder="0" applyAlignment="0" applyProtection="0"/>
    <xf numFmtId="0" fontId="42" fillId="25" borderId="2" applyNumberFormat="0" applyBorder="0" applyAlignment="0" applyProtection="0"/>
    <xf numFmtId="0" fontId="42" fillId="26" borderId="2" applyNumberFormat="0" applyBorder="0" applyAlignment="0" applyProtection="0"/>
    <xf numFmtId="0" fontId="42" fillId="18" borderId="2" applyNumberFormat="0" applyBorder="0" applyAlignment="0" applyProtection="0"/>
    <xf numFmtId="0" fontId="42" fillId="33" borderId="2" applyNumberFormat="0" applyBorder="0" applyAlignment="0" applyProtection="0"/>
    <xf numFmtId="0" fontId="2" fillId="12" borderId="2" applyNumberFormat="0" applyBorder="0" applyAlignment="0" applyProtection="0"/>
    <xf numFmtId="0" fontId="42" fillId="22" borderId="2" applyNumberFormat="0" applyBorder="0" applyAlignment="0" applyProtection="0"/>
    <xf numFmtId="0" fontId="42" fillId="13" borderId="2" applyNumberFormat="0" applyBorder="0" applyAlignment="0" applyProtection="0"/>
    <xf numFmtId="164" fontId="11" fillId="0" borderId="2" applyFont="0" applyFill="0" applyBorder="0" applyAlignment="0" applyProtection="0"/>
    <xf numFmtId="0" fontId="42" fillId="29" borderId="2" applyNumberFormat="0" applyBorder="0" applyAlignment="0" applyProtection="0"/>
    <xf numFmtId="0" fontId="31" fillId="0" borderId="2" applyNumberFormat="0" applyFill="0" applyBorder="0" applyAlignment="0" applyProtection="0"/>
    <xf numFmtId="0" fontId="43" fillId="5" borderId="2" applyNumberFormat="0" applyBorder="0" applyAlignment="0" applyProtection="0"/>
    <xf numFmtId="0" fontId="2" fillId="9" borderId="12" applyNumberFormat="0" applyFont="0" applyAlignment="0" applyProtection="0"/>
    <xf numFmtId="0" fontId="28" fillId="0" borderId="2" applyNumberFormat="0" applyFill="0" applyBorder="0" applyAlignment="0" applyProtection="0"/>
    <xf numFmtId="0" fontId="39" fillId="0" borderId="2" applyNumberFormat="0" applyFill="0" applyBorder="0" applyAlignment="0" applyProtection="0"/>
    <xf numFmtId="0" fontId="1" fillId="0" borderId="2"/>
    <xf numFmtId="0" fontId="54" fillId="5" borderId="2" applyNumberFormat="0" applyBorder="0" applyAlignment="0" applyProtection="0"/>
    <xf numFmtId="0" fontId="1" fillId="9" borderId="12" applyNumberFormat="0" applyFont="0" applyAlignment="0" applyProtection="0"/>
    <xf numFmtId="0" fontId="1" fillId="11" borderId="2" applyNumberFormat="0" applyBorder="0" applyAlignment="0" applyProtection="0"/>
    <xf numFmtId="0" fontId="1" fillId="12" borderId="2" applyNumberFormat="0" applyBorder="0" applyAlignment="0" applyProtection="0"/>
    <xf numFmtId="0" fontId="1" fillId="13" borderId="2" applyNumberFormat="0" applyBorder="0" applyAlignment="0" applyProtection="0"/>
    <xf numFmtId="0" fontId="1" fillId="15" borderId="2" applyNumberFormat="0" applyBorder="0" applyAlignment="0" applyProtection="0"/>
    <xf numFmtId="0" fontId="1" fillId="16" borderId="2" applyNumberFormat="0" applyBorder="0" applyAlignment="0" applyProtection="0"/>
    <xf numFmtId="0" fontId="1" fillId="17" borderId="2" applyNumberFormat="0" applyBorder="0" applyAlignment="0" applyProtection="0"/>
    <xf numFmtId="0" fontId="1" fillId="19" borderId="2" applyNumberFormat="0" applyBorder="0" applyAlignment="0" applyProtection="0"/>
    <xf numFmtId="0" fontId="1" fillId="20" borderId="2" applyNumberFormat="0" applyBorder="0" applyAlignment="0" applyProtection="0"/>
    <xf numFmtId="0" fontId="1" fillId="21" borderId="2" applyNumberFormat="0" applyBorder="0" applyAlignment="0" applyProtection="0"/>
    <xf numFmtId="0" fontId="1" fillId="23" borderId="2" applyNumberFormat="0" applyBorder="0" applyAlignment="0" applyProtection="0"/>
    <xf numFmtId="0" fontId="1" fillId="24" borderId="2" applyNumberFormat="0" applyBorder="0" applyAlignment="0" applyProtection="0"/>
    <xf numFmtId="0" fontId="1" fillId="25" borderId="2" applyNumberFormat="0" applyBorder="0" applyAlignment="0" applyProtection="0"/>
    <xf numFmtId="0" fontId="1" fillId="27" borderId="2" applyNumberFormat="0" applyBorder="0" applyAlignment="0" applyProtection="0"/>
    <xf numFmtId="0" fontId="1" fillId="28" borderId="2" applyNumberFormat="0" applyBorder="0" applyAlignment="0" applyProtection="0"/>
    <xf numFmtId="0" fontId="1" fillId="29" borderId="2" applyNumberFormat="0" applyBorder="0" applyAlignment="0" applyProtection="0"/>
    <xf numFmtId="0" fontId="1" fillId="31" borderId="2" applyNumberFormat="0" applyBorder="0" applyAlignment="0" applyProtection="0"/>
    <xf numFmtId="0" fontId="1" fillId="32" borderId="2" applyNumberFormat="0" applyBorder="0" applyAlignment="0" applyProtection="0"/>
    <xf numFmtId="0" fontId="1" fillId="33" borderId="2" applyNumberFormat="0" applyBorder="0" applyAlignment="0" applyProtection="0"/>
  </cellStyleXfs>
  <cellXfs count="18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7" fillId="0" borderId="0" xfId="0" applyFont="1"/>
    <xf numFmtId="3" fontId="0" fillId="0" borderId="1" xfId="0" applyNumberFormat="1" applyBorder="1" applyAlignment="1">
      <alignment horizontal="center"/>
    </xf>
    <xf numFmtId="21" fontId="0" fillId="0" borderId="0" xfId="0" applyNumberFormat="1"/>
    <xf numFmtId="21" fontId="8" fillId="2" borderId="4" xfId="0" applyNumberFormat="1" applyFont="1" applyFill="1" applyBorder="1" applyAlignment="1">
      <alignment horizontal="center" vertical="center" wrapText="1"/>
    </xf>
    <xf numFmtId="0" fontId="9" fillId="0" borderId="0" xfId="0" applyFont="1"/>
    <xf numFmtId="165" fontId="10" fillId="0" borderId="2" xfId="0" applyNumberFormat="1" applyFont="1" applyBorder="1" applyAlignment="1">
      <alignment horizontal="center"/>
    </xf>
    <xf numFmtId="166" fontId="10" fillId="0" borderId="2" xfId="0" applyNumberFormat="1" applyFont="1" applyBorder="1" applyAlignment="1">
      <alignment horizontal="center"/>
    </xf>
    <xf numFmtId="164" fontId="10" fillId="0" borderId="2" xfId="1" applyFont="1" applyBorder="1" applyAlignment="1">
      <alignment horizontal="center" vertical="center"/>
    </xf>
    <xf numFmtId="165" fontId="10" fillId="0" borderId="2" xfId="2" applyNumberFormat="1" applyFont="1" applyAlignment="1">
      <alignment horizontal="center"/>
    </xf>
    <xf numFmtId="0" fontId="5" fillId="0" borderId="14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/>
    </xf>
    <xf numFmtId="0" fontId="46" fillId="0" borderId="1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47" fontId="0" fillId="0" borderId="0" xfId="0" applyNumberFormat="1"/>
    <xf numFmtId="0" fontId="49" fillId="0" borderId="0" xfId="0" applyFont="1"/>
    <xf numFmtId="0" fontId="0" fillId="35" borderId="2" xfId="0" applyFill="1" applyBorder="1" applyAlignment="1">
      <alignment horizontal="center"/>
    </xf>
    <xf numFmtId="3" fontId="0" fillId="35" borderId="2" xfId="0" applyNumberFormat="1" applyFill="1" applyBorder="1" applyAlignment="1">
      <alignment horizontal="center"/>
    </xf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48" fillId="35" borderId="22" xfId="0" applyFont="1" applyFill="1" applyBorder="1" applyAlignment="1">
      <alignment readingOrder="1"/>
    </xf>
    <xf numFmtId="0" fontId="0" fillId="0" borderId="0" xfId="0" applyAlignment="1">
      <alignment wrapText="1"/>
    </xf>
    <xf numFmtId="21" fontId="0" fillId="0" borderId="0" xfId="0" applyNumberFormat="1" applyAlignment="1">
      <alignment wrapText="1"/>
    </xf>
    <xf numFmtId="47" fontId="0" fillId="0" borderId="0" xfId="0" applyNumberFormat="1" applyAlignment="1">
      <alignment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wrapText="1"/>
    </xf>
    <xf numFmtId="0" fontId="53" fillId="0" borderId="24" xfId="0" applyFont="1" applyBorder="1" applyAlignment="1">
      <alignment readingOrder="1"/>
    </xf>
    <xf numFmtId="0" fontId="53" fillId="0" borderId="25" xfId="0" applyFont="1" applyBorder="1" applyAlignment="1">
      <alignment readingOrder="1"/>
    </xf>
    <xf numFmtId="0" fontId="49" fillId="0" borderId="25" xfId="0" applyFont="1" applyBorder="1" applyAlignment="1">
      <alignment readingOrder="1"/>
    </xf>
    <xf numFmtId="0" fontId="49" fillId="0" borderId="26" xfId="0" applyFont="1" applyBorder="1" applyAlignment="1">
      <alignment readingOrder="1"/>
    </xf>
    <xf numFmtId="0" fontId="49" fillId="0" borderId="27" xfId="0" applyFont="1" applyBorder="1" applyAlignment="1">
      <alignment readingOrder="1"/>
    </xf>
    <xf numFmtId="0" fontId="49" fillId="0" borderId="28" xfId="0" applyFont="1" applyBorder="1" applyAlignment="1">
      <alignment readingOrder="1"/>
    </xf>
    <xf numFmtId="0" fontId="49" fillId="0" borderId="29" xfId="0" applyFont="1" applyBorder="1" applyAlignment="1">
      <alignment readingOrder="1"/>
    </xf>
    <xf numFmtId="0" fontId="49" fillId="0" borderId="27" xfId="0" quotePrefix="1" applyFont="1" applyBorder="1" applyAlignment="1">
      <alignment readingOrder="1"/>
    </xf>
    <xf numFmtId="0" fontId="49" fillId="0" borderId="30" xfId="0" applyFont="1" applyBorder="1" applyAlignment="1">
      <alignment readingOrder="1"/>
    </xf>
    <xf numFmtId="0" fontId="49" fillId="0" borderId="31" xfId="0" applyFont="1" applyBorder="1" applyAlignment="1">
      <alignment readingOrder="1"/>
    </xf>
    <xf numFmtId="0" fontId="0" fillId="0" borderId="32" xfId="0" applyBorder="1"/>
    <xf numFmtId="0" fontId="0" fillId="0" borderId="33" xfId="0" applyBorder="1"/>
    <xf numFmtId="0" fontId="53" fillId="0" borderId="26" xfId="0" applyFont="1" applyBorder="1" applyAlignment="1">
      <alignment readingOrder="1"/>
    </xf>
    <xf numFmtId="21" fontId="49" fillId="0" borderId="28" xfId="0" applyNumberFormat="1" applyFont="1" applyBorder="1" applyAlignment="1">
      <alignment readingOrder="1"/>
    </xf>
    <xf numFmtId="20" fontId="49" fillId="0" borderId="28" xfId="0" applyNumberFormat="1" applyFont="1" applyBorder="1" applyAlignment="1">
      <alignment readingOrder="1"/>
    </xf>
    <xf numFmtId="21" fontId="49" fillId="0" borderId="31" xfId="0" applyNumberFormat="1" applyFont="1" applyBorder="1" applyAlignment="1">
      <alignment readingOrder="1"/>
    </xf>
    <xf numFmtId="20" fontId="49" fillId="0" borderId="31" xfId="0" applyNumberFormat="1" applyFont="1" applyBorder="1" applyAlignment="1">
      <alignment readingOrder="1"/>
    </xf>
    <xf numFmtId="0" fontId="53" fillId="0" borderId="25" xfId="0" applyFont="1" applyBorder="1" applyAlignment="1">
      <alignment wrapText="1" readingOrder="1"/>
    </xf>
    <xf numFmtId="0" fontId="49" fillId="0" borderId="28" xfId="0" applyFont="1" applyBorder="1" applyAlignment="1">
      <alignment wrapText="1" readingOrder="1"/>
    </xf>
    <xf numFmtId="0" fontId="49" fillId="0" borderId="28" xfId="0" quotePrefix="1" applyFont="1" applyBorder="1" applyAlignment="1">
      <alignment wrapText="1" readingOrder="1"/>
    </xf>
    <xf numFmtId="0" fontId="49" fillId="0" borderId="31" xfId="0" applyFont="1" applyBorder="1" applyAlignment="1">
      <alignment wrapText="1" readingOrder="1"/>
    </xf>
    <xf numFmtId="3" fontId="44" fillId="35" borderId="2" xfId="0" applyNumberFormat="1" applyFont="1" applyFill="1" applyBorder="1" applyAlignment="1">
      <alignment horizontal="center"/>
    </xf>
    <xf numFmtId="0" fontId="57" fillId="35" borderId="2" xfId="0" applyFont="1" applyFill="1" applyBorder="1" applyAlignment="1">
      <alignment readingOrder="1"/>
    </xf>
    <xf numFmtId="21" fontId="49" fillId="0" borderId="29" xfId="0" applyNumberFormat="1" applyFont="1" applyBorder="1" applyAlignment="1">
      <alignment readingOrder="1"/>
    </xf>
    <xf numFmtId="0" fontId="59" fillId="35" borderId="2" xfId="0" applyFont="1" applyFill="1" applyBorder="1" applyAlignment="1">
      <alignment horizontal="center"/>
    </xf>
    <xf numFmtId="0" fontId="26" fillId="0" borderId="2" xfId="88" applyFont="1" applyAlignment="1">
      <alignment horizontal="center" vertical="center" wrapText="1"/>
    </xf>
    <xf numFmtId="0" fontId="1" fillId="0" borderId="2" xfId="88" applyAlignment="1">
      <alignment wrapText="1"/>
    </xf>
    <xf numFmtId="0" fontId="50" fillId="0" borderId="2" xfId="88" applyFont="1" applyAlignment="1">
      <alignment wrapText="1"/>
    </xf>
    <xf numFmtId="47" fontId="1" fillId="0" borderId="2" xfId="88" applyNumberFormat="1" applyAlignment="1">
      <alignment wrapText="1"/>
    </xf>
    <xf numFmtId="0" fontId="60" fillId="0" borderId="2" xfId="0" applyFont="1" applyBorder="1"/>
    <xf numFmtId="0" fontId="44" fillId="0" borderId="28" xfId="0" applyFont="1" applyBorder="1" applyAlignment="1">
      <alignment readingOrder="1"/>
    </xf>
    <xf numFmtId="0" fontId="44" fillId="0" borderId="2" xfId="0" applyFont="1" applyBorder="1" applyAlignment="1">
      <alignment horizontal="center"/>
    </xf>
    <xf numFmtId="0" fontId="46" fillId="36" borderId="2" xfId="0" applyFont="1" applyFill="1" applyBorder="1" applyAlignment="1">
      <alignment horizontal="center" vertical="center" wrapText="1"/>
    </xf>
    <xf numFmtId="0" fontId="44" fillId="35" borderId="2" xfId="0" applyFont="1" applyFill="1" applyBorder="1" applyAlignment="1">
      <alignment horizontal="center"/>
    </xf>
    <xf numFmtId="0" fontId="58" fillId="35" borderId="2" xfId="0" applyFont="1" applyFill="1" applyBorder="1" applyAlignment="1">
      <alignment readingOrder="1"/>
    </xf>
    <xf numFmtId="21" fontId="9" fillId="0" borderId="0" xfId="0" applyNumberFormat="1" applyFont="1"/>
    <xf numFmtId="0" fontId="56" fillId="35" borderId="2" xfId="0" applyFont="1" applyFill="1" applyBorder="1" applyAlignment="1">
      <alignment readingOrder="1"/>
    </xf>
    <xf numFmtId="0" fontId="44" fillId="0" borderId="3" xfId="0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44" fillId="0" borderId="18" xfId="0" applyFont="1" applyBorder="1" applyAlignment="1">
      <alignment horizontal="center"/>
    </xf>
    <xf numFmtId="0" fontId="44" fillId="35" borderId="22" xfId="0" applyFont="1" applyFill="1" applyBorder="1" applyAlignment="1">
      <alignment horizontal="center"/>
    </xf>
    <xf numFmtId="0" fontId="44" fillId="35" borderId="23" xfId="0" applyFont="1" applyFill="1" applyBorder="1" applyAlignment="1">
      <alignment horizontal="center"/>
    </xf>
    <xf numFmtId="0" fontId="44" fillId="0" borderId="20" xfId="0" applyFont="1" applyBorder="1" applyAlignment="1">
      <alignment horizontal="center"/>
    </xf>
    <xf numFmtId="0" fontId="56" fillId="37" borderId="2" xfId="0" applyFont="1" applyFill="1" applyBorder="1" applyAlignment="1">
      <alignment readingOrder="1"/>
    </xf>
    <xf numFmtId="0" fontId="44" fillId="0" borderId="21" xfId="0" applyFont="1" applyBorder="1" applyAlignment="1">
      <alignment horizontal="center"/>
    </xf>
    <xf numFmtId="0" fontId="44" fillId="0" borderId="23" xfId="0" applyFont="1" applyBorder="1" applyAlignment="1">
      <alignment horizontal="center"/>
    </xf>
    <xf numFmtId="0" fontId="45" fillId="36" borderId="2" xfId="0" applyFont="1" applyFill="1" applyBorder="1" applyAlignment="1">
      <alignment horizontal="center" vertical="center" wrapText="1"/>
    </xf>
    <xf numFmtId="0" fontId="56" fillId="35" borderId="34" xfId="0" applyFont="1" applyFill="1" applyBorder="1" applyAlignment="1">
      <alignment readingOrder="1"/>
    </xf>
    <xf numFmtId="0" fontId="57" fillId="35" borderId="22" xfId="0" applyFont="1" applyFill="1" applyBorder="1" applyAlignment="1">
      <alignment readingOrder="1"/>
    </xf>
    <xf numFmtId="0" fontId="44" fillId="0" borderId="38" xfId="0" applyFont="1" applyBorder="1" applyAlignment="1">
      <alignment horizontal="center"/>
    </xf>
    <xf numFmtId="0" fontId="44" fillId="0" borderId="39" xfId="0" applyFont="1" applyBorder="1" applyAlignment="1">
      <alignment horizontal="center"/>
    </xf>
    <xf numFmtId="0" fontId="45" fillId="0" borderId="17" xfId="0" applyFont="1" applyBorder="1" applyAlignment="1">
      <alignment horizontal="center" vertical="center" wrapText="1"/>
    </xf>
    <xf numFmtId="0" fontId="0" fillId="39" borderId="2" xfId="0" applyFill="1" applyBorder="1" applyAlignment="1">
      <alignment horizontal="center"/>
    </xf>
    <xf numFmtId="3" fontId="0" fillId="39" borderId="2" xfId="0" applyNumberFormat="1" applyFill="1" applyBorder="1" applyAlignment="1">
      <alignment horizontal="center"/>
    </xf>
    <xf numFmtId="0" fontId="44" fillId="0" borderId="2" xfId="0" applyFont="1" applyBorder="1"/>
    <xf numFmtId="0" fontId="44" fillId="0" borderId="0" xfId="0" applyFont="1"/>
    <xf numFmtId="0" fontId="0" fillId="35" borderId="40" xfId="0" applyFill="1" applyBorder="1" applyAlignment="1">
      <alignment horizontal="center"/>
    </xf>
    <xf numFmtId="0" fontId="0" fillId="35" borderId="41" xfId="0" applyFill="1" applyBorder="1" applyAlignment="1">
      <alignment horizontal="center"/>
    </xf>
    <xf numFmtId="0" fontId="0" fillId="39" borderId="41" xfId="0" applyFill="1" applyBorder="1" applyAlignment="1">
      <alignment horizontal="center"/>
    </xf>
    <xf numFmtId="0" fontId="0" fillId="35" borderId="42" xfId="0" applyFill="1" applyBorder="1" applyAlignment="1">
      <alignment horizontal="center"/>
    </xf>
    <xf numFmtId="0" fontId="0" fillId="35" borderId="43" xfId="0" applyFill="1" applyBorder="1" applyAlignment="1">
      <alignment horizontal="center"/>
    </xf>
    <xf numFmtId="0" fontId="0" fillId="39" borderId="43" xfId="0" applyFill="1" applyBorder="1" applyAlignment="1">
      <alignment horizontal="center"/>
    </xf>
    <xf numFmtId="0" fontId="0" fillId="35" borderId="44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38" borderId="41" xfId="0" applyFill="1" applyBorder="1" applyAlignment="1">
      <alignment horizontal="center"/>
    </xf>
    <xf numFmtId="0" fontId="0" fillId="38" borderId="41" xfId="0" applyFill="1" applyBorder="1"/>
    <xf numFmtId="0" fontId="0" fillId="0" borderId="41" xfId="0" applyFill="1" applyBorder="1" applyAlignment="1">
      <alignment horizontal="center"/>
    </xf>
    <xf numFmtId="0" fontId="0" fillId="0" borderId="4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3" fontId="0" fillId="0" borderId="2" xfId="0" applyNumberFormat="1" applyFill="1" applyBorder="1" applyAlignment="1">
      <alignment horizontal="center"/>
    </xf>
    <xf numFmtId="0" fontId="0" fillId="0" borderId="45" xfId="0" applyBorder="1"/>
    <xf numFmtId="0" fontId="4" fillId="0" borderId="37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/>
    </xf>
    <xf numFmtId="3" fontId="0" fillId="35" borderId="40" xfId="0" applyNumberFormat="1" applyFill="1" applyBorder="1" applyAlignment="1">
      <alignment horizontal="center"/>
    </xf>
    <xf numFmtId="3" fontId="0" fillId="35" borderId="41" xfId="0" applyNumberFormat="1" applyFill="1" applyBorder="1" applyAlignment="1">
      <alignment horizontal="center"/>
    </xf>
    <xf numFmtId="3" fontId="0" fillId="0" borderId="41" xfId="0" applyNumberFormat="1" applyFill="1" applyBorder="1" applyAlignment="1">
      <alignment horizontal="center"/>
    </xf>
    <xf numFmtId="3" fontId="0" fillId="39" borderId="41" xfId="0" applyNumberFormat="1" applyFill="1" applyBorder="1" applyAlignment="1">
      <alignment horizontal="center"/>
    </xf>
    <xf numFmtId="3" fontId="0" fillId="35" borderId="44" xfId="0" applyNumberFormat="1" applyFill="1" applyBorder="1" applyAlignment="1">
      <alignment horizontal="center"/>
    </xf>
    <xf numFmtId="0" fontId="5" fillId="0" borderId="17" xfId="0" applyFont="1" applyBorder="1" applyAlignment="1">
      <alignment horizontal="center" vertical="center" wrapText="1"/>
    </xf>
    <xf numFmtId="0" fontId="56" fillId="0" borderId="48" xfId="0" applyFont="1" applyBorder="1" applyAlignment="1">
      <alignment wrapText="1"/>
    </xf>
    <xf numFmtId="0" fontId="56" fillId="0" borderId="49" xfId="0" applyFont="1" applyBorder="1" applyAlignment="1">
      <alignment wrapText="1"/>
    </xf>
    <xf numFmtId="0" fontId="58" fillId="0" borderId="49" xfId="0" applyFont="1" applyBorder="1" applyAlignment="1">
      <alignment wrapText="1"/>
    </xf>
    <xf numFmtId="0" fontId="57" fillId="0" borderId="49" xfId="0" applyFont="1" applyBorder="1" applyAlignment="1">
      <alignment wrapText="1"/>
    </xf>
    <xf numFmtId="0" fontId="57" fillId="35" borderId="49" xfId="0" applyFont="1" applyFill="1" applyBorder="1" applyAlignment="1">
      <alignment wrapText="1"/>
    </xf>
    <xf numFmtId="0" fontId="56" fillId="35" borderId="49" xfId="0" applyFont="1" applyFill="1" applyBorder="1" applyAlignment="1">
      <alignment wrapText="1"/>
    </xf>
    <xf numFmtId="0" fontId="58" fillId="0" borderId="49" xfId="0" applyFont="1" applyFill="1" applyBorder="1" applyAlignment="1">
      <alignment wrapText="1"/>
    </xf>
    <xf numFmtId="0" fontId="56" fillId="34" borderId="49" xfId="0" applyFont="1" applyFill="1" applyBorder="1" applyAlignment="1">
      <alignment wrapText="1"/>
    </xf>
    <xf numFmtId="0" fontId="56" fillId="38" borderId="49" xfId="0" applyFont="1" applyFill="1" applyBorder="1" applyAlignment="1">
      <alignment wrapText="1"/>
    </xf>
    <xf numFmtId="0" fontId="57" fillId="38" borderId="49" xfId="0" applyFont="1" applyFill="1" applyBorder="1" applyAlignment="1">
      <alignment wrapText="1"/>
    </xf>
    <xf numFmtId="0" fontId="56" fillId="38" borderId="50" xfId="0" applyFont="1" applyFill="1" applyBorder="1" applyAlignment="1">
      <alignment wrapText="1"/>
    </xf>
    <xf numFmtId="0" fontId="46" fillId="0" borderId="51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0" fillId="35" borderId="53" xfId="0" applyFill="1" applyBorder="1" applyAlignment="1">
      <alignment horizontal="center"/>
    </xf>
    <xf numFmtId="0" fontId="0" fillId="35" borderId="35" xfId="0" applyFill="1" applyBorder="1" applyAlignment="1">
      <alignment horizontal="center"/>
    </xf>
    <xf numFmtId="3" fontId="0" fillId="35" borderId="55" xfId="0" applyNumberFormat="1" applyFill="1" applyBorder="1" applyAlignment="1">
      <alignment horizontal="center"/>
    </xf>
    <xf numFmtId="0" fontId="0" fillId="0" borderId="35" xfId="0" applyFill="1" applyBorder="1" applyAlignment="1">
      <alignment horizontal="center"/>
    </xf>
    <xf numFmtId="3" fontId="0" fillId="0" borderId="55" xfId="0" applyNumberFormat="1" applyFill="1" applyBorder="1" applyAlignment="1">
      <alignment horizontal="center"/>
    </xf>
    <xf numFmtId="3" fontId="0" fillId="0" borderId="55" xfId="0" applyNumberFormat="1" applyBorder="1" applyAlignment="1">
      <alignment horizontal="center"/>
    </xf>
    <xf numFmtId="0" fontId="0" fillId="39" borderId="35" xfId="0" applyFill="1" applyBorder="1" applyAlignment="1">
      <alignment horizontal="center"/>
    </xf>
    <xf numFmtId="3" fontId="0" fillId="39" borderId="55" xfId="0" applyNumberFormat="1" applyFill="1" applyBorder="1" applyAlignment="1">
      <alignment horizontal="center"/>
    </xf>
    <xf numFmtId="3" fontId="0" fillId="38" borderId="55" xfId="0" applyNumberFormat="1" applyFill="1" applyBorder="1" applyAlignment="1">
      <alignment horizontal="center"/>
    </xf>
    <xf numFmtId="0" fontId="0" fillId="39" borderId="45" xfId="0" applyFill="1" applyBorder="1" applyAlignment="1">
      <alignment horizontal="center"/>
    </xf>
    <xf numFmtId="0" fontId="0" fillId="39" borderId="56" xfId="0" applyFill="1" applyBorder="1" applyAlignment="1">
      <alignment horizontal="center"/>
    </xf>
    <xf numFmtId="0" fontId="0" fillId="39" borderId="57" xfId="0" applyFill="1" applyBorder="1" applyAlignment="1">
      <alignment horizontal="center"/>
    </xf>
    <xf numFmtId="0" fontId="0" fillId="39" borderId="58" xfId="0" applyFill="1" applyBorder="1" applyAlignment="1">
      <alignment horizontal="center"/>
    </xf>
    <xf numFmtId="0" fontId="0" fillId="38" borderId="56" xfId="0" applyFill="1" applyBorder="1"/>
    <xf numFmtId="3" fontId="0" fillId="39" borderId="56" xfId="0" applyNumberFormat="1" applyFill="1" applyBorder="1" applyAlignment="1">
      <alignment horizontal="center"/>
    </xf>
    <xf numFmtId="3" fontId="0" fillId="39" borderId="58" xfId="0" applyNumberFormat="1" applyFill="1" applyBorder="1" applyAlignment="1">
      <alignment horizontal="center"/>
    </xf>
    <xf numFmtId="3" fontId="0" fillId="38" borderId="59" xfId="0" applyNumberFormat="1" applyFill="1" applyBorder="1" applyAlignment="1">
      <alignment horizontal="center"/>
    </xf>
    <xf numFmtId="0" fontId="0" fillId="35" borderId="60" xfId="0" applyFill="1" applyBorder="1" applyAlignment="1">
      <alignment horizontal="center"/>
    </xf>
    <xf numFmtId="0" fontId="0" fillId="35" borderId="61" xfId="0" applyFill="1" applyBorder="1" applyAlignment="1">
      <alignment horizontal="center"/>
    </xf>
    <xf numFmtId="0" fontId="0" fillId="0" borderId="37" xfId="0" applyBorder="1"/>
    <xf numFmtId="0" fontId="0" fillId="0" borderId="62" xfId="0" applyBorder="1"/>
    <xf numFmtId="0" fontId="0" fillId="0" borderId="2" xfId="0" applyBorder="1"/>
    <xf numFmtId="0" fontId="0" fillId="0" borderId="55" xfId="0" applyBorder="1"/>
    <xf numFmtId="0" fontId="0" fillId="35" borderId="2" xfId="0" applyFill="1" applyBorder="1"/>
    <xf numFmtId="0" fontId="0" fillId="35" borderId="55" xfId="0" applyFill="1" applyBorder="1"/>
    <xf numFmtId="0" fontId="0" fillId="0" borderId="2" xfId="0" applyFill="1" applyBorder="1"/>
    <xf numFmtId="0" fontId="0" fillId="0" borderId="55" xfId="0" applyFill="1" applyBorder="1"/>
    <xf numFmtId="0" fontId="0" fillId="38" borderId="2" xfId="0" applyFill="1" applyBorder="1"/>
    <xf numFmtId="0" fontId="0" fillId="38" borderId="55" xfId="0" applyFill="1" applyBorder="1"/>
    <xf numFmtId="0" fontId="0" fillId="38" borderId="58" xfId="0" applyFill="1" applyBorder="1"/>
    <xf numFmtId="0" fontId="0" fillId="38" borderId="59" xfId="0" applyFill="1" applyBorder="1"/>
    <xf numFmtId="0" fontId="6" fillId="0" borderId="35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0" fillId="0" borderId="58" xfId="0" applyBorder="1"/>
    <xf numFmtId="49" fontId="4" fillId="0" borderId="37" xfId="0" applyNumberFormat="1" applyFont="1" applyBorder="1" applyAlignment="1">
      <alignment horizontal="center" vertical="center" wrapText="1"/>
    </xf>
    <xf numFmtId="0" fontId="61" fillId="40" borderId="35" xfId="0" applyFont="1" applyFill="1" applyBorder="1" applyAlignment="1">
      <alignment horizontal="center"/>
    </xf>
    <xf numFmtId="0" fontId="6" fillId="41" borderId="35" xfId="0" applyFont="1" applyFill="1" applyBorder="1" applyAlignment="1">
      <alignment horizontal="center"/>
    </xf>
    <xf numFmtId="0" fontId="6" fillId="38" borderId="35" xfId="0" applyFont="1" applyFill="1" applyBorder="1" applyAlignment="1">
      <alignment horizontal="center"/>
    </xf>
    <xf numFmtId="0" fontId="6" fillId="42" borderId="35" xfId="0" applyFont="1" applyFill="1" applyBorder="1" applyAlignment="1">
      <alignment horizontal="center"/>
    </xf>
    <xf numFmtId="0" fontId="62" fillId="43" borderId="15" xfId="0" applyFont="1" applyFill="1" applyBorder="1" applyAlignment="1">
      <alignment horizontal="center" vertical="center" wrapText="1"/>
    </xf>
    <xf numFmtId="3" fontId="0" fillId="44" borderId="54" xfId="0" applyNumberFormat="1" applyFill="1" applyBorder="1" applyAlignment="1">
      <alignment horizontal="center"/>
    </xf>
    <xf numFmtId="3" fontId="0" fillId="44" borderId="55" xfId="0" applyNumberFormat="1" applyFill="1" applyBorder="1" applyAlignment="1">
      <alignment horizontal="center"/>
    </xf>
    <xf numFmtId="0" fontId="56" fillId="0" borderId="49" xfId="0" applyFont="1" applyFill="1" applyBorder="1" applyAlignment="1">
      <alignment wrapText="1"/>
    </xf>
    <xf numFmtId="0" fontId="57" fillId="0" borderId="49" xfId="0" applyFont="1" applyFill="1" applyBorder="1" applyAlignment="1">
      <alignment wrapText="1"/>
    </xf>
    <xf numFmtId="3" fontId="0" fillId="45" borderId="55" xfId="0" applyNumberFormat="1" applyFill="1" applyBorder="1" applyAlignment="1">
      <alignment horizontal="center"/>
    </xf>
    <xf numFmtId="0" fontId="44" fillId="0" borderId="22" xfId="0" applyFont="1" applyBorder="1" applyAlignment="1"/>
    <xf numFmtId="0" fontId="44" fillId="0" borderId="2" xfId="0" applyFont="1" applyBorder="1" applyAlignment="1"/>
    <xf numFmtId="0" fontId="44" fillId="0" borderId="0" xfId="0" applyFont="1" applyAlignment="1"/>
    <xf numFmtId="0" fontId="44" fillId="0" borderId="16" xfId="0" applyFont="1" applyBorder="1" applyAlignment="1"/>
    <xf numFmtId="0" fontId="44" fillId="0" borderId="36" xfId="0" applyFont="1" applyBorder="1" applyAlignment="1"/>
    <xf numFmtId="0" fontId="44" fillId="0" borderId="35" xfId="0" applyFont="1" applyBorder="1" applyAlignment="1"/>
    <xf numFmtId="0" fontId="44" fillId="0" borderId="37" xfId="0" applyFont="1" applyBorder="1" applyAlignment="1"/>
    <xf numFmtId="0" fontId="44" fillId="0" borderId="23" xfId="0" applyFont="1" applyBorder="1" applyAlignment="1"/>
    <xf numFmtId="0" fontId="45" fillId="0" borderId="0" xfId="0" applyFont="1" applyAlignment="1"/>
  </cellXfs>
  <cellStyles count="109">
    <cellStyle name="20% - Accent1 2" xfId="21" xr:uid="{00000000-0005-0000-0000-000032000000}"/>
    <cellStyle name="20% - Accent1 3" xfId="55" xr:uid="{44B53236-9B65-42E1-9613-02A825565337}"/>
    <cellStyle name="20% - Accent1 4" xfId="91" xr:uid="{8DA0D6E3-C011-45C9-8BA1-4F653C6DB4BD}"/>
    <cellStyle name="20% - Accent2 2" xfId="25" xr:uid="{00000000-0005-0000-0000-000033000000}"/>
    <cellStyle name="20% - Accent2 3" xfId="60" xr:uid="{34C9759B-F163-4983-9116-CA4D2E198B52}"/>
    <cellStyle name="20% - Accent2 4" xfId="94" xr:uid="{2D2CC48B-052E-488C-BA7C-90F429EA996F}"/>
    <cellStyle name="20% - Accent3 2" xfId="29" xr:uid="{00000000-0005-0000-0000-000034000000}"/>
    <cellStyle name="20% - Accent3 3" xfId="71" xr:uid="{8C32FDA9-F863-4206-A1AE-5586B042E619}"/>
    <cellStyle name="20% - Accent3 4" xfId="97" xr:uid="{F463F57A-BF25-4B09-B7BC-CD8F918F6F74}"/>
    <cellStyle name="20% - Accent4 2" xfId="33" xr:uid="{00000000-0005-0000-0000-000035000000}"/>
    <cellStyle name="20% - Accent4 3" xfId="58" xr:uid="{0B423691-BD81-465F-A202-B733BC97C429}"/>
    <cellStyle name="20% - Accent4 4" xfId="100" xr:uid="{784B642B-34A8-4C24-ACF5-EEABE88FF952}"/>
    <cellStyle name="20% - Accent5 2" xfId="37" xr:uid="{00000000-0005-0000-0000-000036000000}"/>
    <cellStyle name="20% - Accent5 3" xfId="59" xr:uid="{57BF508F-C876-4CB2-A9FE-CE5C15E52E11}"/>
    <cellStyle name="20% - Accent5 4" xfId="103" xr:uid="{74E38E1A-4CC3-4D2E-9E3E-2E833670E9B8}"/>
    <cellStyle name="20% - Accent6 2" xfId="41" xr:uid="{00000000-0005-0000-0000-000037000000}"/>
    <cellStyle name="20% - Accent6 3" xfId="56" xr:uid="{F405BB17-86CE-49A4-BF14-AE1930C281E2}"/>
    <cellStyle name="20% - Accent6 4" xfId="106" xr:uid="{AC07AAEE-648B-4E9F-9551-35C7B3FBB6FD}"/>
    <cellStyle name="40% - Accent1 2" xfId="22" xr:uid="{00000000-0005-0000-0000-000038000000}"/>
    <cellStyle name="40% - Accent1 3" xfId="78" xr:uid="{F21600F3-4A12-47C0-B4C4-B8D2F70907A2}"/>
    <cellStyle name="40% - Accent1 4" xfId="92" xr:uid="{F7C35857-7F63-41B9-88E3-4AC044B64E92}"/>
    <cellStyle name="40% - Accent2 2" xfId="26" xr:uid="{00000000-0005-0000-0000-000039000000}"/>
    <cellStyle name="40% - Accent2 3" xfId="63" xr:uid="{FC005601-6F9C-4DED-AA21-774D922E8D7A}"/>
    <cellStyle name="40% - Accent2 4" xfId="95" xr:uid="{9D10A915-007A-4E77-BF53-CEB4B5861E73}"/>
    <cellStyle name="40% - Accent3 2" xfId="30" xr:uid="{00000000-0005-0000-0000-00003A000000}"/>
    <cellStyle name="40% - Accent3 3" xfId="64" xr:uid="{CC103C47-6DB7-4876-8260-12502E132889}"/>
    <cellStyle name="40% - Accent3 4" xfId="98" xr:uid="{890AE289-37F1-41E4-8E59-C70DEC5BAA97}"/>
    <cellStyle name="40% - Accent4 2" xfId="34" xr:uid="{00000000-0005-0000-0000-00003B000000}"/>
    <cellStyle name="40% - Accent4 3" xfId="72" xr:uid="{52ECF712-9AF6-4F21-9524-1A23BB23834B}"/>
    <cellStyle name="40% - Accent4 4" xfId="101" xr:uid="{CD5904BE-B034-44DB-875B-8B010F0501E5}"/>
    <cellStyle name="40% - Accent5 2" xfId="38" xr:uid="{00000000-0005-0000-0000-00003C000000}"/>
    <cellStyle name="40% - Accent5 3" xfId="70" xr:uid="{839A8A3C-1064-4419-836A-9E6308D7E02B}"/>
    <cellStyle name="40% - Accent5 4" xfId="104" xr:uid="{2942B31F-FD59-4E7C-80E6-219D10BC0E55}"/>
    <cellStyle name="40% - Accent6 2" xfId="42" xr:uid="{00000000-0005-0000-0000-00003D000000}"/>
    <cellStyle name="40% - Accent6 3" xfId="57" xr:uid="{A51F77AB-0197-49B1-B8A1-F6EC86790CA0}"/>
    <cellStyle name="40% - Accent6 4" xfId="107" xr:uid="{AE06AE6D-D7F6-426A-A258-F46A0C5F1783}"/>
    <cellStyle name="60% - Accent1 2" xfId="23" xr:uid="{00000000-0005-0000-0000-00003E000000}"/>
    <cellStyle name="60% - Accent1 3" xfId="80" xr:uid="{9EE2FE9A-A5D0-4BEF-9790-CDA4A96682E2}"/>
    <cellStyle name="60% - Accent1 4" xfId="93" xr:uid="{70D0CB91-70CD-4497-A7E5-8BDCF57DA917}"/>
    <cellStyle name="60% - Accent2 2" xfId="27" xr:uid="{00000000-0005-0000-0000-00003F000000}"/>
    <cellStyle name="60% - Accent2 3" xfId="65" xr:uid="{E9F26EC6-8EC7-4A99-A3D4-3F7E56723324}"/>
    <cellStyle name="60% - Accent2 4" xfId="96" xr:uid="{A9F855EC-7E0F-4BE3-BECB-6B3FA408A6CA}"/>
    <cellStyle name="60% - Accent3 2" xfId="31" xr:uid="{00000000-0005-0000-0000-000040000000}"/>
    <cellStyle name="60% - Accent3 3" xfId="69" xr:uid="{A5384D62-48F9-4F83-AB8A-D86E8A7CB8F6}"/>
    <cellStyle name="60% - Accent3 4" xfId="99" xr:uid="{3646C44A-60F3-4B91-BE3C-6358A818E156}"/>
    <cellStyle name="60% - Accent4 2" xfId="35" xr:uid="{00000000-0005-0000-0000-000041000000}"/>
    <cellStyle name="60% - Accent4 3" xfId="74" xr:uid="{9CE88378-B338-4BDA-B723-78A2365648DA}"/>
    <cellStyle name="60% - Accent4 4" xfId="102" xr:uid="{B146F30F-19DC-4331-8AD1-764143C5DCF4}"/>
    <cellStyle name="60% - Accent5 2" xfId="39" xr:uid="{00000000-0005-0000-0000-000042000000}"/>
    <cellStyle name="60% - Accent5 3" xfId="82" xr:uid="{91790329-3FF1-408C-8AA3-66F55EF675DA}"/>
    <cellStyle name="60% - Accent5 4" xfId="105" xr:uid="{9AA9E4F6-0BA7-4F4A-8773-7C966606AEEB}"/>
    <cellStyle name="60% - Accent6 2" xfId="43" xr:uid="{00000000-0005-0000-0000-000043000000}"/>
    <cellStyle name="60% - Accent6 3" xfId="77" xr:uid="{0374C826-D46F-41C0-A1E3-F6DBC197E0FB}"/>
    <cellStyle name="60% - Accent6 4" xfId="108" xr:uid="{B8E568CF-7CB2-4378-A2DB-3FD6DB6EE6CE}"/>
    <cellStyle name="Accent1 2" xfId="20" xr:uid="{00000000-0005-0000-0000-000044000000}"/>
    <cellStyle name="Accent1 3" xfId="67" xr:uid="{A98C159F-A962-453A-ACFF-F12C31BB0829}"/>
    <cellStyle name="Accent2 2" xfId="24" xr:uid="{00000000-0005-0000-0000-000045000000}"/>
    <cellStyle name="Accent2 3" xfId="68" xr:uid="{0143D457-E694-414F-AFD4-ED42049F5A05}"/>
    <cellStyle name="Accent3 2" xfId="28" xr:uid="{00000000-0005-0000-0000-000046000000}"/>
    <cellStyle name="Accent3 3" xfId="76" xr:uid="{7DDF40D5-FFF9-4C8B-BABF-80FA3A95CC1C}"/>
    <cellStyle name="Accent4 2" xfId="32" xr:uid="{00000000-0005-0000-0000-000047000000}"/>
    <cellStyle name="Accent4 3" xfId="79" xr:uid="{7A390C61-C605-48C3-A02F-1D03F1F62E60}"/>
    <cellStyle name="Accent5 2" xfId="36" xr:uid="{00000000-0005-0000-0000-000048000000}"/>
    <cellStyle name="Accent5 3" xfId="75" xr:uid="{80BEC28F-E2A4-4009-8E7A-FFBE1F378C76}"/>
    <cellStyle name="Accent6 2" xfId="40" xr:uid="{00000000-0005-0000-0000-000049000000}"/>
    <cellStyle name="Accent6 3" xfId="62" xr:uid="{CBFD6D0E-2FFC-4C78-98BE-B77C902C5BE8}"/>
    <cellStyle name="Bad 2" xfId="9" xr:uid="{00000000-0005-0000-0000-00004A000000}"/>
    <cellStyle name="Bad 3" xfId="73" xr:uid="{DF2AA60F-8040-4E33-90BC-FF95223E5858}"/>
    <cellStyle name="Calculation" xfId="50" builtinId="22" customBuiltin="1"/>
    <cellStyle name="Calculation 2" xfId="13" xr:uid="{00000000-0005-0000-0000-00004B000000}"/>
    <cellStyle name="Check Cell" xfId="52" builtinId="23" customBuiltin="1"/>
    <cellStyle name="Check Cell 2" xfId="15" xr:uid="{00000000-0005-0000-0000-00004C000000}"/>
    <cellStyle name="Comma 2" xfId="1" xr:uid="{0068AC93-A4AC-4396-81F9-A2E139EE4781}"/>
    <cellStyle name="Comma 2 2" xfId="44" xr:uid="{00000000-0005-0000-0000-00001C000000}"/>
    <cellStyle name="Comma 2 3" xfId="81" xr:uid="{09DDCD10-D947-4D20-A657-C59D886A9023}"/>
    <cellStyle name="Explanatory Text 2" xfId="18" xr:uid="{00000000-0005-0000-0000-00004E000000}"/>
    <cellStyle name="Explanatory Text 3" xfId="66" xr:uid="{361F7B92-26A6-4FAA-AF44-0033B3D92378}"/>
    <cellStyle name="Good 2" xfId="8" xr:uid="{00000000-0005-0000-0000-00004F000000}"/>
    <cellStyle name="Good 3" xfId="61" xr:uid="{429AA952-CA10-4709-A445-7B572C36377B}"/>
    <cellStyle name="Heading 1" xfId="45" builtinId="16" customBuiltin="1"/>
    <cellStyle name="Heading 1 2" xfId="4" xr:uid="{00000000-0005-0000-0000-000050000000}"/>
    <cellStyle name="Heading 2" xfId="46" builtinId="17" customBuiltin="1"/>
    <cellStyle name="Heading 2 2" xfId="5" xr:uid="{00000000-0005-0000-0000-000051000000}"/>
    <cellStyle name="Heading 3" xfId="47" builtinId="18" customBuiltin="1"/>
    <cellStyle name="Heading 3 2" xfId="6" xr:uid="{00000000-0005-0000-0000-000052000000}"/>
    <cellStyle name="Heading 4 2" xfId="7" xr:uid="{00000000-0005-0000-0000-000053000000}"/>
    <cellStyle name="Heading 4 3" xfId="83" xr:uid="{1E3F3D88-53E9-4BEC-8EC4-F5282D146676}"/>
    <cellStyle name="Input" xfId="48" builtinId="20" customBuiltin="1"/>
    <cellStyle name="Input 2" xfId="11" xr:uid="{00000000-0005-0000-0000-000054000000}"/>
    <cellStyle name="Linked Cell" xfId="51" builtinId="24" customBuiltin="1"/>
    <cellStyle name="Linked Cell 2" xfId="14" xr:uid="{00000000-0005-0000-0000-000055000000}"/>
    <cellStyle name="Neutral 2" xfId="10" xr:uid="{00000000-0005-0000-0000-000056000000}"/>
    <cellStyle name="Neutral 3" xfId="84" xr:uid="{8E06321E-F655-4E99-9B47-1804B5E4C3BD}"/>
    <cellStyle name="Neutral 4" xfId="89" xr:uid="{1DBB9362-27C3-4977-880F-2C4339581BB6}"/>
    <cellStyle name="Normal" xfId="0" builtinId="0"/>
    <cellStyle name="Normal 2" xfId="2" xr:uid="{00000000-0005-0000-0000-000057000000}"/>
    <cellStyle name="Normal 3" xfId="54" xr:uid="{96A5FDAC-EDB3-4F71-B75B-B6AD5C8729AE}"/>
    <cellStyle name="Normal 4" xfId="88" xr:uid="{F902C09D-5A58-46AA-891F-602E440D3574}"/>
    <cellStyle name="Note 2" xfId="17" xr:uid="{00000000-0005-0000-0000-000058000000}"/>
    <cellStyle name="Note 3" xfId="85" xr:uid="{211B894F-19EB-4E05-9D25-614E4AD2E9ED}"/>
    <cellStyle name="Note 4" xfId="90" xr:uid="{4466C61E-BBDD-41BA-AE81-D76DAA5EE0EB}"/>
    <cellStyle name="Output" xfId="49" builtinId="21" customBuiltin="1"/>
    <cellStyle name="Output 2" xfId="12" xr:uid="{00000000-0005-0000-0000-000059000000}"/>
    <cellStyle name="Title 2" xfId="3" xr:uid="{00000000-0005-0000-0000-00005A000000}"/>
    <cellStyle name="Title 3" xfId="86" xr:uid="{F72A4C8B-0286-44C6-9F04-5B3BEB6EE98E}"/>
    <cellStyle name="Total" xfId="53" builtinId="25" customBuiltin="1"/>
    <cellStyle name="Total 2" xfId="19" xr:uid="{00000000-0005-0000-0000-00005B000000}"/>
    <cellStyle name="Warning Text 2" xfId="16" xr:uid="{00000000-0005-0000-0000-00005C000000}"/>
    <cellStyle name="Warning Text 3" xfId="87" xr:uid="{35AA0D3E-A3B8-4F77-8593-7A918C450FE4}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rgb="FFDEEAF6"/>
          <bgColor rgb="FFDEEAF6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rgb="FFDEEAF6"/>
          <bgColor rgb="FFDEEAF6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top/>
        <bottom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3" formatCode="#,##0"/>
      <fill>
        <patternFill patternType="solid">
          <fgColor rgb="FFDEEAF6"/>
          <bgColor rgb="FFDEEAF6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top/>
        <bottom/>
        <horizont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B9BD5"/>
          <bgColor rgb="FF5B9BD5"/>
        </patternFill>
      </fill>
    </dxf>
  </dxfs>
  <tableStyles count="1">
    <tableStyle name="Bendra įskaita-style" pivot="0" count="3" xr9:uid="{00000000-0011-0000-FFFF-FFFF00000000}">
      <tableStyleElement type="headerRow" dxfId="52"/>
      <tableStyleElement type="firstRowStripe" dxfId="51"/>
      <tableStyleElement type="secondRowStripe" dxfId="5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3:U101">
  <sortState xmlns:xlrd2="http://schemas.microsoft.com/office/spreadsheetml/2017/richdata2" ref="C4:U39">
    <sortCondition descending="1" ref="Q4:Q39"/>
    <sortCondition descending="1" ref="P4:P39"/>
    <sortCondition descending="1" ref="O4:O39"/>
  </sortState>
  <tableColumns count="19">
    <tableColumn id="4" xr3:uid="{00000000-0010-0000-0000-000004000000}" name="Dalyvis" dataDxfId="49"/>
    <tableColumn id="13" xr3:uid="{7912A769-4F67-CF47-B27E-03991BAD9C82}" name="2024 05 17  PANEVĖŽYS" dataDxfId="48">
      <calculatedColumnFormula array="1">IFERROR(INDEX(Panevezys!P:P,MATCH(C4,Panevezys!E:E,0),0),"")</calculatedColumnFormula>
    </tableColumn>
    <tableColumn id="5" xr3:uid="{00000000-0010-0000-0000-000005000000}" name="2025 06 01 KAIŠIADORYS" dataDxfId="47">
      <calculatedColumnFormula array="1">IFERROR(INDEX(Kaisiadorys!Q:Q,MATCH(C4,Kaisiadorys!E:E,0),0),"")</calculatedColumnFormula>
    </tableColumn>
    <tableColumn id="6" xr3:uid="{00000000-0010-0000-0000-000006000000}" name="2026 06 14 VEISIEJAI"/>
    <tableColumn id="7" xr3:uid="{00000000-0010-0000-0000-000007000000}" name="2026 06 20 GDANSKAS" dataDxfId="46">
      <calculatedColumnFormula array="1">IFERROR(INDEX(Gdanskas!P:P,MATCH(C4,Gdanskas!C:C,0),0),"")</calculatedColumnFormula>
    </tableColumn>
    <tableColumn id="8" xr3:uid="{00000000-0010-0000-0000-000008000000}" name="2026 06 28 TRAKAI">
      <calculatedColumnFormula array="1">IFERROR(INDEX(Trakai!R:R,MATCH(C4,Trakai!E:E,0),0),"")</calculatedColumnFormula>
    </tableColumn>
    <tableColumn id="9" xr3:uid="{00000000-0010-0000-0000-000009000000}" name="2026 07 19 JONAVA" dataDxfId="45">
      <calculatedColumnFormula array="1">IFERROR(INDEX(Jonava!Q:Q,MATCH(C4,Jonava!E:E,0),0),"")</calculatedColumnFormula>
    </tableColumn>
    <tableColumn id="10" xr3:uid="{00000000-0010-0000-0000-00000A000000}" name="2027 08 01 PANEVĖŽYS">
      <calculatedColumnFormula array="1">IFERROR(INDEX(Panevezys2!R:R,MATCH(C4,Panevezys2!E:E,0),0),"")</calculatedColumnFormula>
    </tableColumn>
    <tableColumn id="11" xr3:uid="{00000000-0010-0000-0000-00000B000000}" name="2026 08 16 SKAUDVILĖ" dataDxfId="44"/>
    <tableColumn id="19" xr3:uid="{00000000-0010-0000-0000-000013000000}" name="2026 08 23 MOLĖTAI"/>
    <tableColumn id="20" xr3:uid="{00000000-0010-0000-0000-000014000000}" name="2026 09 05 DRUSKININKAI" dataDxfId="43"/>
    <tableColumn id="21" xr3:uid="{00000000-0010-0000-0000-000015000000}" name="Varžybų skaičius"/>
    <tableColumn id="22" xr3:uid="{00000000-0010-0000-0000-000016000000}" name="Visų taškų suma" dataDxfId="42"/>
    <tableColumn id="2" xr3:uid="{31DB971D-4C32-4DC3-8691-35E9B0C6552E}" name="Taškų vidurkis" dataDxfId="41">
      <calculatedColumnFormula>O4/N4</calculatedColumnFormula>
    </tableColumn>
    <tableColumn id="3" xr3:uid="{8B1DA7E2-9922-4DC7-9F98-EFD889ADDEB9}" name="3 geriausių rezultatų suma" dataDxfId="40">
      <calculatedColumnFormula array="1">IFERROR(SUMPRODUCT(LARGE(D4:M4,{1;2;3})),"0")</calculatedColumnFormula>
    </tableColumn>
    <tableColumn id="12" xr3:uid="{15168B09-23B3-496D-87DF-4937EB710E1C}" name="2025 Vieta" dataDxfId="39">
      <calculatedColumnFormula>IFERROR(INDEX('Bendra įskaita (2025)'!A:A,MATCH(C4,'Bendra įskaita (2025)'!B:B,0),0),"")</calculatedColumnFormula>
    </tableColumn>
    <tableColumn id="14" xr3:uid="{7182618E-052D-4FBF-9891-1A9223DD38B1}" name="2025 Varžybų" dataDxfId="38">
      <calculatedColumnFormula>IFERROR(INDEX('Bendra įskaita (2025)'!K:K,MATCH(C4,'Bendra įskaita (2025)'!B:B,0),0),"")</calculatedColumnFormula>
    </tableColumn>
    <tableColumn id="15" xr3:uid="{EB06BAAB-94AB-47C2-8CD8-0F4B2AB9A71B}" name="2024 Vieta">
      <calculatedColumnFormula>IFERROR(INDEX('Bendra įskaita (2024)'!A:A,MATCH(C4,'Bendra įskaita (2024)'!B:B,0),0),"")</calculatedColumnFormula>
    </tableColumn>
    <tableColumn id="16" xr3:uid="{7DDA2AD3-F11D-4A44-850E-40E254529092}" name="2024 Varžybų" dataDxfId="37">
      <calculatedColumnFormula>IFERROR(INDEX('Bendra įskaita (2024)'!L:L,MATCH(C4,'Bendra įskaita (2024)'!B:B,0),0),"")</calculatedColumnFormula>
    </tableColumn>
  </tableColumns>
  <tableStyleInfo name="Bendra įskait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"/>
  <sheetViews>
    <sheetView tabSelected="1" topLeftCell="A13" zoomScaleNormal="100" zoomScaleSheetLayoutView="100" workbookViewId="0">
      <selection activeCell="J8" sqref="J8"/>
    </sheetView>
  </sheetViews>
  <sheetFormatPr defaultColWidth="14.42578125" defaultRowHeight="15" customHeight="1"/>
  <cols>
    <col min="1" max="1" width="5" customWidth="1"/>
    <col min="2" max="2" width="6.28515625" customWidth="1"/>
    <col min="3" max="3" width="39.5703125" customWidth="1"/>
    <col min="4" max="4" width="10.7109375" customWidth="1"/>
    <col min="5" max="5" width="12.28515625" customWidth="1"/>
    <col min="6" max="6" width="10.28515625" customWidth="1"/>
    <col min="7" max="10" width="10.7109375" customWidth="1"/>
    <col min="11" max="11" width="12.28515625" customWidth="1"/>
    <col min="12" max="13" width="12.140625" customWidth="1"/>
    <col min="14" max="17" width="10.7109375" customWidth="1"/>
    <col min="18" max="18" width="5.5703125" customWidth="1"/>
    <col min="19" max="19" width="7.42578125" customWidth="1"/>
    <col min="20" max="20" width="5.42578125" customWidth="1"/>
    <col min="21" max="21" width="7.42578125" customWidth="1"/>
  </cols>
  <sheetData>
    <row r="1" spans="1:21" ht="15.6">
      <c r="C1" s="1" t="s">
        <v>0</v>
      </c>
      <c r="N1" s="2"/>
      <c r="O1" s="2"/>
      <c r="P1" s="2"/>
      <c r="Q1" s="2"/>
    </row>
    <row r="2" spans="1:21" thickBot="1">
      <c r="N2" s="2"/>
      <c r="O2" s="2"/>
      <c r="P2" s="2"/>
      <c r="Q2" s="2"/>
    </row>
    <row r="3" spans="1:21" ht="75" customHeight="1" thickBot="1">
      <c r="A3" s="105" t="s">
        <v>1</v>
      </c>
      <c r="B3" s="160" t="s">
        <v>2</v>
      </c>
      <c r="C3" s="104" t="s">
        <v>3</v>
      </c>
      <c r="D3" s="124" t="s">
        <v>4</v>
      </c>
      <c r="E3" s="125" t="s">
        <v>5</v>
      </c>
      <c r="F3" s="112" t="s">
        <v>6</v>
      </c>
      <c r="G3" s="13" t="s">
        <v>7</v>
      </c>
      <c r="H3" s="13" t="s">
        <v>8</v>
      </c>
      <c r="I3" s="13" t="s">
        <v>9</v>
      </c>
      <c r="J3" s="13" t="s">
        <v>10</v>
      </c>
      <c r="K3" s="13" t="s">
        <v>11</v>
      </c>
      <c r="L3" s="16" t="s">
        <v>12</v>
      </c>
      <c r="M3" s="16" t="s">
        <v>13</v>
      </c>
      <c r="N3" s="17" t="s">
        <v>14</v>
      </c>
      <c r="O3" s="18" t="s">
        <v>15</v>
      </c>
      <c r="P3" s="18" t="s">
        <v>16</v>
      </c>
      <c r="Q3" s="165" t="s">
        <v>17</v>
      </c>
      <c r="R3" s="84" t="s">
        <v>18</v>
      </c>
      <c r="S3" s="84" t="s">
        <v>19</v>
      </c>
      <c r="T3" s="84" t="s">
        <v>20</v>
      </c>
      <c r="U3" s="84" t="s">
        <v>21</v>
      </c>
    </row>
    <row r="4" spans="1:21" thickBot="1">
      <c r="A4" s="106">
        <v>1</v>
      </c>
      <c r="B4" s="164">
        <f>Table_1[[#This Row],[2025 Vieta]]-A4</f>
        <v>0</v>
      </c>
      <c r="C4" s="113" t="s">
        <v>22</v>
      </c>
      <c r="D4" s="126" cm="1">
        <f t="array" ref="D4">IFERROR(INDEX(Panevezys!P:P,MATCH(C4,Panevezys!E:E,0),0),"")</f>
        <v>900</v>
      </c>
      <c r="E4" s="89" t="str" cm="1">
        <f t="array" ref="E4">IFERROR(INDEX(Kaisiadorys!Q:Q,MATCH(C4,Kaisiadorys!E:E,0),0),"")</f>
        <v/>
      </c>
      <c r="F4" s="92" cm="1">
        <f t="array" ref="F4">IFERROR(INDEX(Veisiejai!Q:Q,MATCH(C4,Veisiejai!E:E,0),0),"")</f>
        <v>969</v>
      </c>
      <c r="G4" s="89" t="str" cm="1">
        <f t="array" ref="G4">IFERROR(INDEX(Gdanskas!P:P,MATCH(C4,Gdanskas!C:C,0),0),"")</f>
        <v/>
      </c>
      <c r="H4" s="95" cm="1">
        <f t="array" ref="H4">IFERROR(INDEX(Trakai!R:R,MATCH(C4,Trakai!E:E,0),0),"")</f>
        <v>1000</v>
      </c>
      <c r="I4" s="89" cm="1">
        <f t="array" ref="I4">IFERROR(INDEX(Jonava!Q:Q,MATCH(C4,Jonava!E:E,0),0),"")</f>
        <v>1000</v>
      </c>
      <c r="J4" s="95" cm="1">
        <f t="array" ref="J4">IFERROR(INDEX(Panevezys2!R:R,MATCH(C4,Panevezys2!E:E,0),0),"")</f>
        <v>1100</v>
      </c>
      <c r="K4" s="89">
        <f>IFERROR(INDEX(Skaudvile!Q:Q,MATCH(C4,Skaudvile!E:E,0),0),"")</f>
        <v>1000</v>
      </c>
      <c r="L4" s="95">
        <f>IFERROR(INDEX(Moletai!Q:Q,MATCH(C4,Moletai!E:E,0),0),"")</f>
        <v>1000</v>
      </c>
      <c r="M4" s="89"/>
      <c r="N4" s="95">
        <f t="shared" ref="N4:N39" si="0">COUNTIF(D4:M4,"&gt;0")</f>
        <v>7</v>
      </c>
      <c r="O4" s="107">
        <f t="shared" ref="O4:O38" si="1">SUM(D4:M4)</f>
        <v>6969</v>
      </c>
      <c r="P4" s="111">
        <f t="shared" ref="P4:P38" si="2">O4/N4</f>
        <v>995.57142857142856</v>
      </c>
      <c r="Q4" s="166" cm="1">
        <f t="array" ref="Q4">IFERROR(SUMPRODUCT(LARGE(D4:M4,{1;2;3})),"0")</f>
        <v>3100</v>
      </c>
      <c r="R4" s="143">
        <f>IFERROR(INDEX('Bendra įskaita (2025)'!A:A,MATCH(C4,'Bendra įskaita (2025)'!B:B,0),0),"")</f>
        <v>1</v>
      </c>
      <c r="S4" s="144">
        <f>IFERROR(INDEX('Bendra įskaita (2025)'!K:K,MATCH(C4,'Bendra įskaita (2025)'!B:B,0),0),"")</f>
        <v>5</v>
      </c>
      <c r="T4" s="145">
        <f>IFERROR(INDEX('Bendra įskaita (2024)'!A:A,MATCH(C4,'Bendra įskaita (2024)'!B:B,0),0),"")</f>
        <v>1</v>
      </c>
      <c r="U4" s="146">
        <f>IFERROR(INDEX('Bendra įskaita (2024)'!L:L,MATCH(C4,'Bendra įskaita (2024)'!B:B,0),0),"")</f>
        <v>8</v>
      </c>
    </row>
    <row r="5" spans="1:21" thickBot="1">
      <c r="A5" s="106">
        <v>2</v>
      </c>
      <c r="B5" s="163" t="s">
        <v>23</v>
      </c>
      <c r="C5" s="114" t="s">
        <v>24</v>
      </c>
      <c r="D5" s="127" t="str" cm="1">
        <f t="array" ref="D5">IFERROR(INDEX(Panevezys!P:P,MATCH(C5,Panevezys!E:E,0),0),"")</f>
        <v/>
      </c>
      <c r="E5" s="90" cm="1">
        <f t="array" ref="E5">IFERROR(INDEX(Kaisiadorys!Q:Q,MATCH(C5,Kaisiadorys!E:E,0),0),"")</f>
        <v>963</v>
      </c>
      <c r="F5" s="93" t="str" cm="1">
        <f t="array" ref="F5">IFERROR(INDEX(Veisiejai!Q:Q,MATCH(C5,Veisiejai!E:E,0),0),"")</f>
        <v/>
      </c>
      <c r="G5" s="90" t="str" cm="1">
        <f t="array" ref="G5">IFERROR(INDEX(Gdanskas!P:P,MATCH(C5,Gdanskas!C:C,0),0),"")</f>
        <v/>
      </c>
      <c r="H5" s="22" cm="1">
        <f t="array" ref="H5">IFERROR(INDEX(Trakai!R:R,MATCH(C5,Trakai!E:E,0),0),"")</f>
        <v>956</v>
      </c>
      <c r="I5" s="90" cm="1">
        <f t="array" ref="I5">IFERROR(INDEX(Jonava!Q:Q,MATCH(C5,Jonava!E:E,0),0),"")</f>
        <v>935</v>
      </c>
      <c r="J5" s="22" cm="1">
        <f t="array" ref="J5">IFERROR(INDEX(Panevezys2!R:R,MATCH(C5,Panevezys2!E:E,0),0),"")</f>
        <v>1072</v>
      </c>
      <c r="K5" s="90" t="str">
        <f>IFERROR(INDEX(Skaudvile!Q:Q,MATCH(C5,Skaudvile!E:E,0),0),"")</f>
        <v/>
      </c>
      <c r="L5" s="22" t="str">
        <f>IFERROR(INDEX(Moletai!Q:Q,MATCH(C5,Moletai!E:E,0),0),"")</f>
        <v/>
      </c>
      <c r="M5" s="90"/>
      <c r="N5" s="22">
        <f t="shared" si="0"/>
        <v>4</v>
      </c>
      <c r="O5" s="108">
        <f t="shared" si="1"/>
        <v>3926</v>
      </c>
      <c r="P5" s="23">
        <f t="shared" si="2"/>
        <v>981.5</v>
      </c>
      <c r="Q5" s="167" cm="1">
        <f t="array" ref="Q5">IFERROR(SUMPRODUCT(LARGE(D5:M5,{1;2;3})),"0")</f>
        <v>2991</v>
      </c>
      <c r="R5" s="127" t="str">
        <f>IFERROR(INDEX('Bendra įskaita (2025)'!A:A,MATCH(C5,'Bendra įskaita (2025)'!B:B,0),0),"")</f>
        <v/>
      </c>
      <c r="S5" s="90" t="str">
        <f>IFERROR(INDEX('Bendra įskaita (2025)'!K:K,MATCH(C5,'Bendra įskaita (2025)'!B:B,0),0),"")</f>
        <v/>
      </c>
      <c r="T5" s="147" t="str">
        <f>IFERROR(INDEX('Bendra įskaita (2024)'!A:A,MATCH(C5,'Bendra įskaita (2024)'!B:B,0),0),"")</f>
        <v/>
      </c>
      <c r="U5" s="148" t="str">
        <f>IFERROR(INDEX('Bendra įskaita (2024)'!L:L,MATCH(C5,'Bendra įskaita (2024)'!B:B,0),0),"")</f>
        <v/>
      </c>
    </row>
    <row r="6" spans="1:21" thickBot="1">
      <c r="A6" s="106">
        <v>3</v>
      </c>
      <c r="B6" s="164">
        <f>Table_1[[#This Row],[2025 Vieta]]-A6</f>
        <v>0</v>
      </c>
      <c r="C6" s="114" t="s">
        <v>25</v>
      </c>
      <c r="D6" s="127" t="str" cm="1">
        <f t="array" ref="D6">IFERROR(INDEX(Panevezys!P:P,MATCH(C6,Panevezys!E:E,0),0),"")</f>
        <v/>
      </c>
      <c r="E6" s="90" cm="1">
        <f t="array" ref="E6">IFERROR(INDEX(Kaisiadorys!Q:Q,MATCH(C6,Kaisiadorys!E:E,0),0),"")</f>
        <v>931</v>
      </c>
      <c r="F6" s="93" t="str" cm="1">
        <f t="array" ref="F6">IFERROR(INDEX(Veisiejai!Q:Q,MATCH(C6,Veisiejai!E:E,0),0),"")</f>
        <v/>
      </c>
      <c r="G6" s="90" cm="1">
        <f t="array" ref="G6">IFERROR(INDEX(Gdanskas!P:P,MATCH(C6,Gdanskas!C:C,0),0),"")</f>
        <v>999</v>
      </c>
      <c r="H6" s="22" cm="1">
        <f t="array" ref="H6">IFERROR(INDEX(Trakai!R:R,MATCH(C6,Trakai!E:E,0),0),"")</f>
        <v>948</v>
      </c>
      <c r="I6" s="90" cm="1">
        <f t="array" ref="I6">IFERROR(INDEX(Jonava!Q:Q,MATCH(C6,Jonava!E:E,0),0),"")</f>
        <v>927</v>
      </c>
      <c r="J6" s="22" cm="1">
        <f t="array" ref="J6">IFERROR(INDEX(Panevezys2!R:R,MATCH(C6,Panevezys2!E:E,0),0),"")</f>
        <v>1033</v>
      </c>
      <c r="K6" s="90" t="str">
        <f>IFERROR(INDEX(Skaudvile!Q:Q,MATCH(C6,Skaudvile!E:E,0),0),"")</f>
        <v/>
      </c>
      <c r="L6" s="22" t="str">
        <f>IFERROR(INDEX(Moletai!Q:Q,MATCH(C6,Moletai!E:E,0),0),"")</f>
        <v/>
      </c>
      <c r="M6" s="90"/>
      <c r="N6" s="22">
        <f t="shared" si="0"/>
        <v>5</v>
      </c>
      <c r="O6" s="108">
        <f t="shared" si="1"/>
        <v>4838</v>
      </c>
      <c r="P6" s="23">
        <f t="shared" si="2"/>
        <v>967.6</v>
      </c>
      <c r="Q6" s="167" cm="1">
        <f t="array" ref="Q6">IFERROR(SUMPRODUCT(LARGE(D6:M6,{1;2;3})),"0")</f>
        <v>2980</v>
      </c>
      <c r="R6" s="127">
        <f>IFERROR(INDEX('Bendra įskaita (2025)'!A:A,MATCH(C6,'Bendra įskaita (2025)'!B:B,0),0),"")</f>
        <v>3</v>
      </c>
      <c r="S6" s="90">
        <f>IFERROR(INDEX('Bendra įskaita (2025)'!K:K,MATCH(C6,'Bendra įskaita (2025)'!B:B,0),0),"")</f>
        <v>3</v>
      </c>
      <c r="T6" s="147">
        <f>IFERROR(INDEX('Bendra įskaita (2024)'!A:A,MATCH(C6,'Bendra įskaita (2024)'!B:B,0),0),"")</f>
        <v>2</v>
      </c>
      <c r="U6" s="148">
        <f>IFERROR(INDEX('Bendra įskaita (2024)'!L:L,MATCH(C6,'Bendra įskaita (2024)'!B:B,0),0),"")</f>
        <v>8</v>
      </c>
    </row>
    <row r="7" spans="1:21" thickBot="1">
      <c r="A7" s="106">
        <v>4</v>
      </c>
      <c r="B7" s="162">
        <f>Table_1[[#This Row],[2025 Vieta]]-A7</f>
        <v>6</v>
      </c>
      <c r="C7" s="114" t="s">
        <v>26</v>
      </c>
      <c r="D7" s="127" cm="1">
        <f t="array" ref="D7">IFERROR(INDEX(Panevezys!P:P,MATCH(C7,Panevezys!E:E,0),0),"")</f>
        <v>793</v>
      </c>
      <c r="E7" s="90" t="str" cm="1">
        <f t="array" ref="E7">IFERROR(INDEX(Kaisiadorys!Q:Q,MATCH(C7,Kaisiadorys!E:E,0),0),"")</f>
        <v/>
      </c>
      <c r="F7" s="93" t="str" cm="1">
        <f t="array" ref="F7">IFERROR(INDEX(Veisiejai!Q:Q,MATCH(C7,Veisiejai!E:E,0),0),"")</f>
        <v/>
      </c>
      <c r="G7" s="90" cm="1">
        <f t="array" ref="G7">IFERROR(INDEX(Gdanskas!P:P,MATCH(C7,Gdanskas!C:C,0),0),"")</f>
        <v>950</v>
      </c>
      <c r="H7" s="22" cm="1">
        <f t="array" ref="H7">IFERROR(INDEX(Trakai!R:R,MATCH(C7,Trakai!E:E,0),0),"")</f>
        <v>901</v>
      </c>
      <c r="I7" s="90" t="str" cm="1">
        <f t="array" ref="I7">IFERROR(INDEX(Jonava!Q:Q,MATCH(C7,Jonava!E:E,0),0),"")</f>
        <v/>
      </c>
      <c r="J7" s="22" cm="1">
        <f t="array" ref="J7">IFERROR(INDEX(Panevezys2!R:R,MATCH(C7,Panevezys2!E:E,0),0),"")</f>
        <v>973</v>
      </c>
      <c r="K7" s="90" t="str">
        <f>IFERROR(INDEX(Skaudvile!Q:Q,MATCH(C7,Skaudvile!E:E,0),0),"")</f>
        <v/>
      </c>
      <c r="L7" s="22">
        <f>IFERROR(INDEX(Moletai!Q:Q,MATCH(C7,Moletai!E:E,0),0),"")</f>
        <v>878</v>
      </c>
      <c r="M7" s="90"/>
      <c r="N7" s="22">
        <f t="shared" si="0"/>
        <v>5</v>
      </c>
      <c r="O7" s="108">
        <f t="shared" si="1"/>
        <v>4495</v>
      </c>
      <c r="P7" s="23">
        <f t="shared" si="2"/>
        <v>899</v>
      </c>
      <c r="Q7" s="167" cm="1">
        <f t="array" ref="Q7">IFERROR(SUMPRODUCT(LARGE(D7:M7,{1;2;3})),"0")</f>
        <v>2824</v>
      </c>
      <c r="R7" s="127">
        <f>IFERROR(INDEX('Bendra įskaita (2025)'!A:A,MATCH(C7,'Bendra įskaita (2025)'!B:B,0),0),"")</f>
        <v>10</v>
      </c>
      <c r="S7" s="90">
        <f>IFERROR(INDEX('Bendra įskaita (2025)'!K:K,MATCH(C7,'Bendra įskaita (2025)'!B:B,0),0),"")</f>
        <v>3</v>
      </c>
      <c r="T7" s="147">
        <f>IFERROR(INDEX('Bendra įskaita (2024)'!A:A,MATCH(C7,'Bendra įskaita (2024)'!B:B,0),0),"")</f>
        <v>8</v>
      </c>
      <c r="U7" s="148">
        <f>IFERROR(INDEX('Bendra įskaita (2024)'!L:L,MATCH(C7,'Bendra įskaita (2024)'!B:B,0),0),"")</f>
        <v>3</v>
      </c>
    </row>
    <row r="8" spans="1:21" thickBot="1">
      <c r="A8" s="106">
        <v>5</v>
      </c>
      <c r="B8" s="162">
        <f>Table_1[[#This Row],[2025 Vieta]]-A8</f>
        <v>18</v>
      </c>
      <c r="C8" s="114" t="s">
        <v>27</v>
      </c>
      <c r="D8" s="127" t="str" cm="1">
        <f t="array" ref="D8">IFERROR(INDEX(Panevezys!P:P,MATCH(C8,Panevezys!E:E,0),0),"")</f>
        <v/>
      </c>
      <c r="E8" s="90" cm="1">
        <f t="array" ref="E8">IFERROR(INDEX(Kaisiadorys!Q:Q,MATCH(C8,Kaisiadorys!E:E,0),0),"")</f>
        <v>873</v>
      </c>
      <c r="F8" s="93" t="str" cm="1">
        <f t="array" ref="F8">IFERROR(INDEX(Veisiejai!Q:Q,MATCH(C8,Veisiejai!E:E,0),0),"")</f>
        <v/>
      </c>
      <c r="G8" s="90" cm="1">
        <f t="array" ref="G8">IFERROR(INDEX(Gdanskas!P:P,MATCH(C8,Gdanskas!C:C,0),0),"")</f>
        <v>920</v>
      </c>
      <c r="H8" s="22" cm="1">
        <f t="array" ref="H8">IFERROR(INDEX(Trakai!R:R,MATCH(C8,Trakai!E:E,0),0),"")</f>
        <v>833</v>
      </c>
      <c r="I8" s="90" cm="1">
        <f t="array" ref="I8">IFERROR(INDEX(Jonava!Q:Q,MATCH(C8,Jonava!E:E,0),0),"")</f>
        <v>868</v>
      </c>
      <c r="J8" s="22" cm="1">
        <f t="array" ref="J8">IFERROR(INDEX(Panevezys2!R:R,MATCH(C8,Panevezys2!E:E,0),0),"")</f>
        <v>906</v>
      </c>
      <c r="K8" s="90" t="str">
        <f>IFERROR(INDEX(Skaudvile!Q:Q,MATCH(C8,Skaudvile!E:E,0),0),"")</f>
        <v/>
      </c>
      <c r="L8" s="22">
        <f>IFERROR(INDEX(Moletai!Q:Q,MATCH(C8,Moletai!E:E,0),0),"")</f>
        <v>857</v>
      </c>
      <c r="M8" s="90"/>
      <c r="N8" s="22">
        <f t="shared" si="0"/>
        <v>6</v>
      </c>
      <c r="O8" s="108">
        <f t="shared" si="1"/>
        <v>5257</v>
      </c>
      <c r="P8" s="23">
        <f t="shared" si="2"/>
        <v>876.16666666666663</v>
      </c>
      <c r="Q8" s="167" cm="1">
        <f t="array" ref="Q8">IFERROR(SUMPRODUCT(LARGE(D8:M8,{1;2;3})),"0")</f>
        <v>2699</v>
      </c>
      <c r="R8" s="127">
        <f>IFERROR(INDEX('Bendra įskaita (2025)'!A:A,MATCH(C8,'Bendra įskaita (2025)'!B:B,0),0),"")</f>
        <v>23</v>
      </c>
      <c r="S8" s="90">
        <f>IFERROR(INDEX('Bendra įskaita (2025)'!K:K,MATCH(C8,'Bendra įskaita (2025)'!B:B,0),0),"")</f>
        <v>2</v>
      </c>
      <c r="T8" s="147">
        <f>IFERROR(INDEX('Bendra įskaita (2024)'!A:A,MATCH(C8,'Bendra įskaita (2024)'!B:B,0),0),"")</f>
        <v>7</v>
      </c>
      <c r="U8" s="148">
        <f>IFERROR(INDEX('Bendra įskaita (2024)'!L:L,MATCH(C8,'Bendra įskaita (2024)'!B:B,0),0),"")</f>
        <v>4</v>
      </c>
    </row>
    <row r="9" spans="1:21" thickBot="1">
      <c r="A9" s="106">
        <v>6</v>
      </c>
      <c r="B9" s="162">
        <f>Table_1[[#This Row],[2025 Vieta]]-A9</f>
        <v>5</v>
      </c>
      <c r="C9" s="114" t="s">
        <v>28</v>
      </c>
      <c r="D9" s="127" cm="1">
        <f t="array" ref="D9">IFERROR(INDEX(Panevezys!P:P,MATCH(C9,Panevezys!E:E,0),0),"")</f>
        <v>756</v>
      </c>
      <c r="E9" s="90" cm="1">
        <f t="array" ref="E9">IFERROR(INDEX(Kaisiadorys!Q:Q,MATCH(C9,Kaisiadorys!E:E,0),0),"")</f>
        <v>801</v>
      </c>
      <c r="F9" s="93" t="str" cm="1">
        <f t="array" ref="F9">IFERROR(INDEX(Veisiejai!Q:Q,MATCH(C9,Veisiejai!E:E,0),0),"")</f>
        <v/>
      </c>
      <c r="G9" s="90" cm="1">
        <f t="array" ref="G9">IFERROR(INDEX(Gdanskas!P:P,MATCH(C9,Gdanskas!C:C,0),0),"")</f>
        <v>873</v>
      </c>
      <c r="H9" s="22" t="str" cm="1">
        <f t="array" ref="H9">IFERROR(INDEX(Trakai!R:R,MATCH(C9,Trakai!E:E,0),0),"")</f>
        <v/>
      </c>
      <c r="I9" s="90" cm="1">
        <f t="array" ref="I9">IFERROR(INDEX(Jonava!Q:Q,MATCH(C9,Jonava!E:E,0),0),"")</f>
        <v>809</v>
      </c>
      <c r="J9" s="22" cm="1">
        <f t="array" ref="J9">IFERROR(INDEX(Panevezys2!R:R,MATCH(C9,Panevezys2!E:E,0),0),"")</f>
        <v>927</v>
      </c>
      <c r="K9" s="90">
        <f>IFERROR(INDEX(Skaudvile!Q:Q,MATCH(C9,Skaudvile!E:E,0),0),"")</f>
        <v>840</v>
      </c>
      <c r="L9" s="22">
        <f>IFERROR(INDEX(Moletai!Q:Q,MATCH(C9,Moletai!E:E,0),0),"")</f>
        <v>844</v>
      </c>
      <c r="M9" s="90"/>
      <c r="N9" s="22">
        <f t="shared" si="0"/>
        <v>7</v>
      </c>
      <c r="O9" s="108">
        <f t="shared" si="1"/>
        <v>5850</v>
      </c>
      <c r="P9" s="23">
        <f t="shared" si="2"/>
        <v>835.71428571428567</v>
      </c>
      <c r="Q9" s="167" cm="1">
        <f t="array" ref="Q9">IFERROR(SUMPRODUCT(LARGE(D9:M9,{1;2;3})),"0")</f>
        <v>2644</v>
      </c>
      <c r="R9" s="127">
        <f>IFERROR(INDEX('Bendra įskaita (2025)'!A:A,MATCH(C9,'Bendra įskaita (2025)'!B:B,0),0),"")</f>
        <v>11</v>
      </c>
      <c r="S9" s="90">
        <f>IFERROR(INDEX('Bendra įskaita (2025)'!K:K,MATCH(C9,'Bendra įskaita (2025)'!B:B,0),0),"")</f>
        <v>4</v>
      </c>
      <c r="T9" s="147">
        <f>IFERROR(INDEX('Bendra įskaita (2024)'!A:A,MATCH(C9,'Bendra įskaita (2024)'!B:B,0),0),"")</f>
        <v>17</v>
      </c>
      <c r="U9" s="148">
        <f>IFERROR(INDEX('Bendra įskaita (2024)'!L:L,MATCH(C9,'Bendra įskaita (2024)'!B:B,0),0),"")</f>
        <v>4</v>
      </c>
    </row>
    <row r="10" spans="1:21" thickBot="1">
      <c r="A10" s="106">
        <v>7</v>
      </c>
      <c r="B10" s="162">
        <f>Table_1[[#This Row],[2025 Vieta]]-A10</f>
        <v>5</v>
      </c>
      <c r="C10" s="114" t="s">
        <v>29</v>
      </c>
      <c r="D10" s="127" t="str" cm="1">
        <f t="array" ref="D10">IFERROR(INDEX(Panevezys!P:P,MATCH(C10,Panevezys!E:E,0),0),"")</f>
        <v/>
      </c>
      <c r="E10" s="90" cm="1">
        <f t="array" ref="E10">IFERROR(INDEX(Kaisiadorys!Q:Q,MATCH(C10,Kaisiadorys!E:E,0),0),"")</f>
        <v>837</v>
      </c>
      <c r="F10" s="93" cm="1">
        <f t="array" ref="F10">IFERROR(INDEX(Veisiejai!Q:Q,MATCH(C10,Veisiejai!E:E,0),0),"")</f>
        <v>804</v>
      </c>
      <c r="G10" s="90" cm="1">
        <f t="array" ref="G10">IFERROR(INDEX(Gdanskas!P:P,MATCH(C10,Gdanskas!C:C,0),0),"")</f>
        <v>883</v>
      </c>
      <c r="H10" s="22" t="str" cm="1">
        <f t="array" ref="H10">IFERROR(INDEX(Trakai!R:R,MATCH(C10,Trakai!E:E,0),0),"")</f>
        <v/>
      </c>
      <c r="I10" s="90" t="str" cm="1">
        <f t="array" ref="I10">IFERROR(INDEX(Jonava!Q:Q,MATCH(C10,Jonava!E:E,0),0),"")</f>
        <v/>
      </c>
      <c r="J10" s="22" cm="1">
        <f t="array" ref="J10">IFERROR(INDEX(Panevezys2!R:R,MATCH(C10,Panevezys2!E:E,0),0),"")</f>
        <v>923</v>
      </c>
      <c r="K10" s="90" t="str">
        <f>IFERROR(INDEX(Skaudvile!Q:Q,MATCH(C10,Skaudvile!E:E,0),0),"")</f>
        <v/>
      </c>
      <c r="L10" s="22" t="str">
        <f>IFERROR(INDEX(Moletai!Q:Q,MATCH(C10,Moletai!E:E,0),0),"")</f>
        <v/>
      </c>
      <c r="M10" s="90"/>
      <c r="N10" s="22">
        <f t="shared" si="0"/>
        <v>4</v>
      </c>
      <c r="O10" s="108">
        <f t="shared" si="1"/>
        <v>3447</v>
      </c>
      <c r="P10" s="23">
        <f t="shared" si="2"/>
        <v>861.75</v>
      </c>
      <c r="Q10" s="167" cm="1">
        <f t="array" ref="Q10">IFERROR(SUMPRODUCT(LARGE(D10:M10,{1;2;3})),"0")</f>
        <v>2643</v>
      </c>
      <c r="R10" s="127">
        <f>IFERROR(INDEX('Bendra įskaita (2025)'!A:A,MATCH(C10,'Bendra įskaita (2025)'!B:B,0),0),"")</f>
        <v>12</v>
      </c>
      <c r="S10" s="90">
        <f>IFERROR(INDEX('Bendra įskaita (2025)'!K:K,MATCH(C10,'Bendra įskaita (2025)'!B:B,0),0),"")</f>
        <v>3</v>
      </c>
      <c r="T10" s="147">
        <f>IFERROR(INDEX('Bendra įskaita (2024)'!A:A,MATCH(C10,'Bendra įskaita (2024)'!B:B,0),0),"")</f>
        <v>35</v>
      </c>
      <c r="U10" s="148">
        <f>IFERROR(INDEX('Bendra įskaita (2024)'!L:L,MATCH(C10,'Bendra įskaita (2024)'!B:B,0),0),"")</f>
        <v>1</v>
      </c>
    </row>
    <row r="11" spans="1:21" thickBot="1">
      <c r="A11" s="106">
        <v>8</v>
      </c>
      <c r="B11" s="161">
        <f>Table_1[[#This Row],[2025 Vieta]]-A11</f>
        <v>-3</v>
      </c>
      <c r="C11" s="114" t="s">
        <v>30</v>
      </c>
      <c r="D11" s="127" cm="1">
        <f t="array" ref="D11">IFERROR(INDEX(Panevezys!P:P,MATCH(C11,Panevezys!E:E,0),0),"")</f>
        <v>828</v>
      </c>
      <c r="E11" s="90" t="str" cm="1">
        <f t="array" ref="E11">IFERROR(INDEX(Kaisiadorys!Q:Q,MATCH(C11,Kaisiadorys!E:E,0),0),"")</f>
        <v/>
      </c>
      <c r="F11" s="93" cm="1">
        <f t="array" ref="F11">IFERROR(INDEX(Veisiejai!Q:Q,MATCH(C11,Veisiejai!E:E,0),0),"")</f>
        <v>863</v>
      </c>
      <c r="G11" s="90" cm="1">
        <f t="array" ref="G11">IFERROR(INDEX(Gdanskas!P:P,MATCH(C11,Gdanskas!C:C,0),0),"")</f>
        <v>922</v>
      </c>
      <c r="H11" s="22" cm="1">
        <f t="array" ref="H11">IFERROR(INDEX(Trakai!R:R,MATCH(C11,Trakai!E:E,0),0),"")</f>
        <v>846</v>
      </c>
      <c r="I11" s="90" cm="1">
        <f t="array" ref="I11">IFERROR(INDEX(Jonava!Q:Q,MATCH(C11,Jonava!E:E,0),0),"")</f>
        <v>853</v>
      </c>
      <c r="J11" s="22" t="str" cm="1">
        <f t="array" ref="J11">IFERROR(INDEX(Panevezys2!R:R,MATCH(C11,Panevezys2!E:E,0),0),"")</f>
        <v/>
      </c>
      <c r="K11" s="90" t="str">
        <f>IFERROR(INDEX(Skaudvile!Q:Q,MATCH(C11,Skaudvile!E:E,0),0),"")</f>
        <v/>
      </c>
      <c r="L11" s="22">
        <f>IFERROR(INDEX(Moletai!Q:Q,MATCH(C11,Moletai!E:E,0),0),"")</f>
        <v>851</v>
      </c>
      <c r="M11" s="90"/>
      <c r="N11" s="22">
        <f t="shared" si="0"/>
        <v>6</v>
      </c>
      <c r="O11" s="108">
        <f t="shared" si="1"/>
        <v>5163</v>
      </c>
      <c r="P11" s="23">
        <f t="shared" si="2"/>
        <v>860.5</v>
      </c>
      <c r="Q11" s="167" cm="1">
        <f t="array" ref="Q11">IFERROR(SUMPRODUCT(LARGE(D11:M11,{1;2;3})),"0")</f>
        <v>2638</v>
      </c>
      <c r="R11" s="127">
        <f>IFERROR(INDEX('Bendra įskaita (2025)'!A:A,MATCH(C11,'Bendra įskaita (2025)'!B:B,0),0),"")</f>
        <v>5</v>
      </c>
      <c r="S11" s="90">
        <f>IFERROR(INDEX('Bendra įskaita (2025)'!K:K,MATCH(C11,'Bendra įskaita (2025)'!B:B,0),0),"")</f>
        <v>4</v>
      </c>
      <c r="T11" s="147">
        <f>IFERROR(INDEX('Bendra įskaita (2024)'!A:A,MATCH(C11,'Bendra įskaita (2024)'!B:B,0),0),"")</f>
        <v>10</v>
      </c>
      <c r="U11" s="148">
        <f>IFERROR(INDEX('Bendra įskaita (2024)'!L:L,MATCH(C11,'Bendra įskaita (2024)'!B:B,0),0),"")</f>
        <v>4</v>
      </c>
    </row>
    <row r="12" spans="1:21" thickBot="1">
      <c r="A12" s="106">
        <v>9</v>
      </c>
      <c r="B12" s="161">
        <f>Table_1[[#This Row],[2025 Vieta]]-A12</f>
        <v>-1</v>
      </c>
      <c r="C12" s="114" t="s">
        <v>31</v>
      </c>
      <c r="D12" s="127" cm="1">
        <f t="array" ref="D12">IFERROR(INDEX(Panevezys!P:P,MATCH(C12,Panevezys!E:E,0),0),"")</f>
        <v>758</v>
      </c>
      <c r="E12" s="90" cm="1">
        <f t="array" ref="E12">IFERROR(INDEX(Kaisiadorys!Q:Q,MATCH(C12,Kaisiadorys!E:E,0),0),"")</f>
        <v>836</v>
      </c>
      <c r="F12" s="93" cm="1">
        <f t="array" ref="F12">IFERROR(INDEX(Veisiejai!Q:Q,MATCH(C12,Veisiejai!E:E,0),0),"")</f>
        <v>837</v>
      </c>
      <c r="G12" s="90" t="str" cm="1">
        <f t="array" ref="G12">IFERROR(INDEX(Gdanskas!P:P,MATCH(C12,Gdanskas!C:C,0),0),"")</f>
        <v/>
      </c>
      <c r="H12" s="22" cm="1">
        <f t="array" ref="H12">IFERROR(INDEX(Trakai!R:R,MATCH(C12,Trakai!E:E,0),0),"")</f>
        <v>829</v>
      </c>
      <c r="I12" s="90" cm="1">
        <f t="array" ref="I12">IFERROR(INDEX(Jonava!Q:Q,MATCH(C12,Jonava!E:E,0),0),"")</f>
        <v>814</v>
      </c>
      <c r="J12" s="22" cm="1">
        <f t="array" ref="J12">IFERROR(INDEX(Panevezys2!R:R,MATCH(C12,Panevezys2!E:E,0),0),"")</f>
        <v>913</v>
      </c>
      <c r="K12" s="90" t="str">
        <f>IFERROR(INDEX(Skaudvile!Q:Q,MATCH(C12,Skaudvile!E:E,0),0),"")</f>
        <v/>
      </c>
      <c r="L12" s="22" t="str">
        <f>IFERROR(INDEX(Moletai!Q:Q,MATCH(C12,Moletai!E:E,0),0),"")</f>
        <v/>
      </c>
      <c r="M12" s="90"/>
      <c r="N12" s="22">
        <f t="shared" si="0"/>
        <v>6</v>
      </c>
      <c r="O12" s="108">
        <f t="shared" si="1"/>
        <v>4987</v>
      </c>
      <c r="P12" s="23">
        <f t="shared" si="2"/>
        <v>831.16666666666663</v>
      </c>
      <c r="Q12" s="167" cm="1">
        <f t="array" ref="Q12">IFERROR(SUMPRODUCT(LARGE(D12:M12,{1;2;3})),"0")</f>
        <v>2586</v>
      </c>
      <c r="R12" s="127">
        <f>IFERROR(INDEX('Bendra įskaita (2025)'!A:A,MATCH(C12,'Bendra įskaita (2025)'!B:B,0),0),"")</f>
        <v>8</v>
      </c>
      <c r="S12" s="90">
        <f>IFERROR(INDEX('Bendra įskaita (2025)'!K:K,MATCH(C12,'Bendra įskaita (2025)'!B:B,0),0),"")</f>
        <v>5</v>
      </c>
      <c r="T12" s="147" t="str">
        <f>IFERROR(INDEX('Bendra įskaita (2024)'!A:A,MATCH(C12,'Bendra įskaita (2024)'!B:B,0),0),"")</f>
        <v/>
      </c>
      <c r="U12" s="148" t="str">
        <f>IFERROR(INDEX('Bendra įskaita (2024)'!L:L,MATCH(C12,'Bendra įskaita (2024)'!B:B,0),0),"")</f>
        <v/>
      </c>
    </row>
    <row r="13" spans="1:21" thickBot="1">
      <c r="A13" s="106">
        <v>10</v>
      </c>
      <c r="B13" s="161">
        <f>Table_1[[#This Row],[2025 Vieta]]-A13</f>
        <v>-8</v>
      </c>
      <c r="C13" s="114" t="s">
        <v>32</v>
      </c>
      <c r="D13" s="127" t="str" cm="1">
        <f t="array" ref="D13">IFERROR(INDEX(Panevezys!P:P,MATCH(C13,Panevezys!E:E,0),0),"")</f>
        <v/>
      </c>
      <c r="E13" s="90" cm="1">
        <f t="array" ref="E13">IFERROR(INDEX(Kaisiadorys!Q:Q,MATCH(C13,Kaisiadorys!E:E,0),0),"")</f>
        <v>862</v>
      </c>
      <c r="F13" s="93" cm="1">
        <f t="array" ref="F13">IFERROR(INDEX(Veisiejai!Q:Q,MATCH(C13,Veisiejai!E:E,0),0),"")</f>
        <v>859</v>
      </c>
      <c r="G13" s="90" t="str" cm="1">
        <f t="array" ref="G13">IFERROR(INDEX(Gdanskas!P:P,MATCH(C13,Gdanskas!C:C,0),0),"")</f>
        <v/>
      </c>
      <c r="H13" s="22" t="str" cm="1">
        <f t="array" ref="H13">IFERROR(INDEX(Trakai!R:R,MATCH(C13,Trakai!E:E,0),0),"")</f>
        <v/>
      </c>
      <c r="I13" s="90" cm="1">
        <f t="array" ref="I13">IFERROR(INDEX(Jonava!Q:Q,MATCH(C13,Jonava!E:E,0),0),"")</f>
        <v>848</v>
      </c>
      <c r="J13" s="22" t="str" cm="1">
        <f t="array" ref="J13">IFERROR(INDEX(Panevezys2!R:R,MATCH(C13,Panevezys2!E:E,0),0),"")</f>
        <v/>
      </c>
      <c r="K13" s="90" t="str">
        <f>IFERROR(INDEX(Skaudvile!Q:Q,MATCH(C13,Skaudvile!E:E,0),0),"")</f>
        <v/>
      </c>
      <c r="L13" s="22">
        <f>IFERROR(INDEX(Moletai!Q:Q,MATCH(C13,Moletai!E:E,0),0),"")</f>
        <v>844</v>
      </c>
      <c r="M13" s="90"/>
      <c r="N13" s="22">
        <f t="shared" si="0"/>
        <v>4</v>
      </c>
      <c r="O13" s="108">
        <f t="shared" si="1"/>
        <v>3413</v>
      </c>
      <c r="P13" s="23">
        <f t="shared" si="2"/>
        <v>853.25</v>
      </c>
      <c r="Q13" s="167" cm="1">
        <f t="array" ref="Q13">IFERROR(SUMPRODUCT(LARGE(D13:M13,{1;2;3})),"0")</f>
        <v>2569</v>
      </c>
      <c r="R13" s="127">
        <f>IFERROR(INDEX('Bendra įskaita (2025)'!A:A,MATCH(C13,'Bendra įskaita (2025)'!B:B,0),0),"")</f>
        <v>2</v>
      </c>
      <c r="S13" s="90">
        <f>IFERROR(INDEX('Bendra įskaita (2025)'!K:K,MATCH(C13,'Bendra įskaita (2025)'!B:B,0),0),"")</f>
        <v>4</v>
      </c>
      <c r="T13" s="147">
        <f>IFERROR(INDEX('Bendra įskaita (2024)'!A:A,MATCH(C13,'Bendra įskaita (2024)'!B:B,0),0),"")</f>
        <v>31</v>
      </c>
      <c r="U13" s="148">
        <f>IFERROR(INDEX('Bendra įskaita (2024)'!L:L,MATCH(C13,'Bendra įskaita (2024)'!B:B,0),0),"")</f>
        <v>1</v>
      </c>
    </row>
    <row r="14" spans="1:21" thickBot="1">
      <c r="A14" s="106">
        <v>11</v>
      </c>
      <c r="B14" s="161">
        <f>Table_1[[#This Row],[2025 Vieta]]-A14</f>
        <v>-7</v>
      </c>
      <c r="C14" s="114" t="s">
        <v>33</v>
      </c>
      <c r="D14" s="127" t="str" cm="1">
        <f t="array" ref="D14">IFERROR(INDEX(Panevezys!P:P,MATCH(C14,Panevezys!E:E,0),0),"")</f>
        <v/>
      </c>
      <c r="E14" s="90" cm="1">
        <f t="array" ref="E14">IFERROR(INDEX(Kaisiadorys!Q:Q,MATCH(C14,Kaisiadorys!E:E,0),0),"")</f>
        <v>850</v>
      </c>
      <c r="F14" s="93" cm="1">
        <f t="array" ref="F14">IFERROR(INDEX(Veisiejai!Q:Q,MATCH(C14,Veisiejai!E:E,0),0),"")</f>
        <v>864</v>
      </c>
      <c r="G14" s="90" t="str" cm="1">
        <f t="array" ref="G14">IFERROR(INDEX(Gdanskas!P:P,MATCH(C14,Gdanskas!C:C,0),0),"")</f>
        <v/>
      </c>
      <c r="H14" s="22" cm="1">
        <f t="array" ref="H14">IFERROR(INDEX(Trakai!R:R,MATCH(C14,Trakai!E:E,0),0),"")</f>
        <v>809</v>
      </c>
      <c r="I14" s="90" cm="1">
        <f t="array" ref="I14">IFERROR(INDEX(Jonava!Q:Q,MATCH(C14,Jonava!E:E,0),0),"")</f>
        <v>854</v>
      </c>
      <c r="J14" s="22" t="str" cm="1">
        <f t="array" ref="J14">IFERROR(INDEX(Panevezys2!R:R,MATCH(C14,Panevezys2!E:E,0),0),"")</f>
        <v/>
      </c>
      <c r="K14" s="90" t="str">
        <f>IFERROR(INDEX(Skaudvile!Q:Q,MATCH(C14,Skaudvile!E:E,0),0),"")</f>
        <v/>
      </c>
      <c r="L14" s="22" t="str">
        <f>IFERROR(INDEX(Moletai!Q:Q,MATCH(C14,Moletai!E:E,0),0),"")</f>
        <v/>
      </c>
      <c r="M14" s="90"/>
      <c r="N14" s="22">
        <f t="shared" si="0"/>
        <v>4</v>
      </c>
      <c r="O14" s="108">
        <f t="shared" si="1"/>
        <v>3377</v>
      </c>
      <c r="P14" s="23">
        <f t="shared" si="2"/>
        <v>844.25</v>
      </c>
      <c r="Q14" s="167" cm="1">
        <f t="array" ref="Q14">IFERROR(SUMPRODUCT(LARGE(D14:M14,{1;2;3})),"0")</f>
        <v>2568</v>
      </c>
      <c r="R14" s="127">
        <f>IFERROR(INDEX('Bendra įskaita (2025)'!A:A,MATCH(C14,'Bendra įskaita (2025)'!B:B,0),0),"")</f>
        <v>4</v>
      </c>
      <c r="S14" s="90">
        <f>IFERROR(INDEX('Bendra įskaita (2025)'!K:K,MATCH(C14,'Bendra įskaita (2025)'!B:B,0),0),"")</f>
        <v>6</v>
      </c>
      <c r="T14" s="147">
        <f>IFERROR(INDEX('Bendra įskaita (2024)'!A:A,MATCH(C14,'Bendra įskaita (2024)'!B:B,0),0),"")</f>
        <v>12</v>
      </c>
      <c r="U14" s="148">
        <f>IFERROR(INDEX('Bendra įskaita (2024)'!L:L,MATCH(C14,'Bendra įskaita (2024)'!B:B,0),0),"")</f>
        <v>5</v>
      </c>
    </row>
    <row r="15" spans="1:21" thickBot="1">
      <c r="A15" s="106">
        <v>12</v>
      </c>
      <c r="B15" s="162">
        <f>Table_1[[#This Row],[2025 Vieta]]-A15</f>
        <v>1</v>
      </c>
      <c r="C15" s="114" t="s">
        <v>34</v>
      </c>
      <c r="D15" s="127" cm="1">
        <f t="array" ref="D15">IFERROR(INDEX(Panevezys!P:P,MATCH(C15,Panevezys!E:E,0),0),"")</f>
        <v>742</v>
      </c>
      <c r="E15" s="90" cm="1">
        <f t="array" ref="E15">IFERROR(INDEX(Kaisiadorys!Q:Q,MATCH(C15,Kaisiadorys!E:E,0),0),"")</f>
        <v>828</v>
      </c>
      <c r="F15" s="93" cm="1">
        <f t="array" ref="F15">IFERROR(INDEX(Veisiejai!Q:Q,MATCH(C15,Veisiejai!E:E,0),0),"")</f>
        <v>813</v>
      </c>
      <c r="G15" s="90" cm="1">
        <f t="array" ref="G15">IFERROR(INDEX(Gdanskas!P:P,MATCH(C15,Gdanskas!C:C,0),0),"")</f>
        <v>829</v>
      </c>
      <c r="H15" s="22" t="str" cm="1">
        <f t="array" ref="H15">IFERROR(INDEX(Trakai!R:R,MATCH(C15,Trakai!E:E,0),0),"")</f>
        <v/>
      </c>
      <c r="I15" s="90" cm="1">
        <f t="array" ref="I15">IFERROR(INDEX(Jonava!Q:Q,MATCH(C15,Jonava!E:E,0),0),"")</f>
        <v>810</v>
      </c>
      <c r="J15" s="22" cm="1">
        <f t="array" ref="J15">IFERROR(INDEX(Panevezys2!R:R,MATCH(C15,Panevezys2!E:E,0),0),"")</f>
        <v>878</v>
      </c>
      <c r="K15" s="90" t="str">
        <f>IFERROR(INDEX(Skaudvile!Q:Q,MATCH(C15,Skaudvile!E:E,0),0),"")</f>
        <v/>
      </c>
      <c r="L15" s="22">
        <f>IFERROR(INDEX(Moletai!Q:Q,MATCH(C15,Moletai!E:E,0),0),"")</f>
        <v>818</v>
      </c>
      <c r="M15" s="90"/>
      <c r="N15" s="22">
        <f t="shared" si="0"/>
        <v>7</v>
      </c>
      <c r="O15" s="108">
        <f t="shared" si="1"/>
        <v>5718</v>
      </c>
      <c r="P15" s="23">
        <f t="shared" si="2"/>
        <v>816.85714285714289</v>
      </c>
      <c r="Q15" s="167" cm="1">
        <f t="array" ref="Q15">IFERROR(SUMPRODUCT(LARGE(D15:M15,{1;2;3})),"0")</f>
        <v>2535</v>
      </c>
      <c r="R15" s="127">
        <f>IFERROR(INDEX('Bendra įskaita (2025)'!A:A,MATCH(C15,'Bendra įskaita (2025)'!B:B,0),0),"")</f>
        <v>13</v>
      </c>
      <c r="S15" s="90">
        <f>IFERROR(INDEX('Bendra įskaita (2025)'!K:K,MATCH(C15,'Bendra įskaita (2025)'!B:B,0),0),"")</f>
        <v>3</v>
      </c>
      <c r="T15" s="147">
        <f>IFERROR(INDEX('Bendra įskaita (2024)'!A:A,MATCH(C15,'Bendra įskaita (2024)'!B:B,0),0),"")</f>
        <v>15</v>
      </c>
      <c r="U15" s="148">
        <f>IFERROR(INDEX('Bendra įskaita (2024)'!L:L,MATCH(C15,'Bendra įskaita (2024)'!B:B,0),0),"")</f>
        <v>5</v>
      </c>
    </row>
    <row r="16" spans="1:21" thickBot="1">
      <c r="A16" s="106">
        <v>13</v>
      </c>
      <c r="B16" s="161">
        <f>Table_1[[#This Row],[2025 Vieta]]-A16</f>
        <v>-4</v>
      </c>
      <c r="C16" s="114" t="s">
        <v>35</v>
      </c>
      <c r="D16" s="127" cm="1">
        <f t="array" ref="D16">IFERROR(INDEX(Panevezys!P:P,MATCH(C16,Panevezys!E:E,0),0),"")</f>
        <v>700</v>
      </c>
      <c r="E16" s="90" cm="1">
        <f t="array" ref="E16">IFERROR(INDEX(Kaisiadorys!Q:Q,MATCH(C16,Kaisiadorys!E:E,0),0),"")</f>
        <v>763</v>
      </c>
      <c r="F16" s="93" cm="1">
        <f t="array" ref="F16">IFERROR(INDEX(Veisiejai!Q:Q,MATCH(C16,Veisiejai!E:E,0),0),"")</f>
        <v>745</v>
      </c>
      <c r="G16" s="90" cm="1">
        <f t="array" ref="G16">IFERROR(INDEX(Gdanskas!P:P,MATCH(C16,Gdanskas!C:C,0),0),"")</f>
        <v>786</v>
      </c>
      <c r="H16" s="22" cm="1">
        <f t="array" ref="H16">IFERROR(INDEX(Trakai!R:R,MATCH(C16,Trakai!E:E,0),0),"")</f>
        <v>797</v>
      </c>
      <c r="I16" s="90" cm="1">
        <f t="array" ref="I16">IFERROR(INDEX(Jonava!Q:Q,MATCH(C16,Jonava!E:E,0),0),"")</f>
        <v>771</v>
      </c>
      <c r="J16" s="22" cm="1">
        <f t="array" ref="J16">IFERROR(INDEX(Panevezys2!R:R,MATCH(C16,Panevezys2!E:E,0),0),"")</f>
        <v>843</v>
      </c>
      <c r="K16" s="90">
        <f>IFERROR(INDEX(Skaudvile!Q:Q,MATCH(C16,Skaudvile!E:E,0),0),"")</f>
        <v>770</v>
      </c>
      <c r="L16" s="22" t="str">
        <f>IFERROR(INDEX(Moletai!Q:Q,MATCH(C16,Moletai!E:E,0),0),"")</f>
        <v/>
      </c>
      <c r="M16" s="90"/>
      <c r="N16" s="22">
        <f t="shared" si="0"/>
        <v>8</v>
      </c>
      <c r="O16" s="108">
        <f t="shared" si="1"/>
        <v>6175</v>
      </c>
      <c r="P16" s="23">
        <f t="shared" si="2"/>
        <v>771.875</v>
      </c>
      <c r="Q16" s="167" cm="1">
        <f t="array" ref="Q16">IFERROR(SUMPRODUCT(LARGE(D16:M16,{1;2;3})),"0")</f>
        <v>2426</v>
      </c>
      <c r="R16" s="127">
        <f>IFERROR(INDEX('Bendra įskaita (2025)'!A:A,MATCH(C16,'Bendra įskaita (2025)'!B:B,0),0),"")</f>
        <v>9</v>
      </c>
      <c r="S16" s="90">
        <f>IFERROR(INDEX('Bendra įskaita (2025)'!K:K,MATCH(C16,'Bendra įskaita (2025)'!B:B,0),0),"")</f>
        <v>8</v>
      </c>
      <c r="T16" s="147">
        <f>IFERROR(INDEX('Bendra įskaita (2024)'!A:A,MATCH(C16,'Bendra įskaita (2024)'!B:B,0),0),"")</f>
        <v>14</v>
      </c>
      <c r="U16" s="148">
        <f>IFERROR(INDEX('Bendra įskaita (2024)'!L:L,MATCH(C16,'Bendra įskaita (2024)'!B:B,0),0),"")</f>
        <v>6</v>
      </c>
    </row>
    <row r="17" spans="1:21" thickBot="1">
      <c r="A17" s="106">
        <v>14</v>
      </c>
      <c r="B17" s="162">
        <f>Table_1[[#This Row],[2025 Vieta]]-A17</f>
        <v>12</v>
      </c>
      <c r="C17" s="115" t="s">
        <v>36</v>
      </c>
      <c r="D17" s="127" t="str" cm="1">
        <f t="array" ref="D17">IFERROR(INDEX(Panevezys!P:P,MATCH(C17,Panevezys!E:E,0),0),"")</f>
        <v/>
      </c>
      <c r="E17" s="90" cm="1">
        <f t="array" ref="E17">IFERROR(INDEX(Kaisiadorys!Q:Q,MATCH(C17,Kaisiadorys!E:E,0),0),"")</f>
        <v>780</v>
      </c>
      <c r="F17" s="93" cm="1">
        <f t="array" ref="F17">IFERROR(INDEX(Veisiejai!Q:Q,MATCH(C17,Veisiejai!E:E,0),0),"")</f>
        <v>784</v>
      </c>
      <c r="G17" s="90" t="str" cm="1">
        <f t="array" ref="G17">IFERROR(INDEX(Gdanskas!P:P,MATCH(C17,Gdanskas!C:C,0),0),"")</f>
        <v/>
      </c>
      <c r="H17" s="22" cm="1">
        <f t="array" ref="H17">IFERROR(INDEX(Trakai!R:R,MATCH(C17,Trakai!E:E,0),0),"")</f>
        <v>825</v>
      </c>
      <c r="I17" s="90" t="str" cm="1">
        <f t="array" ref="I17">IFERROR(INDEX(Jonava!Q:Q,MATCH(C17,Jonava!E:E,0),0),"")</f>
        <v/>
      </c>
      <c r="J17" s="22" t="str" cm="1">
        <f t="array" ref="J17">IFERROR(INDEX(Panevezys2!R:R,MATCH(C17,Panevezys2!E:E,0),0),"")</f>
        <v/>
      </c>
      <c r="K17" s="90" t="str">
        <f>IFERROR(INDEX(Skaudvile!Q:Q,MATCH(C17,Skaudvile!E:E,0),0),"")</f>
        <v/>
      </c>
      <c r="L17" s="22" t="str">
        <f>IFERROR(INDEX(Moletai!Q:Q,MATCH(C17,Moletai!E:E,0),0),"")</f>
        <v/>
      </c>
      <c r="M17" s="90"/>
      <c r="N17" s="22">
        <f t="shared" si="0"/>
        <v>3</v>
      </c>
      <c r="O17" s="108">
        <f t="shared" si="1"/>
        <v>2389</v>
      </c>
      <c r="P17" s="23">
        <f t="shared" si="2"/>
        <v>796.33333333333337</v>
      </c>
      <c r="Q17" s="167" cm="1">
        <f t="array" ref="Q17">IFERROR(SUMPRODUCT(LARGE(D17:M17,{1;2;3})),"0")</f>
        <v>2389</v>
      </c>
      <c r="R17" s="127">
        <f>IFERROR(INDEX('Bendra įskaita (2025)'!A:A,MATCH(C17,'Bendra įskaita (2025)'!B:B,0),0),"")</f>
        <v>26</v>
      </c>
      <c r="S17" s="90">
        <f>IFERROR(INDEX('Bendra įskaita (2025)'!K:K,MATCH(C17,'Bendra įskaita (2025)'!B:B,0),0),"")</f>
        <v>2</v>
      </c>
      <c r="T17" s="147" t="str">
        <f>IFERROR(INDEX('Bendra įskaita (2024)'!A:A,MATCH(C17,'Bendra įskaita (2024)'!B:B,0),0),"")</f>
        <v/>
      </c>
      <c r="U17" s="148" t="str">
        <f>IFERROR(INDEX('Bendra įskaita (2024)'!L:L,MATCH(C17,'Bendra įskaita (2024)'!B:B,0),0),"")</f>
        <v/>
      </c>
    </row>
    <row r="18" spans="1:21" thickBot="1">
      <c r="A18" s="106">
        <v>15</v>
      </c>
      <c r="B18" s="162">
        <f>Table_1[[#This Row],[2025 Vieta]]-A18</f>
        <v>36</v>
      </c>
      <c r="C18" s="116" t="s">
        <v>37</v>
      </c>
      <c r="D18" s="127" cm="1">
        <f t="array" ref="D18">IFERROR(INDEX(Panevezys!P:P,MATCH(C18,Panevezys!E:E,0),0),"")</f>
        <v>677</v>
      </c>
      <c r="E18" s="90" t="str" cm="1">
        <f t="array" ref="E18">IFERROR(INDEX(Kaisiadorys!Q:Q,MATCH(C18,Kaisiadorys!E:E,0),0),"")</f>
        <v/>
      </c>
      <c r="F18" s="93" cm="1">
        <f t="array" ref="F18">IFERROR(INDEX(Veisiejai!Q:Q,MATCH(C18,Veisiejai!E:E,0),0),"")</f>
        <v>760</v>
      </c>
      <c r="G18" s="90" cm="1">
        <f t="array" ref="G18">IFERROR(INDEX(Gdanskas!P:P,MATCH(C18,Gdanskas!C:C,0),0),"")</f>
        <v>771</v>
      </c>
      <c r="H18" s="22" t="str" cm="1">
        <f t="array" ref="H18">IFERROR(INDEX(Trakai!R:R,MATCH(C18,Trakai!E:E,0),0),"")</f>
        <v/>
      </c>
      <c r="I18" s="90" cm="1">
        <f t="array" ref="I18">IFERROR(INDEX(Jonava!Q:Q,MATCH(C18,Jonava!E:E,0),0),"")</f>
        <v>753</v>
      </c>
      <c r="J18" s="22" cm="1">
        <f t="array" ref="J18">IFERROR(INDEX(Panevezys2!R:R,MATCH(C18,Panevezys2!E:E,0),0),"")</f>
        <v>841</v>
      </c>
      <c r="K18" s="90" t="str">
        <f>IFERROR(INDEX(Skaudvile!Q:Q,MATCH(C18,Skaudvile!E:E,0),0),"")</f>
        <v/>
      </c>
      <c r="L18" s="22">
        <f>IFERROR(INDEX(Moletai!Q:Q,MATCH(C18,Moletai!E:E,0),0),"")</f>
        <v>746</v>
      </c>
      <c r="M18" s="90"/>
      <c r="N18" s="22">
        <f t="shared" si="0"/>
        <v>6</v>
      </c>
      <c r="O18" s="108">
        <f t="shared" si="1"/>
        <v>4548</v>
      </c>
      <c r="P18" s="23">
        <f t="shared" si="2"/>
        <v>758</v>
      </c>
      <c r="Q18" s="167" cm="1">
        <f t="array" ref="Q18">IFERROR(SUMPRODUCT(LARGE(D18:M18,{1;2;3})),"0")</f>
        <v>2372</v>
      </c>
      <c r="R18" s="127">
        <f>IFERROR(INDEX('Bendra įskaita (2025)'!A:A,MATCH(C18,'Bendra įskaita (2025)'!B:B,0),0),"")</f>
        <v>51</v>
      </c>
      <c r="S18" s="90">
        <f>IFERROR(INDEX('Bendra įskaita (2025)'!K:K,MATCH(C18,'Bendra įskaita (2025)'!B:B,0),0),"")</f>
        <v>0</v>
      </c>
      <c r="T18" s="147">
        <f>IFERROR(INDEX('Bendra įskaita (2024)'!A:A,MATCH(C18,'Bendra įskaita (2024)'!B:B,0),0),"")</f>
        <v>39</v>
      </c>
      <c r="U18" s="148">
        <f>IFERROR(INDEX('Bendra įskaita (2024)'!L:L,MATCH(C18,'Bendra įskaita (2024)'!B:B,0),0),"")</f>
        <v>2</v>
      </c>
    </row>
    <row r="19" spans="1:21" thickBot="1">
      <c r="A19" s="106">
        <v>16</v>
      </c>
      <c r="B19" s="164">
        <f>Table_1[[#This Row],[2025 Vieta]]-A19</f>
        <v>0</v>
      </c>
      <c r="C19" s="114" t="s">
        <v>38</v>
      </c>
      <c r="D19" s="127" t="str" cm="1">
        <f t="array" ref="D19">IFERROR(INDEX(Panevezys!P:P,MATCH(C19,Panevezys!E:E,0),0),"")</f>
        <v/>
      </c>
      <c r="E19" s="90" t="str" cm="1">
        <f t="array" ref="E19">IFERROR(INDEX(Kaisiadorys!Q:Q,MATCH(C19,Kaisiadorys!E:E,0),0),"")</f>
        <v/>
      </c>
      <c r="F19" s="93" t="str" cm="1">
        <f t="array" ref="F19">IFERROR(INDEX(Veisiejai!Q:Q,MATCH(C19,Veisiejai!E:E,0),0),"")</f>
        <v/>
      </c>
      <c r="G19" s="90" t="str" cm="1">
        <f t="array" ref="G19">IFERROR(INDEX(Gdanskas!P:P,MATCH(C19,Gdanskas!C:C,0),0),"")</f>
        <v/>
      </c>
      <c r="H19" s="22" cm="1">
        <f t="array" ref="H19">IFERROR(INDEX(Trakai!R:R,MATCH(C19,Trakai!E:E,0),0),"")</f>
        <v>691</v>
      </c>
      <c r="I19" s="90" t="str" cm="1">
        <f t="array" ref="I19">IFERROR(INDEX(Jonava!Q:Q,MATCH(C19,Jonava!E:E,0),0),"")</f>
        <v/>
      </c>
      <c r="J19" s="22" t="str" cm="1">
        <f t="array" ref="J19">IFERROR(INDEX(Panevezys2!R:R,MATCH(C19,Panevezys2!E:E,0),0),"")</f>
        <v/>
      </c>
      <c r="K19" s="90">
        <f>IFERROR(INDEX(Skaudvile!Q:Q,MATCH(C19,Skaudvile!E:E,0),0),"")</f>
        <v>725</v>
      </c>
      <c r="L19" s="22">
        <f>IFERROR(INDEX(Moletai!Q:Q,MATCH(C19,Moletai!E:E,0),0),"")</f>
        <v>750</v>
      </c>
      <c r="M19" s="96"/>
      <c r="N19" s="22">
        <f t="shared" si="0"/>
        <v>3</v>
      </c>
      <c r="O19" s="108">
        <f t="shared" si="1"/>
        <v>2166</v>
      </c>
      <c r="P19" s="23">
        <f t="shared" si="2"/>
        <v>722</v>
      </c>
      <c r="Q19" s="167" cm="1">
        <f t="array" ref="Q19">IFERROR(SUMPRODUCT(LARGE(D19:M19,{1;2;3})),"0")</f>
        <v>2166</v>
      </c>
      <c r="R19" s="127">
        <f>IFERROR(INDEX('Bendra įskaita (2025)'!A:A,MATCH(C19,'Bendra įskaita (2025)'!B:B,0),0),"")</f>
        <v>16</v>
      </c>
      <c r="S19" s="90">
        <f>IFERROR(INDEX('Bendra įskaita (2025)'!K:K,MATCH(C19,'Bendra įskaita (2025)'!B:B,0),0),"")</f>
        <v>3</v>
      </c>
      <c r="T19" s="147">
        <f>IFERROR(INDEX('Bendra įskaita (2024)'!A:A,MATCH(C19,'Bendra įskaita (2024)'!B:B,0),0),"")</f>
        <v>90</v>
      </c>
      <c r="U19" s="148">
        <f>IFERROR(INDEX('Bendra įskaita (2024)'!L:L,MATCH(C19,'Bendra įskaita (2024)'!B:B,0),0),"")</f>
        <v>0</v>
      </c>
    </row>
    <row r="20" spans="1:21" thickBot="1">
      <c r="A20" s="106">
        <v>17</v>
      </c>
      <c r="B20" s="162">
        <f>Table_1[[#This Row],[2025 Vieta]]-A20</f>
        <v>2</v>
      </c>
      <c r="C20" s="116" t="s">
        <v>39</v>
      </c>
      <c r="D20" s="127" t="str" cm="1">
        <f t="array" ref="D20">IFERROR(INDEX(Panevezys!P:P,MATCH(C20,Panevezys!E:E,0),0),"")</f>
        <v/>
      </c>
      <c r="E20" s="90" cm="1">
        <f t="array" ref="E20">IFERROR(INDEX(Kaisiadorys!Q:Q,MATCH(C20,Kaisiadorys!E:E,0),0),"")</f>
        <v>665</v>
      </c>
      <c r="F20" s="93" t="str" cm="1">
        <f t="array" ref="F20">IFERROR(INDEX(Veisiejai!Q:Q,MATCH(C20,Veisiejai!E:E,0),0),"")</f>
        <v/>
      </c>
      <c r="G20" s="90" cm="1">
        <f t="array" ref="G20">IFERROR(INDEX(Gdanskas!P:P,MATCH(C20,Gdanskas!C:C,0),0),"")</f>
        <v>717</v>
      </c>
      <c r="H20" s="22" t="str" cm="1">
        <f t="array" ref="H20">IFERROR(INDEX(Trakai!R:R,MATCH(C20,Trakai!E:E,0),0),"")</f>
        <v/>
      </c>
      <c r="I20" s="90" cm="1">
        <f t="array" ref="I20">IFERROR(INDEX(Jonava!Q:Q,MATCH(C20,Jonava!E:E,0),0),"")</f>
        <v>669</v>
      </c>
      <c r="J20" s="22" cm="1">
        <f t="array" ref="J20">IFERROR(INDEX(Panevezys2!R:R,MATCH(C20,Panevezys2!E:E,0),0),"")</f>
        <v>751</v>
      </c>
      <c r="K20" s="90">
        <f>IFERROR(INDEX(Skaudvile!Q:Q,MATCH(C20,Skaudvile!E:E,0),0),"")</f>
        <v>683</v>
      </c>
      <c r="L20" s="22">
        <f>IFERROR(INDEX(Moletai!Q:Q,MATCH(C20,Moletai!E:E,0),0),"")</f>
        <v>675</v>
      </c>
      <c r="M20" s="90"/>
      <c r="N20" s="22">
        <f t="shared" si="0"/>
        <v>6</v>
      </c>
      <c r="O20" s="108">
        <f t="shared" si="1"/>
        <v>4160</v>
      </c>
      <c r="P20" s="23">
        <f t="shared" si="2"/>
        <v>693.33333333333337</v>
      </c>
      <c r="Q20" s="167" cm="1">
        <f t="array" ref="Q20">IFERROR(SUMPRODUCT(LARGE(D20:M20,{1;2;3})),"0")</f>
        <v>2151</v>
      </c>
      <c r="R20" s="127">
        <f>IFERROR(INDEX('Bendra įskaita (2025)'!A:A,MATCH(C20,'Bendra įskaita (2025)'!B:B,0),0),"")</f>
        <v>19</v>
      </c>
      <c r="S20" s="90">
        <f>IFERROR(INDEX('Bendra įskaita (2025)'!K:K,MATCH(C20,'Bendra įskaita (2025)'!B:B,0),0),"")</f>
        <v>4</v>
      </c>
      <c r="T20" s="147">
        <f>IFERROR(INDEX('Bendra įskaita (2024)'!A:A,MATCH(C20,'Bendra įskaita (2024)'!B:B,0),0),"")</f>
        <v>21</v>
      </c>
      <c r="U20" s="148">
        <f>IFERROR(INDEX('Bendra įskaita (2024)'!L:L,MATCH(C20,'Bendra įskaita (2024)'!B:B,0),0),"")</f>
        <v>3</v>
      </c>
    </row>
    <row r="21" spans="1:21" ht="15.75" customHeight="1" thickBot="1">
      <c r="A21" s="106">
        <v>18</v>
      </c>
      <c r="B21" s="162">
        <f>Table_1[[#This Row],[2025 Vieta]]-A21</f>
        <v>2</v>
      </c>
      <c r="C21" s="116" t="s">
        <v>40</v>
      </c>
      <c r="D21" s="127" t="str" cm="1">
        <f t="array" ref="D21">IFERROR(INDEX(Panevezys!P:P,MATCH(C21,Panevezys!E:E,0),0),"")</f>
        <v/>
      </c>
      <c r="E21" s="90" cm="1">
        <f t="array" ref="E21">IFERROR(INDEX(Kaisiadorys!Q:Q,MATCH(C21,Kaisiadorys!E:E,0),0),"")</f>
        <v>689</v>
      </c>
      <c r="F21" s="93" cm="1">
        <f t="array" ref="F21">IFERROR(INDEX(Veisiejai!Q:Q,MATCH(C21,Veisiejai!E:E,0),0),"")</f>
        <v>687</v>
      </c>
      <c r="G21" s="90" cm="1">
        <f t="array" ref="G21">IFERROR(INDEX(Gdanskas!P:P,MATCH(C21,Gdanskas!C:C,0),0),"")</f>
        <v>744</v>
      </c>
      <c r="H21" s="22" t="str" cm="1">
        <f t="array" ref="H21">IFERROR(INDEX(Trakai!R:R,MATCH(C21,Trakai!E:E,0),0),"")</f>
        <v/>
      </c>
      <c r="I21" s="90" cm="1">
        <f t="array" ref="I21">IFERROR(INDEX(Jonava!Q:Q,MATCH(C21,Jonava!E:E,0),0),"")</f>
        <v>688</v>
      </c>
      <c r="J21" s="22" t="str" cm="1">
        <f t="array" ref="J21">IFERROR(INDEX(Panevezys2!R:R,MATCH(C21,Panevezys2!E:E,0),0),"")</f>
        <v/>
      </c>
      <c r="K21" s="90" t="str">
        <f>IFERROR(INDEX(Skaudvile!Q:Q,MATCH(C21,Skaudvile!E:E,0),0),"")</f>
        <v/>
      </c>
      <c r="L21" s="22">
        <f>IFERROR(INDEX(Moletai!Q:Q,MATCH(C21,Moletai!E:E,0),0),"")</f>
        <v>701</v>
      </c>
      <c r="M21" s="90"/>
      <c r="N21" s="22">
        <f t="shared" si="0"/>
        <v>5</v>
      </c>
      <c r="O21" s="108">
        <f t="shared" si="1"/>
        <v>3509</v>
      </c>
      <c r="P21" s="23">
        <f t="shared" si="2"/>
        <v>701.8</v>
      </c>
      <c r="Q21" s="167" cm="1">
        <f t="array" ref="Q21">IFERROR(SUMPRODUCT(LARGE(D21:M21,{1;2;3})),"0")</f>
        <v>2134</v>
      </c>
      <c r="R21" s="127">
        <f>IFERROR(INDEX('Bendra įskaita (2025)'!A:A,MATCH(C21,'Bendra įskaita (2025)'!B:B,0),0),"")</f>
        <v>20</v>
      </c>
      <c r="S21" s="90">
        <f>IFERROR(INDEX('Bendra įskaita (2025)'!K:K,MATCH(C21,'Bendra įskaita (2025)'!B:B,0),0),"")</f>
        <v>3</v>
      </c>
      <c r="T21" s="147" t="str">
        <f>IFERROR(INDEX('Bendra įskaita (2024)'!A:A,MATCH(C21,'Bendra įskaita (2024)'!B:B,0),0),"")</f>
        <v/>
      </c>
      <c r="U21" s="148" t="str">
        <f>IFERROR(INDEX('Bendra įskaita (2024)'!L:L,MATCH(C21,'Bendra įskaita (2024)'!B:B,0),0),"")</f>
        <v/>
      </c>
    </row>
    <row r="22" spans="1:21" ht="15.75" customHeight="1" thickBot="1">
      <c r="A22" s="106">
        <v>19</v>
      </c>
      <c r="B22" s="163" t="s">
        <v>23</v>
      </c>
      <c r="C22" s="115" t="s">
        <v>41</v>
      </c>
      <c r="D22" s="127" t="str" cm="1">
        <f t="array" ref="D22">IFERROR(INDEX(Panevezys!P:P,MATCH(C22,Panevezys!E:E,0),0),"")</f>
        <v/>
      </c>
      <c r="E22" s="90" t="str" cm="1">
        <f t="array" ref="E22">IFERROR(INDEX(Kaisiadorys!Q:Q,MATCH(C22,Kaisiadorys!E:E,0),0),"")</f>
        <v/>
      </c>
      <c r="F22" s="93" t="str" cm="1">
        <f t="array" ref="F22">IFERROR(INDEX(Veisiejai!Q:Q,MATCH(C22,Veisiejai!E:E,0),0),"")</f>
        <v/>
      </c>
      <c r="G22" s="90" t="str" cm="1">
        <f t="array" ref="G22">IFERROR(INDEX(Gdanskas!P:P,MATCH(C22,Gdanskas!C:C,0),0),"")</f>
        <v/>
      </c>
      <c r="H22" s="22" cm="1">
        <f t="array" ref="H22">IFERROR(INDEX(Trakai!R:R,MATCH(C22,Trakai!E:E,0),0),"")</f>
        <v>655</v>
      </c>
      <c r="I22" s="90" cm="1">
        <f t="array" ref="I22">IFERROR(INDEX(Jonava!Q:Q,MATCH(C22,Jonava!E:E,0),0),"")</f>
        <v>718</v>
      </c>
      <c r="J22" s="22" t="str" cm="1">
        <f t="array" ref="J22">IFERROR(INDEX(Panevezys2!R:R,MATCH(C22,Panevezys2!E:E,0),0),"")</f>
        <v/>
      </c>
      <c r="K22" s="90" t="str">
        <f>IFERROR(INDEX(Skaudvile!Q:Q,MATCH(C22,Skaudvile!E:E,0),0),"")</f>
        <v/>
      </c>
      <c r="L22" s="22">
        <f>IFERROR(INDEX(Moletai!Q:Q,MATCH(C22,Moletai!E:E,0),0),"")</f>
        <v>724</v>
      </c>
      <c r="M22" s="90"/>
      <c r="N22" s="22">
        <f t="shared" si="0"/>
        <v>3</v>
      </c>
      <c r="O22" s="108">
        <f t="shared" si="1"/>
        <v>2097</v>
      </c>
      <c r="P22" s="23">
        <f t="shared" si="2"/>
        <v>699</v>
      </c>
      <c r="Q22" s="167" cm="1">
        <f t="array" ref="Q22">IFERROR(SUMPRODUCT(LARGE(D22:M22,{1;2;3})),"0")</f>
        <v>2097</v>
      </c>
      <c r="R22" s="127" t="str">
        <f>IFERROR(INDEX('Bendra įskaita (2025)'!A:A,MATCH(C22,'Bendra įskaita (2025)'!B:B,0),0),"")</f>
        <v/>
      </c>
      <c r="S22" s="90" t="str">
        <f>IFERROR(INDEX('Bendra įskaita (2025)'!K:K,MATCH(C22,'Bendra įskaita (2025)'!B:B,0),0),"")</f>
        <v/>
      </c>
      <c r="T22" s="147" t="str">
        <f>IFERROR(INDEX('Bendra įskaita (2024)'!A:A,MATCH(C22,'Bendra įskaita (2024)'!B:B,0),0),"")</f>
        <v/>
      </c>
      <c r="U22" s="148" t="str">
        <f>IFERROR(INDEX('Bendra įskaita (2024)'!L:L,MATCH(C22,'Bendra įskaita (2024)'!B:B,0),0),"")</f>
        <v/>
      </c>
    </row>
    <row r="23" spans="1:21" ht="15.75" customHeight="1" thickBot="1">
      <c r="A23" s="106">
        <v>20</v>
      </c>
      <c r="B23" s="162">
        <f>Table_1[[#This Row],[2025 Vieta]]-A23</f>
        <v>25</v>
      </c>
      <c r="C23" s="114" t="s">
        <v>42</v>
      </c>
      <c r="D23" s="127" cm="1">
        <f t="array" ref="D23">IFERROR(INDEX(Panevezys!P:P,MATCH(C23,Panevezys!E:E,0),0),"")</f>
        <v>653</v>
      </c>
      <c r="E23" s="90" t="str" cm="1">
        <f t="array" ref="E23">IFERROR(INDEX(Kaisiadorys!Q:Q,MATCH(C23,Kaisiadorys!E:E,0),0),"")</f>
        <v/>
      </c>
      <c r="F23" s="93" cm="1">
        <f t="array" ref="F23">IFERROR(INDEX(Veisiejai!Q:Q,MATCH(C23,Veisiejai!E:E,0),0),"")</f>
        <v>687</v>
      </c>
      <c r="G23" s="90" t="str" cm="1">
        <f t="array" ref="G23">IFERROR(INDEX(Gdanskas!P:P,MATCH(C23,Gdanskas!C:C,0),0),"")</f>
        <v/>
      </c>
      <c r="H23" s="22" t="str" cm="1">
        <f t="array" ref="H23">IFERROR(INDEX(Trakai!R:R,MATCH(C23,Trakai!E:E,0),0),"")</f>
        <v/>
      </c>
      <c r="I23" s="90" t="str" cm="1">
        <f t="array" ref="I23">IFERROR(INDEX(Jonava!Q:Q,MATCH(C23,Jonava!E:E,0),0),"")</f>
        <v/>
      </c>
      <c r="J23" s="22" t="str" cm="1">
        <f t="array" ref="J23">IFERROR(INDEX(Panevezys2!R:R,MATCH(C23,Panevezys2!E:E,0),0),"")</f>
        <v/>
      </c>
      <c r="K23" s="90">
        <f>IFERROR(INDEX(Skaudvile!Q:Q,MATCH(C23,Skaudvile!E:E,0),0),"")</f>
        <v>677</v>
      </c>
      <c r="L23" s="22">
        <f>IFERROR(INDEX(Moletai!Q:Q,MATCH(C23,Moletai!E:E,0),0),"")</f>
        <v>713</v>
      </c>
      <c r="M23" s="90"/>
      <c r="N23" s="22">
        <f t="shared" si="0"/>
        <v>4</v>
      </c>
      <c r="O23" s="108">
        <f t="shared" si="1"/>
        <v>2730</v>
      </c>
      <c r="P23" s="23">
        <f t="shared" si="2"/>
        <v>682.5</v>
      </c>
      <c r="Q23" s="167" cm="1">
        <f t="array" ref="Q23">IFERROR(SUMPRODUCT(LARGE(D23:M23,{1;2;3})),"0")</f>
        <v>2077</v>
      </c>
      <c r="R23" s="127">
        <f>IFERROR(INDEX('Bendra įskaita (2025)'!A:A,MATCH(C23,'Bendra įskaita (2025)'!B:B,0),0),"")</f>
        <v>45</v>
      </c>
      <c r="S23" s="90">
        <f>IFERROR(INDEX('Bendra įskaita (2025)'!K:K,MATCH(C23,'Bendra įskaita (2025)'!B:B,0),0),"")</f>
        <v>1</v>
      </c>
      <c r="T23" s="147">
        <f>IFERROR(INDEX('Bendra įskaita (2024)'!A:A,MATCH(C23,'Bendra įskaita (2024)'!B:B,0),0),"")</f>
        <v>19</v>
      </c>
      <c r="U23" s="148">
        <f>IFERROR(INDEX('Bendra įskaita (2024)'!L:L,MATCH(C23,'Bendra įskaita (2024)'!B:B,0),0),"")</f>
        <v>3</v>
      </c>
    </row>
    <row r="24" spans="1:21" ht="15.75" customHeight="1" thickBot="1">
      <c r="A24" s="106">
        <v>21</v>
      </c>
      <c r="B24" s="162">
        <f>Table_1[[#This Row],[2025 Vieta]]-A24</f>
        <v>25</v>
      </c>
      <c r="C24" s="116" t="s">
        <v>43</v>
      </c>
      <c r="D24" s="127" t="str" cm="1">
        <f t="array" ref="D24">IFERROR(INDEX(Panevezys!P:P,MATCH(C24,Panevezys!E:E,0),0),"")</f>
        <v/>
      </c>
      <c r="E24" s="90" t="str" cm="1">
        <f t="array" ref="E24">IFERROR(INDEX(Kaisiadorys!Q:Q,MATCH(C24,Kaisiadorys!E:E,0),0),"")</f>
        <v/>
      </c>
      <c r="F24" s="93" cm="1">
        <f t="array" ref="F24">IFERROR(INDEX(Veisiejai!Q:Q,MATCH(C24,Veisiejai!E:E,0),0),"")</f>
        <v>643</v>
      </c>
      <c r="G24" s="90" t="str" cm="1">
        <f t="array" ref="G24">IFERROR(INDEX(Gdanskas!P:P,MATCH(C24,Gdanskas!C:C,0),0),"")</f>
        <v/>
      </c>
      <c r="H24" s="22" t="str" cm="1">
        <f t="array" ref="H24">IFERROR(INDEX(Trakai!R:R,MATCH(C24,Trakai!E:E,0),0),"")</f>
        <v/>
      </c>
      <c r="I24" s="90" cm="1">
        <f t="array" ref="I24">IFERROR(INDEX(Jonava!Q:Q,MATCH(C24,Jonava!E:E,0),0),"")</f>
        <v>654</v>
      </c>
      <c r="J24" s="22" cm="1">
        <f t="array" ref="J24">IFERROR(INDEX(Panevezys2!R:R,MATCH(C24,Panevezys2!E:E,0),0),"")</f>
        <v>755</v>
      </c>
      <c r="K24" s="90" t="str">
        <f>IFERROR(INDEX(Skaudvile!Q:Q,MATCH(C24,Skaudvile!E:E,0),0),"")</f>
        <v/>
      </c>
      <c r="L24" s="22" t="str">
        <f>IFERROR(INDEX(Moletai!Q:Q,MATCH(C24,Moletai!E:E,0),0),"")</f>
        <v/>
      </c>
      <c r="M24" s="90"/>
      <c r="N24" s="22">
        <f t="shared" si="0"/>
        <v>3</v>
      </c>
      <c r="O24" s="108">
        <f t="shared" si="1"/>
        <v>2052</v>
      </c>
      <c r="P24" s="23">
        <f t="shared" si="2"/>
        <v>684</v>
      </c>
      <c r="Q24" s="167" cm="1">
        <f t="array" ref="Q24">IFERROR(SUMPRODUCT(LARGE(D24:M24,{1;2;3})),"0")</f>
        <v>2052</v>
      </c>
      <c r="R24" s="127">
        <f>IFERROR(INDEX('Bendra įskaita (2025)'!A:A,MATCH(C24,'Bendra įskaita (2025)'!B:B,0),0),"")</f>
        <v>46</v>
      </c>
      <c r="S24" s="90">
        <f>IFERROR(INDEX('Bendra įskaita (2025)'!K:K,MATCH(C24,'Bendra įskaita (2025)'!B:B,0),0),"")</f>
        <v>1</v>
      </c>
      <c r="T24" s="147">
        <f>IFERROR(INDEX('Bendra įskaita (2024)'!A:A,MATCH(C24,'Bendra įskaita (2024)'!B:B,0),0),"")</f>
        <v>20</v>
      </c>
      <c r="U24" s="148">
        <f>IFERROR(INDEX('Bendra įskaita (2024)'!L:L,MATCH(C24,'Bendra įskaita (2024)'!B:B,0),0),"")</f>
        <v>3</v>
      </c>
    </row>
    <row r="25" spans="1:21" ht="15.75" customHeight="1" thickBot="1">
      <c r="A25" s="106">
        <v>22</v>
      </c>
      <c r="B25" s="161">
        <f>Table_1[[#This Row],[2025 Vieta]]-A25</f>
        <v>-4</v>
      </c>
      <c r="C25" s="114" t="s">
        <v>44</v>
      </c>
      <c r="D25" s="127" cm="1">
        <f t="array" ref="D25">IFERROR(INDEX(Panevezys!P:P,MATCH(C25,Panevezys!E:E,0),0),"")</f>
        <v>645</v>
      </c>
      <c r="E25" s="90" cm="1">
        <f t="array" ref="E25">IFERROR(INDEX(Kaisiadorys!Q:Q,MATCH(C25,Kaisiadorys!E:E,0),0),"")</f>
        <v>651</v>
      </c>
      <c r="F25" s="93" t="str" cm="1">
        <f t="array" ref="F25">IFERROR(INDEX(Veisiejai!Q:Q,MATCH(C25,Veisiejai!E:E,0),0),"")</f>
        <v/>
      </c>
      <c r="G25" s="90" t="str" cm="1">
        <f t="array" ref="G25">IFERROR(INDEX(Gdanskas!P:P,MATCH(C25,Gdanskas!C:C,0),0),"")</f>
        <v/>
      </c>
      <c r="H25" s="22" cm="1">
        <f t="array" ref="H25">IFERROR(INDEX(Trakai!R:R,MATCH(C25,Trakai!E:E,0),0),"")</f>
        <v>680</v>
      </c>
      <c r="I25" s="90" cm="1">
        <f t="array" ref="I25">IFERROR(INDEX(Jonava!Q:Q,MATCH(C25,Jonava!E:E,0),0),"")</f>
        <v>702</v>
      </c>
      <c r="J25" s="22" t="str" cm="1">
        <f t="array" ref="J25">IFERROR(INDEX(Panevezys2!R:R,MATCH(C25,Panevezys2!E:E,0),0),"")</f>
        <v/>
      </c>
      <c r="K25" s="90" t="str">
        <f>IFERROR(INDEX(Skaudvile!Q:Q,MATCH(C25,Skaudvile!E:E,0),0),"")</f>
        <v/>
      </c>
      <c r="L25" s="22" t="str">
        <f>IFERROR(INDEX(Moletai!Q:Q,MATCH(C25,Moletai!E:E,0),0),"")</f>
        <v/>
      </c>
      <c r="M25" s="90"/>
      <c r="N25" s="22">
        <f t="shared" si="0"/>
        <v>4</v>
      </c>
      <c r="O25" s="108">
        <f t="shared" si="1"/>
        <v>2678</v>
      </c>
      <c r="P25" s="23">
        <f t="shared" si="2"/>
        <v>669.5</v>
      </c>
      <c r="Q25" s="167" cm="1">
        <f t="array" ref="Q25">IFERROR(SUMPRODUCT(LARGE(D25:M25,{1;2;3})),"0")</f>
        <v>2033</v>
      </c>
      <c r="R25" s="127">
        <f>IFERROR(INDEX('Bendra įskaita (2025)'!A:A,MATCH(C25,'Bendra įskaita (2025)'!B:B,0),0),"")</f>
        <v>18</v>
      </c>
      <c r="S25" s="90">
        <f>IFERROR(INDEX('Bendra įskaita (2025)'!K:K,MATCH(C25,'Bendra įskaita (2025)'!B:B,0),0),"")</f>
        <v>3</v>
      </c>
      <c r="T25" s="147">
        <f>IFERROR(INDEX('Bendra įskaita (2024)'!A:A,MATCH(C25,'Bendra įskaita (2024)'!B:B,0),0),"")</f>
        <v>22</v>
      </c>
      <c r="U25" s="148">
        <f>IFERROR(INDEX('Bendra įskaita (2024)'!L:L,MATCH(C25,'Bendra įskaita (2024)'!B:B,0),0),"")</f>
        <v>2</v>
      </c>
    </row>
    <row r="26" spans="1:21" ht="15.75" customHeight="1">
      <c r="A26" s="106">
        <v>23</v>
      </c>
      <c r="B26" s="162">
        <f>Table_1[[#This Row],[2025 Vieta]]-A26</f>
        <v>24</v>
      </c>
      <c r="C26" s="114" t="s">
        <v>45</v>
      </c>
      <c r="D26" s="127" cm="1">
        <f t="array" ref="D26">IFERROR(INDEX(Panevezys!P:P,MATCH(C26,Panevezys!E:E,0),0),"")</f>
        <v>659</v>
      </c>
      <c r="E26" s="90" t="str" cm="1">
        <f t="array" ref="E26">IFERROR(INDEX(Kaisiadorys!Q:Q,MATCH(C26,Kaisiadorys!E:E,0),0),"")</f>
        <v/>
      </c>
      <c r="F26" s="93" cm="1">
        <f t="array" ref="F26">IFERROR(INDEX(Veisiejai!Q:Q,MATCH(C26,Veisiejai!E:E,0),0),"")</f>
        <v>645</v>
      </c>
      <c r="G26" s="90" t="str" cm="1">
        <f t="array" ref="G26">IFERROR(INDEX(Gdanskas!P:P,MATCH(C26,Gdanskas!C:C,0),0),"")</f>
        <v/>
      </c>
      <c r="H26" s="22" t="str" cm="1">
        <f t="array" ref="H26">IFERROR(INDEX(Trakai!R:R,MATCH(C26,Trakai!E:E,0),0),"")</f>
        <v/>
      </c>
      <c r="I26" s="90" cm="1">
        <f t="array" ref="I26">IFERROR(INDEX(Jonava!Q:Q,MATCH(C26,Jonava!E:E,0),0),"")</f>
        <v>695</v>
      </c>
      <c r="J26" s="22" t="str" cm="1">
        <f t="array" ref="J26">IFERROR(INDEX(Panevezys2!R:R,MATCH(C26,Panevezys2!E:E,0),0),"")</f>
        <v/>
      </c>
      <c r="K26" s="90" t="str">
        <f>IFERROR(INDEX(Skaudvile!Q:Q,MATCH(C26,Skaudvile!E:E,0),0),"")</f>
        <v/>
      </c>
      <c r="L26" s="22">
        <f>IFERROR(INDEX(Moletai!Q:Q,MATCH(C26,Moletai!E:E,0),0),"")</f>
        <v>0</v>
      </c>
      <c r="M26" s="90"/>
      <c r="N26" s="22">
        <f t="shared" si="0"/>
        <v>3</v>
      </c>
      <c r="O26" s="108">
        <f t="shared" si="1"/>
        <v>1999</v>
      </c>
      <c r="P26" s="23">
        <f t="shared" si="2"/>
        <v>666.33333333333337</v>
      </c>
      <c r="Q26" s="167" cm="1">
        <f t="array" ref="Q26">IFERROR(SUMPRODUCT(LARGE(D26:M26,{1;2;3})),"0")</f>
        <v>1999</v>
      </c>
      <c r="R26" s="127">
        <f>IFERROR(INDEX('Bendra įskaita (2025)'!A:A,MATCH(C26,'Bendra įskaita (2025)'!B:B,0),0),"")</f>
        <v>47</v>
      </c>
      <c r="S26" s="90">
        <f>IFERROR(INDEX('Bendra įskaita (2025)'!K:K,MATCH(C26,'Bendra įskaita (2025)'!B:B,0),0),"")</f>
        <v>1</v>
      </c>
      <c r="T26" s="147">
        <f>IFERROR(INDEX('Bendra įskaita (2024)'!A:A,MATCH(C26,'Bendra įskaita (2024)'!B:B,0),0),"")</f>
        <v>64</v>
      </c>
      <c r="U26" s="148">
        <f>IFERROR(INDEX('Bendra įskaita (2024)'!L:L,MATCH(C26,'Bendra įskaita (2024)'!B:B,0),0),"")</f>
        <v>0</v>
      </c>
    </row>
    <row r="27" spans="1:21" ht="15.75" customHeight="1">
      <c r="A27" s="106">
        <v>24</v>
      </c>
      <c r="B27" s="162">
        <f>Table_1[[#This Row],[2025 Vieta]]-A27</f>
        <v>27</v>
      </c>
      <c r="C27" s="117" t="s">
        <v>46</v>
      </c>
      <c r="D27" s="127" cm="1">
        <f t="array" ref="D27">IFERROR(INDEX(Panevezys!P:P,MATCH(C27,Panevezys!E:E,0),0),"")</f>
        <v>630</v>
      </c>
      <c r="E27" s="90" t="str" cm="1">
        <f t="array" ref="E27">IFERROR(INDEX(Kaisiadorys!Q:Q,MATCH(C27,Kaisiadorys!E:E,0),0),"")</f>
        <v/>
      </c>
      <c r="F27" s="93" t="str" cm="1">
        <f t="array" ref="F27">IFERROR(INDEX(Veisiejai!Q:Q,MATCH(C27,Veisiejai!E:E,0),0),"")</f>
        <v/>
      </c>
      <c r="G27" s="90" cm="1">
        <f t="array" ref="G27">IFERROR(INDEX(Gdanskas!P:P,MATCH(C27,Gdanskas!C:C,0),0),"")</f>
        <v>683</v>
      </c>
      <c r="H27" s="22" t="str" cm="1">
        <f t="array" ref="H27">IFERROR(INDEX(Trakai!R:R,MATCH(C27,Trakai!E:E,0),0),"")</f>
        <v/>
      </c>
      <c r="I27" s="90" t="str" cm="1">
        <f t="array" ref="I27">IFERROR(INDEX(Jonava!Q:Q,MATCH(C27,Jonava!E:E,0),0),"")</f>
        <v/>
      </c>
      <c r="J27" s="22" t="str" cm="1">
        <f t="array" ref="J27">IFERROR(INDEX(Panevezys2!R:R,MATCH(C27,Panevezys2!E:E,0),0),"")</f>
        <v/>
      </c>
      <c r="K27" s="90" t="str">
        <f>IFERROR(INDEX(Skaudvile!Q:Q,MATCH(C27,Skaudvile!E:E,0),0),"")</f>
        <v/>
      </c>
      <c r="L27" s="22">
        <f>IFERROR(INDEX(Moletai!Q:Q,MATCH(C27,Moletai!E:E,0),0),"")</f>
        <v>665</v>
      </c>
      <c r="M27" s="90"/>
      <c r="N27" s="22">
        <f>COUNTIF(D27:M27,"&gt;0")</f>
        <v>3</v>
      </c>
      <c r="O27" s="108">
        <f>SUM(D27:M27)</f>
        <v>1978</v>
      </c>
      <c r="P27" s="23">
        <f>O27/N27</f>
        <v>659.33333333333337</v>
      </c>
      <c r="Q27" s="170" cm="1">
        <f t="array" ref="Q27">IFERROR(SUMPRODUCT(LARGE(D27:M27,{1;2;3})),"0")</f>
        <v>1978</v>
      </c>
      <c r="R27" s="127">
        <f>IFERROR(INDEX('Bendra įskaita (2025)'!A:A,MATCH(C27,'Bendra įskaita (2025)'!B:B,0),0),"")</f>
        <v>51</v>
      </c>
      <c r="S27" s="90">
        <f>IFERROR(INDEX('Bendra įskaita (2025)'!K:K,MATCH(C27,'Bendra įskaita (2025)'!B:B,0),0),"")</f>
        <v>0</v>
      </c>
      <c r="T27" s="149">
        <v>78</v>
      </c>
      <c r="U27" s="150">
        <v>0</v>
      </c>
    </row>
    <row r="28" spans="1:21" ht="15.75" customHeight="1">
      <c r="A28" s="106">
        <v>25</v>
      </c>
      <c r="B28" s="161">
        <f>Table_1[[#This Row],[2025 Vieta]]-A27</f>
        <v>-7</v>
      </c>
      <c r="C28" s="116" t="s">
        <v>47</v>
      </c>
      <c r="D28" s="127" t="str" cm="1">
        <f t="array" ref="D28">IFERROR(INDEX(Panevezys!P:P,MATCH(C28,Panevezys!E:E,0),0),"")</f>
        <v/>
      </c>
      <c r="E28" s="90" t="str" cm="1">
        <f t="array" ref="E28">IFERROR(INDEX(Kaisiadorys!Q:Q,MATCH(C28,Kaisiadorys!E:E,0),0),"")</f>
        <v/>
      </c>
      <c r="F28" s="93" t="str" cm="1">
        <f t="array" ref="F28">IFERROR(INDEX(Veisiejai!Q:Q,MATCH(C28,Veisiejai!E:E,0),0),"")</f>
        <v/>
      </c>
      <c r="G28" s="90" t="str" cm="1">
        <f t="array" ref="G28">IFERROR(INDEX(Gdanskas!P:P,MATCH(C28,Gdanskas!C:C,0),0),"")</f>
        <v/>
      </c>
      <c r="H28" s="22" cm="1">
        <f t="array" ref="H28">IFERROR(INDEX(Trakai!R:R,MATCH(C28,Trakai!E:E,0),0),"")</f>
        <v>619</v>
      </c>
      <c r="I28" s="90" cm="1">
        <f t="array" ref="I28">IFERROR(INDEX(Jonava!Q:Q,MATCH(C28,Jonava!E:E,0),0),"")</f>
        <v>695</v>
      </c>
      <c r="J28" s="22" t="str" cm="1">
        <f t="array" ref="J28">IFERROR(INDEX(Panevezys2!R:R,MATCH(C28,Panevezys2!E:E,0),0),"")</f>
        <v/>
      </c>
      <c r="K28" s="90">
        <f>IFERROR(INDEX(Skaudvile!Q:Q,MATCH(C28,Skaudvile!E:E,0),0),"")</f>
        <v>652</v>
      </c>
      <c r="L28" s="22" t="str">
        <f>IFERROR(INDEX(Moletai!Q:Q,MATCH(C28,Moletai!E:E,0),0),"")</f>
        <v/>
      </c>
      <c r="M28" s="90"/>
      <c r="N28" s="22">
        <f t="shared" si="0"/>
        <v>3</v>
      </c>
      <c r="O28" s="108">
        <f t="shared" si="1"/>
        <v>1966</v>
      </c>
      <c r="P28" s="23">
        <f t="shared" si="2"/>
        <v>655.33333333333337</v>
      </c>
      <c r="Q28" s="167" cm="1">
        <f t="array" ref="Q28">IFERROR(SUMPRODUCT(LARGE(D28:M28,{1;2;3})),"0")</f>
        <v>1966</v>
      </c>
      <c r="R28" s="127">
        <f>IFERROR(INDEX('Bendra įskaita (2025)'!A:A,MATCH(C28,'Bendra įskaita (2025)'!B:B,0),0),"")</f>
        <v>17</v>
      </c>
      <c r="S28" s="90">
        <f>IFERROR(INDEX('Bendra įskaita (2025)'!K:K,MATCH(C28,'Bendra įskaita (2025)'!B:B,0),0),"")</f>
        <v>5</v>
      </c>
      <c r="T28" s="147" t="str">
        <f>IFERROR(INDEX('Bendra įskaita (2024)'!A:A,MATCH(C28,'Bendra įskaita (2024)'!B:B,0),0),"")</f>
        <v/>
      </c>
      <c r="U28" s="148" t="str">
        <f>IFERROR(INDEX('Bendra įskaita (2024)'!L:L,MATCH(C28,'Bendra įskaita (2024)'!B:B,0),0),"")</f>
        <v/>
      </c>
    </row>
    <row r="29" spans="1:21" ht="15.75" customHeight="1">
      <c r="A29" s="106">
        <v>26</v>
      </c>
      <c r="B29" s="162">
        <f>Table_1[[#This Row],[2025 Vieta]]-A28</f>
        <v>26</v>
      </c>
      <c r="C29" s="116" t="s">
        <v>48</v>
      </c>
      <c r="D29" s="127" t="str" cm="1">
        <f t="array" ref="D29">IFERROR(INDEX(Panevezys!P:P,MATCH(C29,Panevezys!E:E,0),0),"")</f>
        <v/>
      </c>
      <c r="E29" s="90" t="str" cm="1">
        <f t="array" ref="E29">IFERROR(INDEX(Kaisiadorys!Q:Q,MATCH(C29,Kaisiadorys!E:E,0),0),"")</f>
        <v/>
      </c>
      <c r="F29" s="93" cm="1">
        <f t="array" ref="F29">IFERROR(INDEX(Veisiejai!Q:Q,MATCH(C29,Veisiejai!E:E,0),0),"")</f>
        <v>627</v>
      </c>
      <c r="G29" s="90" cm="1">
        <f t="array" ref="G29">IFERROR(INDEX(Gdanskas!P:P,MATCH(C29,Gdanskas!C:C,0),0),"")</f>
        <v>604</v>
      </c>
      <c r="H29" s="22" cm="1">
        <f t="array" ref="H29">IFERROR(INDEX(Trakai!R:R,MATCH(C29,Trakai!E:E,0),0),"")</f>
        <v>568</v>
      </c>
      <c r="I29" s="90" t="str" cm="1">
        <f t="array" ref="I29">IFERROR(INDEX(Jonava!Q:Q,MATCH(C29,Jonava!E:E,0),0),"")</f>
        <v/>
      </c>
      <c r="J29" s="22" t="str" cm="1">
        <f t="array" ref="J29">IFERROR(INDEX(Panevezys2!R:R,MATCH(C29,Panevezys2!E:E,0),0),"")</f>
        <v/>
      </c>
      <c r="K29" s="90" t="str">
        <f>IFERROR(INDEX(Skaudvile!Q:Q,MATCH(C29,Skaudvile!E:E,0),0),"")</f>
        <v/>
      </c>
      <c r="L29" s="22" t="str">
        <f>IFERROR(INDEX(Moletai!Q:Q,MATCH(C29,Moletai!E:E,0),0),"")</f>
        <v/>
      </c>
      <c r="M29" s="90"/>
      <c r="N29" s="22">
        <f t="shared" si="0"/>
        <v>3</v>
      </c>
      <c r="O29" s="108">
        <f t="shared" si="1"/>
        <v>1799</v>
      </c>
      <c r="P29" s="23">
        <f t="shared" si="2"/>
        <v>599.66666666666663</v>
      </c>
      <c r="Q29" s="167" cm="1">
        <f t="array" ref="Q29">IFERROR(SUMPRODUCT(LARGE(D29:M29,{1;2;3})),"0")</f>
        <v>1799</v>
      </c>
      <c r="R29" s="127">
        <f>IFERROR(INDEX('Bendra įskaita (2025)'!A:A,MATCH(C29,'Bendra įskaita (2025)'!B:B,0),0),"")</f>
        <v>51</v>
      </c>
      <c r="S29" s="90">
        <f>IFERROR(INDEX('Bendra įskaita (2025)'!K:K,MATCH(C29,'Bendra įskaita (2025)'!B:B,0),0),"")</f>
        <v>0</v>
      </c>
      <c r="T29" s="147">
        <f>IFERROR(INDEX('Bendra įskaita (2024)'!A:A,MATCH(C29,'Bendra įskaita (2024)'!B:B,0),0),"")</f>
        <v>48</v>
      </c>
      <c r="U29" s="148">
        <f>IFERROR(INDEX('Bendra įskaita (2024)'!L:L,MATCH(C29,'Bendra įskaita (2024)'!B:B,0),0),"")</f>
        <v>1</v>
      </c>
    </row>
    <row r="30" spans="1:21" ht="15.75" customHeight="1">
      <c r="A30" s="106">
        <v>27</v>
      </c>
      <c r="B30" s="162">
        <f>Table_1[[#This Row],[2025 Vieta]]-A29</f>
        <v>22</v>
      </c>
      <c r="C30" s="118" t="s">
        <v>49</v>
      </c>
      <c r="D30" s="127" t="str" cm="1">
        <f t="array" ref="D30">IFERROR(INDEX(Panevezys!P:P,MATCH(C30,Panevezys!E:E,0),0),"")</f>
        <v/>
      </c>
      <c r="E30" s="90" t="str" cm="1">
        <f t="array" ref="E30">IFERROR(INDEX(Kaisiadorys!Q:Q,MATCH(C30,Kaisiadorys!E:E,0),0),"")</f>
        <v/>
      </c>
      <c r="F30" s="93" t="str" cm="1">
        <f t="array" ref="F30">IFERROR(INDEX(Veisiejai!Q:Q,MATCH(C30,Veisiejai!E:E,0),0),"")</f>
        <v/>
      </c>
      <c r="G30" s="90" t="str" cm="1">
        <f t="array" ref="G30">IFERROR(INDEX(Gdanskas!P:P,MATCH(C30,Gdanskas!C:C,0),0),"")</f>
        <v/>
      </c>
      <c r="H30" s="22" t="str" cm="1">
        <f t="array" ref="H30">IFERROR(INDEX(Trakai!R:R,MATCH(C30,Trakai!E:E,0),0),"")</f>
        <v/>
      </c>
      <c r="I30" s="90" t="str" cm="1">
        <f t="array" ref="I30">IFERROR(INDEX(Jonava!Q:Q,MATCH(C30,Jonava!E:E,0),0),"")</f>
        <v/>
      </c>
      <c r="J30" s="22" t="str" cm="1">
        <f t="array" ref="J30">IFERROR(INDEX(Panevezys2!R:R,MATCH(C30,Panevezys2!E:E,0),0),"")</f>
        <v/>
      </c>
      <c r="K30" s="90">
        <f>IFERROR(INDEX(Skaudvile!Q:Q,MATCH(C30,Skaudvile!E:E,0),0),"")</f>
        <v>788</v>
      </c>
      <c r="L30" s="22" t="str">
        <f>IFERROR(INDEX(Moletai!Q:Q,MATCH(C30,Moletai!E:E,0),0),"")</f>
        <v/>
      </c>
      <c r="M30" s="90"/>
      <c r="N30" s="22">
        <f>COUNTIF(D30:M30,"&gt;0")</f>
        <v>1</v>
      </c>
      <c r="O30" s="108">
        <f>SUM(D30:M30)</f>
        <v>788</v>
      </c>
      <c r="P30" s="23">
        <f>O30/N30</f>
        <v>788</v>
      </c>
      <c r="Q30" s="128" t="str" cm="1">
        <f t="array" ref="Q30">IFERROR(SUMPRODUCT(LARGE(D30:M30,{1;2;3})),"0")</f>
        <v>0</v>
      </c>
      <c r="R30" s="127">
        <f>IFERROR(INDEX('Bendra įskaita (2025)'!A:A,MATCH(C30,'Bendra įskaita (2025)'!B:B,0),0),"")</f>
        <v>48</v>
      </c>
      <c r="S30" s="90">
        <f>IFERROR(INDEX('Bendra įskaita (2025)'!K:K,MATCH(C30,'Bendra įskaita (2025)'!B:B,0),0),"")</f>
        <v>1</v>
      </c>
      <c r="T30" s="149">
        <f>IFERROR(INDEX('Bendra įskaita (2024)'!A:A,MATCH(C30,'Bendra įskaita (2024)'!B:B,0),0),"")</f>
        <v>58</v>
      </c>
      <c r="U30" s="150">
        <f>IFERROR(INDEX('Bendra įskaita (2024)'!L:L,MATCH(C30,'Bendra įskaita (2024)'!B:B,0),0),"")</f>
        <v>0</v>
      </c>
    </row>
    <row r="31" spans="1:21" ht="15.75" customHeight="1">
      <c r="A31" s="106">
        <v>28</v>
      </c>
      <c r="B31" s="162">
        <f>Table_1[[#This Row],[2025 Vieta]]-A30</f>
        <v>22</v>
      </c>
      <c r="C31" s="114" t="s">
        <v>50</v>
      </c>
      <c r="D31" s="127" t="str" cm="1">
        <f t="array" ref="D31">IFERROR(INDEX(Panevezys!P:P,MATCH(C31,Panevezys!E:E,0),0),"")</f>
        <v/>
      </c>
      <c r="E31" s="90" t="str" cm="1">
        <f t="array" ref="E31">IFERROR(INDEX(Kaisiadorys!Q:Q,MATCH(C31,Kaisiadorys!E:E,0),0),"")</f>
        <v/>
      </c>
      <c r="F31" s="93" t="str" cm="1">
        <f t="array" ref="F31">IFERROR(INDEX(Veisiejai!Q:Q,MATCH(C31,Veisiejai!E:E,0),0),"")</f>
        <v/>
      </c>
      <c r="G31" s="90" t="str" cm="1">
        <f t="array" ref="G31">IFERROR(INDEX(Gdanskas!P:P,MATCH(C31,Gdanskas!C:C,0),0),"")</f>
        <v/>
      </c>
      <c r="H31" s="22" t="str" cm="1">
        <f t="array" ref="H31">IFERROR(INDEX(Trakai!R:R,MATCH(C31,Trakai!E:E,0),0),"")</f>
        <v/>
      </c>
      <c r="I31" s="90" t="str" cm="1">
        <f t="array" ref="I31">IFERROR(INDEX(Jonava!Q:Q,MATCH(C31,Jonava!E:E,0),0),"")</f>
        <v/>
      </c>
      <c r="J31" s="22" t="str" cm="1">
        <f t="array" ref="J31">IFERROR(INDEX(Panevezys2!R:R,MATCH(C31,Panevezys2!E:E,0),0),"")</f>
        <v/>
      </c>
      <c r="K31" s="90" t="str">
        <f>IFERROR(INDEX(Skaudvile!Q:Q,MATCH(C31,Skaudvile!E:E,0),0),"")</f>
        <v/>
      </c>
      <c r="L31" s="22" t="str">
        <f>IFERROR(INDEX(Moletai!Q:Q,MATCH(C31,Moletai!E:E,0),0),"")</f>
        <v/>
      </c>
      <c r="M31" s="90"/>
      <c r="N31" s="22">
        <v>5</v>
      </c>
      <c r="O31" s="108">
        <f>SUM(D31:M31)</f>
        <v>0</v>
      </c>
      <c r="P31" s="23">
        <v>0</v>
      </c>
      <c r="Q31" s="128" t="str" cm="1">
        <f t="array" ref="Q31">IFERROR(SUMPRODUCT(LARGE(D31:M31,{1;2;3})),"0")</f>
        <v>0</v>
      </c>
      <c r="R31" s="127">
        <f>IFERROR(INDEX('Bendra įskaita (2025)'!A:A,MATCH(C31,'Bendra įskaita (2025)'!B:B,0),0),"")</f>
        <v>49</v>
      </c>
      <c r="S31" s="90">
        <f>IFERROR(INDEX('Bendra įskaita (2025)'!K:K,MATCH(C31,'Bendra įskaita (2025)'!B:B,0),0),"")</f>
        <v>2</v>
      </c>
      <c r="T31" s="147">
        <f>IFERROR(INDEX('Bendra įskaita (2024)'!A:A,MATCH(C31,'Bendra įskaita (2024)'!B:B,0),0),"")</f>
        <v>62</v>
      </c>
      <c r="U31" s="148">
        <f>IFERROR(INDEX('Bendra įskaita (2024)'!L:L,MATCH(C31,'Bendra įskaita (2024)'!B:B,0),0),"")</f>
        <v>0</v>
      </c>
    </row>
    <row r="32" spans="1:21" ht="15.75" customHeight="1">
      <c r="A32" s="106">
        <v>29</v>
      </c>
      <c r="B32" s="162">
        <f>Table_1[[#This Row],[2025 Vieta]]-A31</f>
        <v>0</v>
      </c>
      <c r="C32" s="117" t="s">
        <v>51</v>
      </c>
      <c r="D32" s="127" t="str" cm="1">
        <f t="array" ref="D32">IFERROR(INDEX(Panevezys!P:P,MATCH(C32,Panevezys!E:E,0),0),"")</f>
        <v/>
      </c>
      <c r="E32" s="90" t="str" cm="1">
        <f t="array" ref="E32">IFERROR(INDEX(Kaisiadorys!Q:Q,MATCH(C32,Kaisiadorys!E:E,0),0),"")</f>
        <v/>
      </c>
      <c r="F32" s="93" t="str" cm="1">
        <f t="array" ref="F32">IFERROR(INDEX(Veisiejai!Q:Q,MATCH(C32,Veisiejai!E:E,0),0),"")</f>
        <v/>
      </c>
      <c r="G32" s="90" cm="1">
        <f t="array" ref="G32">IFERROR(INDEX(Gdanskas!P:P,MATCH(C32,Gdanskas!C:C,0),0),"")</f>
        <v>905</v>
      </c>
      <c r="H32" s="22" t="str" cm="1">
        <f t="array" ref="H32">IFERROR(INDEX(Trakai!R:R,MATCH(C32,Trakai!E:E,0),0),"")</f>
        <v/>
      </c>
      <c r="I32" s="90" t="str" cm="1">
        <f t="array" ref="I32">IFERROR(INDEX(Jonava!Q:Q,MATCH(C32,Jonava!E:E,0),0),"")</f>
        <v/>
      </c>
      <c r="J32" s="22" t="str" cm="1">
        <f t="array" ref="J32">IFERROR(INDEX(Panevezys2!R:R,MATCH(C32,Panevezys2!E:E,0),0),"")</f>
        <v/>
      </c>
      <c r="K32" s="90" t="str">
        <f>IFERROR(INDEX(Skaudvile!Q:Q,MATCH(C32,Skaudvile!E:E,0),0),"")</f>
        <v/>
      </c>
      <c r="L32" s="22" t="str">
        <f>IFERROR(INDEX(Moletai!Q:Q,MATCH(C32,Moletai!E:E,0),0),"")</f>
        <v/>
      </c>
      <c r="M32" s="90"/>
      <c r="N32" s="22">
        <f t="shared" si="0"/>
        <v>1</v>
      </c>
      <c r="O32" s="108">
        <f t="shared" si="1"/>
        <v>905</v>
      </c>
      <c r="P32" s="23">
        <f t="shared" si="2"/>
        <v>905</v>
      </c>
      <c r="Q32" s="128" t="str" cm="1">
        <f t="array" ref="Q32">IFERROR(SUMPRODUCT(LARGE(D32:M32,{1;2;3})),"0")</f>
        <v>0</v>
      </c>
      <c r="R32" s="127">
        <f>IFERROR(INDEX('Bendra įskaita (2025)'!A:A,MATCH(C32,'Bendra įskaita (2025)'!B:B,0),0),"")</f>
        <v>28</v>
      </c>
      <c r="S32" s="90">
        <f>IFERROR(INDEX('Bendra įskaita (2025)'!K:K,MATCH(C32,'Bendra įskaita (2025)'!B:B,0),0),"")</f>
        <v>1</v>
      </c>
      <c r="T32" s="149">
        <f>IFERROR(INDEX('Bendra įskaita (2024)'!A:A,MATCH(C32,'Bendra įskaita (2024)'!B:B,0),0),"")</f>
        <v>6</v>
      </c>
      <c r="U32" s="150">
        <f>IFERROR(INDEX('Bendra įskaita (2024)'!L:L,MATCH(C32,'Bendra įskaita (2024)'!B:B,0),0),"")</f>
        <v>3</v>
      </c>
    </row>
    <row r="33" spans="1:21" ht="15.75" customHeight="1">
      <c r="A33" s="106">
        <v>30</v>
      </c>
      <c r="B33" s="162">
        <f>Table_1[[#This Row],[2025 Vieta]]-A32</f>
        <v>22</v>
      </c>
      <c r="C33" s="118" t="s">
        <v>52</v>
      </c>
      <c r="D33" s="127" t="str" cm="1">
        <f t="array" ref="D33">IFERROR(INDEX(Panevezys!P:P,MATCH(C33,Panevezys!E:E,0),0),"")</f>
        <v/>
      </c>
      <c r="E33" s="90" cm="1">
        <f t="array" ref="E33">IFERROR(INDEX(Kaisiadorys!Q:Q,MATCH(C33,Kaisiadorys!E:E,0),0),"")</f>
        <v>886</v>
      </c>
      <c r="F33" s="93" t="str" cm="1">
        <f t="array" ref="F33">IFERROR(INDEX(Veisiejai!Q:Q,MATCH(C33,Veisiejai!E:E,0),0),"")</f>
        <v/>
      </c>
      <c r="G33" s="90" t="str" cm="1">
        <f t="array" ref="G33">IFERROR(INDEX(Gdanskas!P:P,MATCH(C33,Gdanskas!C:C,0),0),"")</f>
        <v/>
      </c>
      <c r="H33" s="22" t="str" cm="1">
        <f t="array" ref="H33">IFERROR(INDEX(Trakai!R:R,MATCH(C33,Trakai!E:E,0),0),"")</f>
        <v/>
      </c>
      <c r="I33" s="90" t="str" cm="1">
        <f t="array" ref="I33">IFERROR(INDEX(Jonava!Q:Q,MATCH(C33,Jonava!E:E,0),0),"")</f>
        <v/>
      </c>
      <c r="J33" s="22" t="str" cm="1">
        <f t="array" ref="J33">IFERROR(INDEX(Panevezys2!R:R,MATCH(C33,Panevezys2!E:E,0),0),"")</f>
        <v/>
      </c>
      <c r="K33" s="90" t="str">
        <f>IFERROR(INDEX(Skaudvile!Q:Q,MATCH(C33,Skaudvile!E:E,0),0),"")</f>
        <v/>
      </c>
      <c r="L33" s="22" t="str">
        <f>IFERROR(INDEX(Moletai!Q:Q,MATCH(C33,Moletai!E:E,0),0),"")</f>
        <v/>
      </c>
      <c r="M33" s="90"/>
      <c r="N33" s="22">
        <f t="shared" si="0"/>
        <v>1</v>
      </c>
      <c r="O33" s="108">
        <f t="shared" si="1"/>
        <v>886</v>
      </c>
      <c r="P33" s="23">
        <f t="shared" si="2"/>
        <v>886</v>
      </c>
      <c r="Q33" s="128" t="str" cm="1">
        <f t="array" ref="Q33">IFERROR(SUMPRODUCT(LARGE(D33:M33,{1;2;3})),"0")</f>
        <v>0</v>
      </c>
      <c r="R33" s="127">
        <f>IFERROR(INDEX('Bendra įskaita (2025)'!A:A,MATCH(C33,'Bendra įskaita (2025)'!B:B,0),0),"")</f>
        <v>51</v>
      </c>
      <c r="S33" s="90">
        <f>IFERROR(INDEX('Bendra įskaita (2025)'!K:K,MATCH(C33,'Bendra įskaita (2025)'!B:B,0),0),"")</f>
        <v>0</v>
      </c>
      <c r="T33" s="149">
        <f>IFERROR(INDEX('Bendra įskaita (2024)'!A:A,MATCH(C33,'Bendra įskaita (2024)'!B:B,0),0),"")</f>
        <v>30</v>
      </c>
      <c r="U33" s="150">
        <f>IFERROR(INDEX('Bendra įskaita (2024)'!L:L,MATCH(C33,'Bendra įskaita (2024)'!B:B,0),0),"")</f>
        <v>1</v>
      </c>
    </row>
    <row r="34" spans="1:21" ht="15.75" customHeight="1">
      <c r="A34" s="106">
        <v>31</v>
      </c>
      <c r="B34" s="161">
        <f>Table_1[[#This Row],[2025 Vieta]]-A33</f>
        <v>-23</v>
      </c>
      <c r="C34" s="118" t="s">
        <v>53</v>
      </c>
      <c r="D34" s="127" cm="1">
        <f t="array" ref="D34">IFERROR(INDEX(Panevezys!P:P,MATCH(C34,Panevezys!E:E,0),0),"")</f>
        <v>818</v>
      </c>
      <c r="E34" s="90" t="str" cm="1">
        <f t="array" ref="E34">IFERROR(INDEX(Kaisiadorys!Q:Q,MATCH(C34,Kaisiadorys!E:E,0),0),"")</f>
        <v/>
      </c>
      <c r="F34" s="93" t="str" cm="1">
        <f t="array" ref="F34">IFERROR(INDEX(Veisiejai!Q:Q,MATCH(C34,Veisiejai!E:E,0),0),"")</f>
        <v/>
      </c>
      <c r="G34" s="90" cm="1">
        <f t="array" ref="G34">IFERROR(INDEX(Gdanskas!P:P,MATCH(C34,Gdanskas!C:C,0),0),"")</f>
        <v>952</v>
      </c>
      <c r="H34" s="22" t="str" cm="1">
        <f t="array" ref="H34">IFERROR(INDEX(Trakai!R:R,MATCH(C34,Trakai!E:E,0),0),"")</f>
        <v/>
      </c>
      <c r="I34" s="90" t="str" cm="1">
        <f t="array" ref="I34">IFERROR(INDEX(Jonava!Q:Q,MATCH(C34,Jonava!E:E,0),0),"")</f>
        <v/>
      </c>
      <c r="J34" s="22" t="str" cm="1">
        <f t="array" ref="J34">IFERROR(INDEX(Panevezys2!R:R,MATCH(C34,Panevezys2!E:E,0),0),"")</f>
        <v/>
      </c>
      <c r="K34" s="90" t="str">
        <f>IFERROR(INDEX(Skaudvile!Q:Q,MATCH(C34,Skaudvile!E:E,0),0),"")</f>
        <v/>
      </c>
      <c r="L34" s="22" t="str">
        <f>IFERROR(INDEX(Moletai!Q:Q,MATCH(C34,Moletai!E:E,0),0),"")</f>
        <v/>
      </c>
      <c r="M34" s="90"/>
      <c r="N34" s="22">
        <f t="shared" si="0"/>
        <v>2</v>
      </c>
      <c r="O34" s="108">
        <f t="shared" si="1"/>
        <v>1770</v>
      </c>
      <c r="P34" s="23">
        <f t="shared" si="2"/>
        <v>885</v>
      </c>
      <c r="Q34" s="128" t="str" cm="1">
        <f t="array" ref="Q34">IFERROR(SUMPRODUCT(LARGE(D34:M34,{1;2;3})),"0")</f>
        <v>0</v>
      </c>
      <c r="R34" s="127">
        <f>IFERROR(INDEX('Bendra įskaita (2025)'!A:A,MATCH(C34,'Bendra įskaita (2025)'!B:B,0),0),"")</f>
        <v>7</v>
      </c>
      <c r="S34" s="90">
        <f>IFERROR(INDEX('Bendra įskaita (2025)'!K:K,MATCH(C34,'Bendra įskaita (2025)'!B:B,0),0),"")</f>
        <v>3</v>
      </c>
      <c r="T34" s="149">
        <f>IFERROR(INDEX('Bendra įskaita (2024)'!A:A,MATCH(C34,'Bendra įskaita (2024)'!B:B,0),0),"")</f>
        <v>11</v>
      </c>
      <c r="U34" s="150">
        <f>IFERROR(INDEX('Bendra įskaita (2024)'!L:L,MATCH(C34,'Bendra įskaita (2024)'!B:B,0),0),"")</f>
        <v>3</v>
      </c>
    </row>
    <row r="35" spans="1:21" ht="15.75" customHeight="1">
      <c r="A35" s="106">
        <v>32</v>
      </c>
      <c r="B35" s="161">
        <f>Table_1[[#This Row],[2025 Vieta]]-A34</f>
        <v>-6</v>
      </c>
      <c r="C35" s="118" t="s">
        <v>54</v>
      </c>
      <c r="D35" s="127" t="str" cm="1">
        <f t="array" ref="D35">IFERROR(INDEX(Panevezys!P:P,MATCH(C35,Panevezys!E:E,0),0),"")</f>
        <v/>
      </c>
      <c r="E35" s="90" t="str" cm="1">
        <f t="array" ref="E35">IFERROR(INDEX(Kaisiadorys!Q:Q,MATCH(C35,Kaisiadorys!E:E,0),0),"")</f>
        <v/>
      </c>
      <c r="F35" s="93" t="str" cm="1">
        <f t="array" ref="F35">IFERROR(INDEX(Veisiejai!Q:Q,MATCH(C35,Veisiejai!E:E,0),0),"")</f>
        <v/>
      </c>
      <c r="G35" s="90" t="str" cm="1">
        <f t="array" ref="G35">IFERROR(INDEX(Gdanskas!P:P,MATCH(C35,Gdanskas!C:C,0),0),"")</f>
        <v/>
      </c>
      <c r="H35" s="22" t="str" cm="1">
        <f t="array" ref="H35">IFERROR(INDEX(Trakai!R:R,MATCH(C35,Trakai!E:E,0),0),"")</f>
        <v/>
      </c>
      <c r="I35" s="90" t="str" cm="1">
        <f t="array" ref="I35">IFERROR(INDEX(Jonava!Q:Q,MATCH(C35,Jonava!E:E,0),0),"")</f>
        <v/>
      </c>
      <c r="J35" s="22" t="str" cm="1">
        <f t="array" ref="J35">IFERROR(INDEX(Panevezys2!R:R,MATCH(C35,Panevezys2!E:E,0),0),"")</f>
        <v/>
      </c>
      <c r="K35" s="90" t="str">
        <f>IFERROR(INDEX(Skaudvile!Q:Q,MATCH(C35,Skaudvile!E:E,0),0),"")</f>
        <v/>
      </c>
      <c r="L35" s="22">
        <f>IFERROR(INDEX(Moletai!Q:Q,MATCH(C35,Moletai!E:E,0),0),"")</f>
        <v>863</v>
      </c>
      <c r="M35" s="90"/>
      <c r="N35" s="22">
        <f t="shared" si="0"/>
        <v>1</v>
      </c>
      <c r="O35" s="108">
        <f t="shared" si="1"/>
        <v>863</v>
      </c>
      <c r="P35" s="23">
        <f t="shared" si="2"/>
        <v>863</v>
      </c>
      <c r="Q35" s="128" t="str" cm="1">
        <f t="array" ref="Q35">IFERROR(SUMPRODUCT(LARGE(D35:M35,{1;2;3})),"0")</f>
        <v>0</v>
      </c>
      <c r="R35" s="127">
        <f>IFERROR(INDEX('Bendra įskaita (2025)'!A:A,MATCH(C35,'Bendra įskaita (2025)'!B:B,0),0),"")</f>
        <v>25</v>
      </c>
      <c r="S35" s="90">
        <f>IFERROR(INDEX('Bendra įskaita (2025)'!K:K,MATCH(C35,'Bendra įskaita (2025)'!B:B,0),0),"")</f>
        <v>1</v>
      </c>
      <c r="T35" s="149">
        <f>IFERROR(INDEX('Bendra įskaita (2024)'!A:A,MATCH(C35,'Bendra įskaita (2024)'!B:B,0),0),"")</f>
        <v>3</v>
      </c>
      <c r="U35" s="150">
        <f>IFERROR(INDEX('Bendra įskaita (2024)'!L:L,MATCH(C35,'Bendra įskaita (2024)'!B:B,0),0),"")</f>
        <v>3</v>
      </c>
    </row>
    <row r="36" spans="1:21" ht="15.75" customHeight="1">
      <c r="A36" s="106">
        <v>33</v>
      </c>
      <c r="B36" s="161">
        <f>Table_1[[#This Row],[2025 Vieta]]-A35</f>
        <v>-26</v>
      </c>
      <c r="C36" s="118" t="s">
        <v>55</v>
      </c>
      <c r="D36" s="127" t="str" cm="1">
        <f t="array" ref="D36">IFERROR(INDEX(Panevezys!P:P,MATCH(C36,Panevezys!E:E,0),0),"")</f>
        <v/>
      </c>
      <c r="E36" s="90" cm="1">
        <f t="array" ref="E36">IFERROR(INDEX(Kaisiadorys!Q:Q,MATCH(C36,Kaisiadorys!E:E,0),0),"")</f>
        <v>808</v>
      </c>
      <c r="F36" s="93" t="str" cm="1">
        <f t="array" ref="F36">IFERROR(INDEX(Veisiejai!Q:Q,MATCH(C36,Veisiejai!E:E,0),0),"")</f>
        <v/>
      </c>
      <c r="G36" s="90" t="str" cm="1">
        <f t="array" ref="G36">IFERROR(INDEX(Gdanskas!P:P,MATCH(C36,Gdanskas!C:C,0),0),"")</f>
        <v/>
      </c>
      <c r="H36" s="22" cm="1">
        <f t="array" ref="H36">IFERROR(INDEX(Trakai!R:R,MATCH(C36,Trakai!E:E,0),0),"")</f>
        <v>879</v>
      </c>
      <c r="I36" s="90" t="str" cm="1">
        <f t="array" ref="I36">IFERROR(INDEX(Jonava!Q:Q,MATCH(C36,Jonava!E:E,0),0),"")</f>
        <v/>
      </c>
      <c r="J36" s="22" t="str" cm="1">
        <f t="array" ref="J36">IFERROR(INDEX(Panevezys2!R:R,MATCH(C36,Panevezys2!E:E,0),0),"")</f>
        <v/>
      </c>
      <c r="K36" s="90" t="str">
        <f>IFERROR(INDEX(Skaudvile!Q:Q,MATCH(C36,Skaudvile!E:E,0),0),"")</f>
        <v/>
      </c>
      <c r="L36" s="22" t="str">
        <f>IFERROR(INDEX(Moletai!Q:Q,MATCH(C36,Moletai!E:E,0),0),"")</f>
        <v/>
      </c>
      <c r="M36" s="90"/>
      <c r="N36" s="22">
        <f t="shared" si="0"/>
        <v>2</v>
      </c>
      <c r="O36" s="108">
        <f t="shared" si="1"/>
        <v>1687</v>
      </c>
      <c r="P36" s="23">
        <f t="shared" si="2"/>
        <v>843.5</v>
      </c>
      <c r="Q36" s="128" t="str" cm="1">
        <f t="array" ref="Q36">IFERROR(SUMPRODUCT(LARGE(D36:M36,{1;2;3})),"0")</f>
        <v>0</v>
      </c>
      <c r="R36" s="127">
        <f>IFERROR(INDEX('Bendra įskaita (2025)'!A:A,MATCH(C36,'Bendra įskaita (2025)'!B:B,0),0),"")</f>
        <v>6</v>
      </c>
      <c r="S36" s="90">
        <f>IFERROR(INDEX('Bendra įskaita (2025)'!K:K,MATCH(C36,'Bendra įskaita (2025)'!B:B,0),0),"")</f>
        <v>3</v>
      </c>
      <c r="T36" s="149">
        <f>IFERROR(INDEX('Bendra įskaita (2024)'!A:A,MATCH(C36,'Bendra įskaita (2024)'!B:B,0),0),"")</f>
        <v>9</v>
      </c>
      <c r="U36" s="150">
        <f>IFERROR(INDEX('Bendra įskaita (2024)'!L:L,MATCH(C36,'Bendra įskaita (2024)'!B:B,0),0),"")</f>
        <v>5</v>
      </c>
    </row>
    <row r="37" spans="1:21" ht="15.75" customHeight="1">
      <c r="A37" s="106">
        <v>34</v>
      </c>
      <c r="B37" s="162">
        <f>Table_1[[#This Row],[2025 Vieta]]-A36</f>
        <v>18</v>
      </c>
      <c r="C37" s="118" t="s">
        <v>56</v>
      </c>
      <c r="D37" s="127" t="str" cm="1">
        <f t="array" ref="D37">IFERROR(INDEX(Panevezys!P:P,MATCH(C37,Panevezys!E:E,0),0),"")</f>
        <v/>
      </c>
      <c r="E37" s="90" t="str" cm="1">
        <f t="array" ref="E37">IFERROR(INDEX(Kaisiadorys!Q:Q,MATCH(C37,Kaisiadorys!E:E,0),0),"")</f>
        <v/>
      </c>
      <c r="F37" s="93" t="str" cm="1">
        <f t="array" ref="F37">IFERROR(INDEX(Veisiejai!Q:Q,MATCH(C37,Veisiejai!E:E,0),0),"")</f>
        <v/>
      </c>
      <c r="G37" s="90" cm="1">
        <f t="array" ref="G37">IFERROR(INDEX(Gdanskas!P:P,MATCH(C37,Gdanskas!C:C,0),0),"")</f>
        <v>790</v>
      </c>
      <c r="H37" s="22" t="str" cm="1">
        <f t="array" ref="H37">IFERROR(INDEX(Trakai!R:R,MATCH(C37,Trakai!E:E,0),0),"")</f>
        <v/>
      </c>
      <c r="I37" s="90" t="str" cm="1">
        <f t="array" ref="I37">IFERROR(INDEX(Jonava!Q:Q,MATCH(C37,Jonava!E:E,0),0),"")</f>
        <v/>
      </c>
      <c r="J37" s="22" t="str" cm="1">
        <f t="array" ref="J37">IFERROR(INDEX(Panevezys2!R:R,MATCH(C37,Panevezys2!E:E,0),0),"")</f>
        <v/>
      </c>
      <c r="K37" s="90" t="str">
        <f>IFERROR(INDEX(Skaudvile!Q:Q,MATCH(C37,Skaudvile!E:E,0),0),"")</f>
        <v/>
      </c>
      <c r="L37" s="22" t="str">
        <f>IFERROR(INDEX(Moletai!Q:Q,MATCH(C37,Moletai!E:E,0),0),"")</f>
        <v/>
      </c>
      <c r="M37" s="90"/>
      <c r="N37" s="22">
        <f t="shared" si="0"/>
        <v>1</v>
      </c>
      <c r="O37" s="108">
        <f t="shared" si="1"/>
        <v>790</v>
      </c>
      <c r="P37" s="23">
        <f t="shared" si="2"/>
        <v>790</v>
      </c>
      <c r="Q37" s="128" t="str" cm="1">
        <f t="array" ref="Q37">IFERROR(SUMPRODUCT(LARGE(D37:M37,{1;2;3})),"0")</f>
        <v>0</v>
      </c>
      <c r="R37" s="127">
        <f>IFERROR(INDEX('Bendra įskaita (2025)'!A:A,MATCH(C37,'Bendra įskaita (2025)'!B:B,0),0),"")</f>
        <v>51</v>
      </c>
      <c r="S37" s="90">
        <f>IFERROR(INDEX('Bendra įskaita (2025)'!K:K,MATCH(C37,'Bendra įskaita (2025)'!B:B,0),0),"")</f>
        <v>0</v>
      </c>
      <c r="T37" s="149">
        <f>IFERROR(INDEX('Bendra įskaita (2024)'!A:A,MATCH(C37,'Bendra įskaita (2024)'!B:B,0),0),"")</f>
        <v>38</v>
      </c>
      <c r="U37" s="150">
        <f>IFERROR(INDEX('Bendra įskaita (2024)'!L:L,MATCH(C37,'Bendra įskaita (2024)'!B:B,0),0),"")</f>
        <v>1</v>
      </c>
    </row>
    <row r="38" spans="1:21" ht="15.75" customHeight="1">
      <c r="A38" s="106">
        <v>35</v>
      </c>
      <c r="B38" s="161">
        <f>Table_1[[#This Row],[2025 Vieta]]-A37</f>
        <v>-3</v>
      </c>
      <c r="C38" s="118" t="s">
        <v>57</v>
      </c>
      <c r="D38" s="127" t="str" cm="1">
        <f t="array" ref="D38">IFERROR(INDEX(Panevezys!P:P,MATCH(C38,Panevezys!E:E,0),0),"")</f>
        <v/>
      </c>
      <c r="E38" s="90" t="str" cm="1">
        <f t="array" ref="E38">IFERROR(INDEX(Kaisiadorys!Q:Q,MATCH(C38,Kaisiadorys!E:E,0),0),"")</f>
        <v/>
      </c>
      <c r="F38" s="93" t="str" cm="1">
        <f t="array" ref="F38">IFERROR(INDEX(Veisiejai!Q:Q,MATCH(C38,Veisiejai!E:E,0),0),"")</f>
        <v/>
      </c>
      <c r="G38" s="90" t="str" cm="1">
        <f t="array" ref="G38">IFERROR(INDEX(Gdanskas!P:P,MATCH(C38,Gdanskas!C:C,0),0),"")</f>
        <v/>
      </c>
      <c r="H38" s="22" cm="1">
        <f t="array" ref="H38">IFERROR(INDEX(Trakai!R:R,MATCH(C38,Trakai!E:E,0),0),"")</f>
        <v>789</v>
      </c>
      <c r="I38" s="90" t="str" cm="1">
        <f t="array" ref="I38">IFERROR(INDEX(Jonava!Q:Q,MATCH(C38,Jonava!E:E,0),0),"")</f>
        <v/>
      </c>
      <c r="J38" s="22" t="str" cm="1">
        <f t="array" ref="J38">IFERROR(INDEX(Panevezys2!R:R,MATCH(C38,Panevezys2!E:E,0),0),"")</f>
        <v/>
      </c>
      <c r="K38" s="90" t="str">
        <f>IFERROR(INDEX(Skaudvile!Q:Q,MATCH(C38,Skaudvile!E:E,0),0),"")</f>
        <v/>
      </c>
      <c r="L38" s="22" t="str">
        <f>IFERROR(INDEX(Moletai!Q:Q,MATCH(C38,Moletai!E:E,0),0),"")</f>
        <v/>
      </c>
      <c r="M38" s="90"/>
      <c r="N38" s="22">
        <f t="shared" si="0"/>
        <v>1</v>
      </c>
      <c r="O38" s="108">
        <f t="shared" si="1"/>
        <v>789</v>
      </c>
      <c r="P38" s="23">
        <f t="shared" si="2"/>
        <v>789</v>
      </c>
      <c r="Q38" s="128" t="str" cm="1">
        <f t="array" ref="Q38">IFERROR(SUMPRODUCT(LARGE(D38:M38,{1;2;3})),"0")</f>
        <v>0</v>
      </c>
      <c r="R38" s="127">
        <f>IFERROR(INDEX('Bendra įskaita (2025)'!A:A,MATCH(C38,'Bendra įskaita (2025)'!B:B,0),0),"")</f>
        <v>31</v>
      </c>
      <c r="S38" s="90">
        <f>IFERROR(INDEX('Bendra įskaita (2025)'!K:K,MATCH(C38,'Bendra įskaita (2025)'!B:B,0),0),"")</f>
        <v>2</v>
      </c>
      <c r="T38" s="149">
        <f>IFERROR(INDEX('Bendra įskaita (2024)'!A:A,MATCH(C38,'Bendra įskaita (2024)'!B:B,0),0),"")</f>
        <v>4</v>
      </c>
      <c r="U38" s="150">
        <f>IFERROR(INDEX('Bendra įskaita (2024)'!L:L,MATCH(C38,'Bendra įskaita (2024)'!B:B,0),0),"")</f>
        <v>4</v>
      </c>
    </row>
    <row r="39" spans="1:21" ht="15.75" customHeight="1">
      <c r="A39" s="106">
        <v>36</v>
      </c>
      <c r="B39" s="162">
        <f>Table_1[[#This Row],[2025 Vieta]]-A38</f>
        <v>1</v>
      </c>
      <c r="C39" s="118" t="s">
        <v>58</v>
      </c>
      <c r="D39" s="127" t="str" cm="1">
        <f t="array" ref="D39">IFERROR(INDEX(Panevezys!P:P,MATCH(C39,Panevezys!E:E,0),0),"")</f>
        <v/>
      </c>
      <c r="E39" s="90" t="str" cm="1">
        <f t="array" ref="E39">IFERROR(INDEX(Kaisiadorys!Q:Q,MATCH(C39,Kaisiadorys!E:E,0),0),"")</f>
        <v/>
      </c>
      <c r="F39" s="93" t="str" cm="1">
        <f t="array" ref="F39">IFERROR(INDEX(Veisiejai!Q:Q,MATCH(C39,Veisiejai!E:E,0),0),"")</f>
        <v/>
      </c>
      <c r="G39" s="90" t="str" cm="1">
        <f t="array" ref="G39">IFERROR(INDEX(Gdanskas!P:P,MATCH(C39,Gdanskas!C:C,0),0),"")</f>
        <v/>
      </c>
      <c r="H39" s="22" cm="1">
        <f t="array" ref="H39">IFERROR(INDEX(Trakai!R:R,MATCH(C39,Trakai!E:E,0),0),"")</f>
        <v>781</v>
      </c>
      <c r="I39" s="90" t="str" cm="1">
        <f t="array" ref="I39">IFERROR(INDEX(Jonava!Q:Q,MATCH(C39,Jonava!E:E,0),0),"")</f>
        <v/>
      </c>
      <c r="J39" s="22" t="str" cm="1">
        <f t="array" ref="J39">IFERROR(INDEX(Panevezys2!R:R,MATCH(C39,Panevezys2!E:E,0),0),"")</f>
        <v/>
      </c>
      <c r="K39" s="90" t="str">
        <f>IFERROR(INDEX(Skaudvile!Q:Q,MATCH(C39,Skaudvile!E:E,0),0),"")</f>
        <v/>
      </c>
      <c r="L39" s="22" t="str">
        <f>IFERROR(INDEX(Moletai!Q:Q,MATCH(C39,Moletai!E:E,0),0),"")</f>
        <v/>
      </c>
      <c r="M39" s="90"/>
      <c r="N39" s="22">
        <f t="shared" si="0"/>
        <v>1</v>
      </c>
      <c r="O39" s="108">
        <f t="shared" ref="O39" si="3">SUM(D39:M39)</f>
        <v>781</v>
      </c>
      <c r="P39" s="23">
        <f t="shared" ref="P39" si="4">O39/N39</f>
        <v>781</v>
      </c>
      <c r="Q39" s="128" t="str" cm="1">
        <f t="array" ref="Q39">IFERROR(SUMPRODUCT(LARGE(D39:M39,{1;2;3})),"0")</f>
        <v>0</v>
      </c>
      <c r="R39" s="127">
        <f>IFERROR(INDEX('Bendra įskaita (2025)'!A:A,MATCH(C39,'Bendra įskaita (2025)'!B:B,0),0),"")</f>
        <v>36</v>
      </c>
      <c r="S39" s="90">
        <f>IFERROR(INDEX('Bendra įskaita (2025)'!K:K,MATCH(C39,'Bendra įskaita (2025)'!B:B,0),0),"")</f>
        <v>1</v>
      </c>
      <c r="T39" s="149">
        <f>IFERROR(INDEX('Bendra įskaita (2024)'!A:A,MATCH(C39,'Bendra įskaita (2024)'!B:B,0),0),"")</f>
        <v>56</v>
      </c>
      <c r="U39" s="150">
        <f>IFERROR(INDEX('Bendra įskaita (2024)'!L:L,MATCH(C39,'Bendra įskaita (2024)'!B:B,0),0),"")</f>
        <v>0</v>
      </c>
    </row>
    <row r="40" spans="1:21" ht="15.75" customHeight="1">
      <c r="A40" s="106">
        <v>37</v>
      </c>
      <c r="B40" s="163" t="s">
        <v>23</v>
      </c>
      <c r="C40" s="119" t="s">
        <v>59</v>
      </c>
      <c r="D40" s="129" t="str" cm="1">
        <f t="array" ref="D40">IFERROR(INDEX(Panevezys!P:P,MATCH(C40,Panevezys!E:E,0),0),"")</f>
        <v/>
      </c>
      <c r="E40" s="99" t="str" cm="1">
        <f t="array" ref="E40">IFERROR(INDEX(Kaisiadorys!Q:Q,MATCH(C40,Kaisiadorys!E:E,0),0),"")</f>
        <v/>
      </c>
      <c r="F40" s="100" t="str" cm="1">
        <f t="array" ref="F40">IFERROR(INDEX(Veisiejai!Q:Q,MATCH(C40,Veisiejai!E:E,0),0),"")</f>
        <v/>
      </c>
      <c r="G40" s="99" t="str" cm="1">
        <f t="array" ref="G40">IFERROR(INDEX(Gdanskas!P:P,MATCH(C40,Gdanskas!C:C,0),0),"")</f>
        <v/>
      </c>
      <c r="H40" s="101" cm="1">
        <f t="array" ref="H40">IFERROR(INDEX(Trakai!R:R,MATCH(C40,Trakai!E:E,0),0),"")</f>
        <v>778</v>
      </c>
      <c r="I40" s="99" t="str" cm="1">
        <f t="array" ref="I40">IFERROR(INDEX(Jonava!Q:Q,MATCH(C40,Jonava!E:E,0),0),"")</f>
        <v/>
      </c>
      <c r="J40" s="101" t="str" cm="1">
        <f t="array" ref="J40">IFERROR(INDEX(Panevezys2!R:R,MATCH(C40,Panevezys2!E:E,0),0),"")</f>
        <v/>
      </c>
      <c r="K40" s="99" t="str">
        <f>IFERROR(INDEX(Skaudvile!Q:Q,MATCH(C40,Skaudvile!E:E,0),0),"")</f>
        <v/>
      </c>
      <c r="L40" s="101" t="str">
        <f>IFERROR(INDEX(Moletai!Q:Q,MATCH(C40,Moletai!E:E,0),0),"")</f>
        <v/>
      </c>
      <c r="M40" s="99"/>
      <c r="N40" s="101">
        <f>COUNTIF(D40:M40,"&gt;0")</f>
        <v>1</v>
      </c>
      <c r="O40" s="109">
        <f>SUM(D40:M40)</f>
        <v>778</v>
      </c>
      <c r="P40" s="102">
        <f>O40/N40</f>
        <v>778</v>
      </c>
      <c r="Q40" s="130" t="str" cm="1">
        <f t="array" ref="Q40">IFERROR(SUMPRODUCT(LARGE(D40:M40,{1;2;3})),"0")</f>
        <v>0</v>
      </c>
      <c r="R40" s="129" t="str">
        <f>IFERROR(INDEX('Bendra įskaita (2025)'!A:A,MATCH(C40,'Bendra įskaita (2025)'!B:B,0),0),"")</f>
        <v/>
      </c>
      <c r="S40" s="99" t="str">
        <f>IFERROR(INDEX('Bendra įskaita (2025)'!K:K,MATCH(C40,'Bendra įskaita (2025)'!B:B,0),0),"")</f>
        <v/>
      </c>
      <c r="T40" s="151" t="str">
        <f>IFERROR(INDEX('Bendra įskaita (2024)'!A:A,MATCH(C40,'Bendra įskaita (2024)'!B:B,0),0),"")</f>
        <v/>
      </c>
      <c r="U40" s="152" t="str">
        <f>IFERROR(INDEX('Bendra įskaita (2024)'!L:L,MATCH(C40,'Bendra įskaita (2024)'!B:B,0),0),"")</f>
        <v/>
      </c>
    </row>
    <row r="41" spans="1:21" ht="15.75" customHeight="1">
      <c r="A41" s="106">
        <v>38</v>
      </c>
      <c r="B41" s="161">
        <f>Table_1[[#This Row],[2025 Vieta]]-A40</f>
        <v>-2</v>
      </c>
      <c r="C41" s="117" t="s">
        <v>60</v>
      </c>
      <c r="D41" s="127" t="str" cm="1">
        <f t="array" ref="D41">IFERROR(INDEX(Panevezys!P:P,MATCH(C41,Panevezys!E:E,0),0),"")</f>
        <v/>
      </c>
      <c r="E41" s="90" cm="1">
        <f t="array" ref="E41">IFERROR(INDEX(Kaisiadorys!Q:Q,MATCH(C41,Kaisiadorys!E:E,0),0),"")</f>
        <v>760</v>
      </c>
      <c r="F41" s="93" t="str" cm="1">
        <f t="array" ref="F41">IFERROR(INDEX(Veisiejai!Q:Q,MATCH(C41,Veisiejai!E:E,0),0),"")</f>
        <v/>
      </c>
      <c r="G41" s="90" t="str" cm="1">
        <f t="array" ref="G41">IFERROR(INDEX(Gdanskas!P:P,MATCH(C41,Gdanskas!C:C,0),0),"")</f>
        <v/>
      </c>
      <c r="H41" s="22" t="str" cm="1">
        <f t="array" ref="H41">IFERROR(INDEX(Trakai!R:R,MATCH(C41,Trakai!E:E,0),0),"")</f>
        <v/>
      </c>
      <c r="I41" s="90" t="str" cm="1">
        <f t="array" ref="I41">IFERROR(INDEX(Jonava!Q:Q,MATCH(C41,Jonava!E:E,0),0),"")</f>
        <v/>
      </c>
      <c r="J41" s="22" t="str" cm="1">
        <f t="array" ref="J41">IFERROR(INDEX(Panevezys2!R:R,MATCH(C41,Panevezys2!E:E,0),0),"")</f>
        <v/>
      </c>
      <c r="K41" s="90" t="str">
        <f>IFERROR(INDEX(Skaudvile!Q:Q,MATCH(C41,Skaudvile!E:E,0),0),"")</f>
        <v/>
      </c>
      <c r="L41" s="22">
        <f>IFERROR(INDEX(Moletai!Q:Q,MATCH(C41,Moletai!E:E,0),0),"")</f>
        <v>765</v>
      </c>
      <c r="M41" s="90"/>
      <c r="N41" s="22">
        <f>COUNTIF(D41:M41,"&gt;0")</f>
        <v>2</v>
      </c>
      <c r="O41" s="108">
        <f>SUM(D41:M41)</f>
        <v>1525</v>
      </c>
      <c r="P41" s="23">
        <f>O41/N41</f>
        <v>762.5</v>
      </c>
      <c r="Q41" s="128" t="str" cm="1">
        <f t="array" ref="Q41">IFERROR(SUMPRODUCT(LARGE(D41:M41,{1;2;3})),"0")</f>
        <v>0</v>
      </c>
      <c r="R41" s="127">
        <f>IFERROR(INDEX('Bendra įskaita (2025)'!A:A,MATCH(C41,'Bendra įskaita (2025)'!B:B,0),0),"")</f>
        <v>35</v>
      </c>
      <c r="S41" s="90">
        <f>IFERROR(INDEX('Bendra įskaita (2025)'!K:K,MATCH(C41,'Bendra įskaita (2025)'!B:B,0),0),"")</f>
        <v>1</v>
      </c>
      <c r="T41" s="149" t="str">
        <f>IFERROR(INDEX('Bendra įskaita (2024)'!A:A,MATCH(C41,'Bendra įskaita (2024)'!B:B,0),0),"")</f>
        <v/>
      </c>
      <c r="U41" s="150" t="str">
        <f>IFERROR(INDEX('Bendra įskaita (2024)'!L:L,MATCH(C41,'Bendra įskaita (2024)'!B:B,0),0),"")</f>
        <v/>
      </c>
    </row>
    <row r="42" spans="1:21" ht="15.75" customHeight="1">
      <c r="A42" s="106">
        <v>39</v>
      </c>
      <c r="B42" s="161">
        <f>Table_1[[#This Row],[2025 Vieta]]-A41</f>
        <v>-23</v>
      </c>
      <c r="C42" s="118" t="s">
        <v>61</v>
      </c>
      <c r="D42" s="127" t="str" cm="1">
        <f t="array" ref="D42">IFERROR(INDEX(Panevezys!P:P,MATCH(C42,Panevezys!E:E,0),0),"")</f>
        <v/>
      </c>
      <c r="E42" s="90" cm="1">
        <f t="array" ref="E42">IFERROR(INDEX(Kaisiadorys!Q:Q,MATCH(C42,Kaisiadorys!E:E,0),0),"")</f>
        <v>759</v>
      </c>
      <c r="F42" s="93" t="str" cm="1">
        <f t="array" ref="F42">IFERROR(INDEX(Veisiejai!Q:Q,MATCH(C42,Veisiejai!E:E,0),0),"")</f>
        <v/>
      </c>
      <c r="G42" s="90" t="str" cm="1">
        <f t="array" ref="G42">IFERROR(INDEX(Gdanskas!P:P,MATCH(C42,Gdanskas!C:C,0),0),"")</f>
        <v/>
      </c>
      <c r="H42" s="22" t="str" cm="1">
        <f t="array" ref="H42">IFERROR(INDEX(Trakai!R:R,MATCH(C42,Trakai!E:E,0),0),"")</f>
        <v/>
      </c>
      <c r="I42" s="90" t="str" cm="1">
        <f t="array" ref="I42">IFERROR(INDEX(Jonava!Q:Q,MATCH(C42,Jonava!E:E,0),0),"")</f>
        <v/>
      </c>
      <c r="J42" s="22" t="str" cm="1">
        <f t="array" ref="J42">IFERROR(INDEX(Panevezys2!R:R,MATCH(C42,Panevezys2!E:E,0),0),"")</f>
        <v/>
      </c>
      <c r="K42" s="90" t="str">
        <f>IFERROR(INDEX(Skaudvile!Q:Q,MATCH(C42,Skaudvile!E:E,0),0),"")</f>
        <v/>
      </c>
      <c r="L42" s="22" t="str">
        <f>IFERROR(INDEX(Moletai!Q:Q,MATCH(C42,Moletai!E:E,0),0),"")</f>
        <v/>
      </c>
      <c r="M42" s="90"/>
      <c r="N42" s="22">
        <f>COUNTIF(D42:M42,"&gt;0")</f>
        <v>1</v>
      </c>
      <c r="O42" s="108">
        <f>SUM(D42:M42)</f>
        <v>759</v>
      </c>
      <c r="P42" s="23">
        <f>O42/N42</f>
        <v>759</v>
      </c>
      <c r="Q42" s="128" t="str" cm="1">
        <f t="array" ref="Q42">IFERROR(SUMPRODUCT(LARGE(D42:M42,{1;2;3})),"0")</f>
        <v>0</v>
      </c>
      <c r="R42" s="127">
        <f>IFERROR(INDEX('Bendra įskaita (2025)'!A:A,MATCH(C42,'Bendra įskaita (2025)'!B:B,0),0),"")</f>
        <v>15</v>
      </c>
      <c r="S42" s="90">
        <f>IFERROR(INDEX('Bendra įskaita (2025)'!K:K,MATCH(C42,'Bendra įskaita (2025)'!B:B,0),0),"")</f>
        <v>3</v>
      </c>
      <c r="T42" s="149" t="str">
        <f>IFERROR(INDEX('Bendra įskaita (2024)'!A:A,MATCH(C42,'Bendra įskaita (2024)'!B:B,0),0),"")</f>
        <v/>
      </c>
      <c r="U42" s="150" t="str">
        <f>IFERROR(INDEX('Bendra įskaita (2024)'!L:L,MATCH(C42,'Bendra įskaita (2024)'!B:B,0),0),"")</f>
        <v/>
      </c>
    </row>
    <row r="43" spans="1:21" ht="15.75" customHeight="1">
      <c r="A43" s="106">
        <v>40</v>
      </c>
      <c r="B43" s="162">
        <f>Table_1[[#This Row],[2025 Vieta]]-A42</f>
        <v>12</v>
      </c>
      <c r="C43" s="118" t="s">
        <v>62</v>
      </c>
      <c r="D43" s="127" t="str" cm="1">
        <f t="array" ref="D43">IFERROR(INDEX(Panevezys!P:P,MATCH(C43,Panevezys!E:E,0),0),"")</f>
        <v/>
      </c>
      <c r="E43" s="90" t="str" cm="1">
        <f t="array" ref="E43">IFERROR(INDEX(Kaisiadorys!Q:Q,MATCH(C43,Kaisiadorys!E:E,0),0),"")</f>
        <v/>
      </c>
      <c r="F43" s="93" t="str" cm="1">
        <f t="array" ref="F43">IFERROR(INDEX(Veisiejai!Q:Q,MATCH(C43,Veisiejai!E:E,0),0),"")</f>
        <v/>
      </c>
      <c r="G43" s="90" cm="1">
        <f t="array" ref="G43">IFERROR(INDEX(Gdanskas!P:P,MATCH(C43,Gdanskas!C:C,0),0),"")</f>
        <v>758</v>
      </c>
      <c r="H43" s="22" cm="1">
        <f t="array" ref="H43">IFERROR(INDEX(Trakai!R:R,MATCH(C43,Trakai!E:E,0),0),"")</f>
        <v>749</v>
      </c>
      <c r="I43" s="90" t="str" cm="1">
        <f t="array" ref="I43">IFERROR(INDEX(Jonava!Q:Q,MATCH(C43,Jonava!E:E,0),0),"")</f>
        <v/>
      </c>
      <c r="J43" s="22" t="str" cm="1">
        <f t="array" ref="J43">IFERROR(INDEX(Panevezys2!R:R,MATCH(C43,Panevezys2!E:E,0),0),"")</f>
        <v/>
      </c>
      <c r="K43" s="90" t="str">
        <f>IFERROR(INDEX(Skaudvile!Q:Q,MATCH(C43,Skaudvile!E:E,0),0),"")</f>
        <v/>
      </c>
      <c r="L43" s="22" t="str">
        <f>IFERROR(INDEX(Moletai!Q:Q,MATCH(C43,Moletai!E:E,0),0),"")</f>
        <v/>
      </c>
      <c r="M43" s="90"/>
      <c r="N43" s="22">
        <f>COUNTIF(D43:M43,"&gt;0")</f>
        <v>2</v>
      </c>
      <c r="O43" s="108">
        <f>SUM(D43:M43)</f>
        <v>1507</v>
      </c>
      <c r="P43" s="23">
        <f>O43/N43</f>
        <v>753.5</v>
      </c>
      <c r="Q43" s="128" t="str" cm="1">
        <f t="array" ref="Q43">IFERROR(SUMPRODUCT(LARGE(D43:M43,{1;2;3})),"0")</f>
        <v>0</v>
      </c>
      <c r="R43" s="127">
        <f>IFERROR(INDEX('Bendra įskaita (2025)'!A:A,MATCH(C43,'Bendra įskaita (2025)'!B:B,0),0),"")</f>
        <v>51</v>
      </c>
      <c r="S43" s="90">
        <f>IFERROR(INDEX('Bendra įskaita (2025)'!K:K,MATCH(C43,'Bendra įskaita (2025)'!B:B,0),0),"")</f>
        <v>0</v>
      </c>
      <c r="T43" s="149">
        <f>IFERROR(INDEX('Bendra įskaita (2024)'!A:A,MATCH(C43,'Bendra įskaita (2024)'!B:B,0),0),"")</f>
        <v>32</v>
      </c>
      <c r="U43" s="150">
        <f>IFERROR(INDEX('Bendra įskaita (2024)'!L:L,MATCH(C43,'Bendra įskaita (2024)'!B:B,0),0),"")</f>
        <v>1</v>
      </c>
    </row>
    <row r="44" spans="1:21" ht="15.75" customHeight="1">
      <c r="A44" s="106">
        <v>41</v>
      </c>
      <c r="B44" s="162">
        <f>Table_1[[#This Row],[2025 Vieta]]-A43</f>
        <v>0</v>
      </c>
      <c r="C44" s="117" t="s">
        <v>63</v>
      </c>
      <c r="D44" s="127" t="str" cm="1">
        <f t="array" ref="D44">IFERROR(INDEX(Panevezys!P:P,MATCH(C44,Panevezys!E:E,0),0),"")</f>
        <v/>
      </c>
      <c r="E44" s="90" cm="1">
        <f t="array" ref="E44">IFERROR(INDEX(Kaisiadorys!Q:Q,MATCH(C44,Kaisiadorys!E:E,0),0),"")</f>
        <v>737</v>
      </c>
      <c r="F44" s="93" t="str" cm="1">
        <f t="array" ref="F44">IFERROR(INDEX(Veisiejai!Q:Q,MATCH(C44,Veisiejai!E:E,0),0),"")</f>
        <v/>
      </c>
      <c r="G44" s="90" t="str" cm="1">
        <f t="array" ref="G44">IFERROR(INDEX(Gdanskas!P:P,MATCH(C44,Gdanskas!C:C,0),0),"")</f>
        <v/>
      </c>
      <c r="H44" s="22" t="str" cm="1">
        <f t="array" ref="H44">IFERROR(INDEX(Trakai!R:R,MATCH(C44,Trakai!E:E,0),0),"")</f>
        <v/>
      </c>
      <c r="I44" s="90" t="str" cm="1">
        <f t="array" ref="I44">IFERROR(INDEX(Jonava!Q:Q,MATCH(C44,Jonava!E:E,0),0),"")</f>
        <v/>
      </c>
      <c r="J44" s="22" t="str" cm="1">
        <f t="array" ref="J44">IFERROR(INDEX(Panevezys2!R:R,MATCH(C44,Panevezys2!E:E,0),0),"")</f>
        <v/>
      </c>
      <c r="K44" s="90">
        <f>IFERROR(INDEX(Skaudvile!Q:Q,MATCH(C44,Skaudvile!E:E,0),0),"")</f>
        <v>740</v>
      </c>
      <c r="L44" s="22" t="str">
        <f>IFERROR(INDEX(Moletai!Q:Q,MATCH(C44,Moletai!E:E,0),0),"")</f>
        <v/>
      </c>
      <c r="M44" s="90"/>
      <c r="N44" s="22">
        <f>COUNTIF(D44:M44,"&gt;0")</f>
        <v>2</v>
      </c>
      <c r="O44" s="108">
        <f>SUM(D44:M44)</f>
        <v>1477</v>
      </c>
      <c r="P44" s="23">
        <f>O44/N44</f>
        <v>738.5</v>
      </c>
      <c r="Q44" s="128" t="str" cm="1">
        <f t="array" ref="Q44">IFERROR(SUMPRODUCT(LARGE(D44:M44,{1;2;3})),"0")</f>
        <v>0</v>
      </c>
      <c r="R44" s="127">
        <f>IFERROR(INDEX('Bendra įskaita (2025)'!A:A,MATCH(C44,'Bendra įskaita (2025)'!B:B,0),0),"")</f>
        <v>40</v>
      </c>
      <c r="S44" s="90">
        <f>IFERROR(INDEX('Bendra įskaita (2025)'!K:K,MATCH(C44,'Bendra įskaita (2025)'!B:B,0),0),"")</f>
        <v>1</v>
      </c>
      <c r="T44" s="149">
        <f>IFERROR(INDEX('Bendra įskaita (2024)'!A:A,MATCH(C44,'Bendra įskaita (2024)'!B:B,0),0),"")</f>
        <v>76</v>
      </c>
      <c r="U44" s="150">
        <f>IFERROR(INDEX('Bendra įskaita (2024)'!L:L,MATCH(C44,'Bendra įskaita (2024)'!B:B,0),0),"")</f>
        <v>0</v>
      </c>
    </row>
    <row r="45" spans="1:21" ht="15.75" customHeight="1">
      <c r="A45" s="106">
        <v>42</v>
      </c>
      <c r="B45" s="162">
        <f>Table_1[[#This Row],[2025 Vieta]]-A44</f>
        <v>10</v>
      </c>
      <c r="C45" s="118" t="s">
        <v>64</v>
      </c>
      <c r="D45" s="127" t="str" cm="1">
        <f t="array" ref="D45">IFERROR(INDEX(Panevezys!P:P,MATCH(C45,Panevezys!E:E,0),0),"")</f>
        <v/>
      </c>
      <c r="E45" s="90" t="str" cm="1">
        <f t="array" ref="E45">IFERROR(INDEX(Kaisiadorys!Q:Q,MATCH(C45,Kaisiadorys!E:E,0),0),"")</f>
        <v/>
      </c>
      <c r="F45" s="93" t="str" cm="1">
        <f t="array" ref="F45">IFERROR(INDEX(Veisiejai!Q:Q,MATCH(C45,Veisiejai!E:E,0),0),"")</f>
        <v/>
      </c>
      <c r="G45" s="90" t="str" cm="1">
        <f t="array" ref="G45">IFERROR(INDEX(Gdanskas!P:P,MATCH(C45,Gdanskas!C:C,0),0),"")</f>
        <v/>
      </c>
      <c r="H45" s="22" cm="1">
        <f t="array" ref="H45">IFERROR(INDEX(Trakai!R:R,MATCH(C45,Trakai!E:E,0),0),"")</f>
        <v>718</v>
      </c>
      <c r="I45" s="90" t="str" cm="1">
        <f t="array" ref="I45">IFERROR(INDEX(Jonava!Q:Q,MATCH(C45,Jonava!E:E,0),0),"")</f>
        <v/>
      </c>
      <c r="J45" s="22" t="str" cm="1">
        <f t="array" ref="J45">IFERROR(INDEX(Panevezys2!R:R,MATCH(C45,Panevezys2!E:E,0),0),"")</f>
        <v/>
      </c>
      <c r="K45" s="90" t="str">
        <f>IFERROR(INDEX(Skaudvile!Q:Q,MATCH(C45,Skaudvile!E:E,0),0),"")</f>
        <v/>
      </c>
      <c r="L45" s="22" t="str">
        <f>IFERROR(INDEX(Moletai!Q:Q,MATCH(C45,Moletai!E:E,0),0),"")</f>
        <v/>
      </c>
      <c r="M45" s="90"/>
      <c r="N45" s="22">
        <f>COUNTIF(D45:M45,"&gt;0")</f>
        <v>1</v>
      </c>
      <c r="O45" s="108">
        <f>SUM(D45:M45)</f>
        <v>718</v>
      </c>
      <c r="P45" s="23">
        <f>O45/N45</f>
        <v>718</v>
      </c>
      <c r="Q45" s="128" t="str" cm="1">
        <f t="array" ref="Q45">IFERROR(SUMPRODUCT(LARGE(D45:M45,{1;2;3})),"0")</f>
        <v>0</v>
      </c>
      <c r="R45" s="127">
        <f>IFERROR(INDEX('Bendra įskaita (2025)'!A:A,MATCH(C45,'Bendra įskaita (2025)'!B:B,0),0),"")</f>
        <v>51</v>
      </c>
      <c r="S45" s="90">
        <f>IFERROR(INDEX('Bendra įskaita (2025)'!K:K,MATCH(C45,'Bendra įskaita (2025)'!B:B,0),0),"")</f>
        <v>0</v>
      </c>
      <c r="T45" s="149">
        <f>IFERROR(INDEX('Bendra įskaita (2024)'!A:A,MATCH(C45,'Bendra įskaita (2024)'!B:B,0),0),"")</f>
        <v>57</v>
      </c>
      <c r="U45" s="150">
        <f>IFERROR(INDEX('Bendra įskaita (2024)'!L:L,MATCH(C45,'Bendra įskaita (2024)'!B:B,0),0),"")</f>
        <v>0</v>
      </c>
    </row>
    <row r="46" spans="1:21" ht="15.75" customHeight="1">
      <c r="A46" s="106">
        <v>43</v>
      </c>
      <c r="B46" s="162">
        <f>Table_1[[#This Row],[2025 Vieta]]-A45</f>
        <v>2</v>
      </c>
      <c r="C46" s="118" t="s">
        <v>65</v>
      </c>
      <c r="D46" s="127" t="str" cm="1">
        <f t="array" ref="D46">IFERROR(INDEX(Panevezys!P:P,MATCH(C46,Panevezys!E:E,0),0),"")</f>
        <v/>
      </c>
      <c r="E46" s="90" cm="1">
        <f t="array" ref="E46">IFERROR(INDEX(Kaisiadorys!Q:Q,MATCH(C46,Kaisiadorys!E:E,0),0),"")</f>
        <v>740</v>
      </c>
      <c r="F46" s="93" t="str" cm="1">
        <f t="array" ref="F46">IFERROR(INDEX(Veisiejai!Q:Q,MATCH(C46,Veisiejai!E:E,0),0),"")</f>
        <v/>
      </c>
      <c r="G46" s="90" t="str" cm="1">
        <f t="array" ref="G46">IFERROR(INDEX(Gdanskas!P:P,MATCH(C46,Gdanskas!C:C,0),0),"")</f>
        <v/>
      </c>
      <c r="H46" s="22" cm="1">
        <f t="array" ref="H46">IFERROR(INDEX(Trakai!R:R,MATCH(C46,Trakai!E:E,0),0),"")</f>
        <v>683</v>
      </c>
      <c r="I46" s="90" t="str" cm="1">
        <f t="array" ref="I46">IFERROR(INDEX(Jonava!Q:Q,MATCH(C46,Jonava!E:E,0),0),"")</f>
        <v/>
      </c>
      <c r="J46" s="22" t="str" cm="1">
        <f t="array" ref="J46">IFERROR(INDEX(Panevezys2!R:R,MATCH(C46,Panevezys2!E:E,0),0),"")</f>
        <v/>
      </c>
      <c r="K46" s="90" t="str">
        <f>IFERROR(INDEX(Skaudvile!Q:Q,MATCH(C46,Skaudvile!E:E,0),0),"")</f>
        <v/>
      </c>
      <c r="L46" s="22" t="str">
        <f>IFERROR(INDEX(Moletai!Q:Q,MATCH(C46,Moletai!E:E,0),0),"")</f>
        <v/>
      </c>
      <c r="M46" s="90"/>
      <c r="N46" s="22">
        <f>COUNTIF(D46:M46,"&gt;0")</f>
        <v>2</v>
      </c>
      <c r="O46" s="108">
        <f>SUM(D46:M46)</f>
        <v>1423</v>
      </c>
      <c r="P46" s="23">
        <f>O46/N46</f>
        <v>711.5</v>
      </c>
      <c r="Q46" s="128" t="str" cm="1">
        <f t="array" ref="Q46">IFERROR(SUMPRODUCT(LARGE(D46:M46,{1;2;3})),"0")</f>
        <v>0</v>
      </c>
      <c r="R46" s="127">
        <f>IFERROR(INDEX('Bendra įskaita (2025)'!A:A,MATCH(C46,'Bendra įskaita (2025)'!B:B,0),0),"")</f>
        <v>44</v>
      </c>
      <c r="S46" s="90">
        <f>IFERROR(INDEX('Bendra įskaita (2025)'!K:K,MATCH(C46,'Bendra įskaita (2025)'!B:B,0),0),"")</f>
        <v>1</v>
      </c>
      <c r="T46" s="149">
        <f>IFERROR(INDEX('Bendra įskaita (2024)'!A:A,MATCH(C46,'Bendra įskaita (2024)'!B:B,0),0),"")</f>
        <v>40</v>
      </c>
      <c r="U46" s="150">
        <f>IFERROR(INDEX('Bendra įskaita (2024)'!L:L,MATCH(C46,'Bendra įskaita (2024)'!B:B,0),0),"")</f>
        <v>2</v>
      </c>
    </row>
    <row r="47" spans="1:21" ht="15.75" customHeight="1">
      <c r="A47" s="106">
        <v>44</v>
      </c>
      <c r="B47" s="161">
        <f>Table_1[[#This Row],[2025 Vieta]]-A46</f>
        <v>-4</v>
      </c>
      <c r="C47" s="117" t="s">
        <v>66</v>
      </c>
      <c r="D47" s="127" t="str" cm="1">
        <f t="array" ref="D47">IFERROR(INDEX(Panevezys!P:P,MATCH(C47,Panevezys!E:E,0),0),"")</f>
        <v/>
      </c>
      <c r="E47" s="90" cm="1">
        <f t="array" ref="E47">IFERROR(INDEX(Kaisiadorys!Q:Q,MATCH(C47,Kaisiadorys!E:E,0),0),"")</f>
        <v>682</v>
      </c>
      <c r="F47" s="93" t="str" cm="1">
        <f t="array" ref="F47">IFERROR(INDEX(Veisiejai!Q:Q,MATCH(C47,Veisiejai!E:E,0),0),"")</f>
        <v/>
      </c>
      <c r="G47" s="90" t="str" cm="1">
        <f t="array" ref="G47">IFERROR(INDEX(Gdanskas!P:P,MATCH(C47,Gdanskas!C:C,0),0),"")</f>
        <v/>
      </c>
      <c r="H47" s="22" cm="1">
        <f t="array" ref="H47">IFERROR(INDEX(Trakai!R:R,MATCH(C47,Trakai!E:E,0),0),"")</f>
        <v>671</v>
      </c>
      <c r="I47" s="90" t="str" cm="1">
        <f t="array" ref="I47">IFERROR(INDEX(Jonava!Q:Q,MATCH(C47,Jonava!E:E,0),0),"")</f>
        <v/>
      </c>
      <c r="J47" s="22" t="str" cm="1">
        <f t="array" ref="J47">IFERROR(INDEX(Panevezys2!R:R,MATCH(C47,Panevezys2!E:E,0),0),"")</f>
        <v/>
      </c>
      <c r="K47" s="90" t="str">
        <f>IFERROR(INDEX(Skaudvile!Q:Q,MATCH(C47,Skaudvile!E:E,0),0),"")</f>
        <v/>
      </c>
      <c r="L47" s="22" t="str">
        <f>IFERROR(INDEX(Moletai!Q:Q,MATCH(C47,Moletai!E:E,0),0),"")</f>
        <v/>
      </c>
      <c r="M47" s="90"/>
      <c r="N47" s="22">
        <f>COUNTIF(D47:M47,"&gt;0")</f>
        <v>2</v>
      </c>
      <c r="O47" s="108">
        <f>SUM(D47:M47)</f>
        <v>1353</v>
      </c>
      <c r="P47" s="23">
        <f>O47/N47</f>
        <v>676.5</v>
      </c>
      <c r="Q47" s="128" t="str" cm="1">
        <f t="array" ref="Q47">IFERROR(SUMPRODUCT(LARGE(D47:M47,{1;2;3})),"0")</f>
        <v>0</v>
      </c>
      <c r="R47" s="127">
        <f>IFERROR(INDEX('Bendra įskaita (2025)'!A:A,MATCH(C47,'Bendra įskaita (2025)'!B:B,0),0),"")</f>
        <v>39</v>
      </c>
      <c r="S47" s="90">
        <f>IFERROR(INDEX('Bendra įskaita (2025)'!K:K,MATCH(C47,'Bendra įskaita (2025)'!B:B,0),0),"")</f>
        <v>1</v>
      </c>
      <c r="T47" s="149">
        <f>IFERROR(INDEX('Bendra įskaita (2024)'!A:A,MATCH(C47,'Bendra įskaita (2024)'!B:B,0),0),"")</f>
        <v>68</v>
      </c>
      <c r="U47" s="150">
        <f>IFERROR(INDEX('Bendra įskaita (2024)'!L:L,MATCH(C47,'Bendra įskaita (2024)'!B:B,0),0),"")</f>
        <v>0</v>
      </c>
    </row>
    <row r="48" spans="1:21" ht="15.75" customHeight="1">
      <c r="A48" s="106">
        <v>45</v>
      </c>
      <c r="B48" s="161">
        <f>Table_1[[#This Row],[2025 Vieta]]-A47</f>
        <v>-2</v>
      </c>
      <c r="C48" s="117" t="s">
        <v>67</v>
      </c>
      <c r="D48" s="127" t="str" cm="1">
        <f t="array" ref="D48">IFERROR(INDEX(Panevezys!P:P,MATCH(C48,Panevezys!E:E,0),0),"")</f>
        <v/>
      </c>
      <c r="E48" s="90" t="str" cm="1">
        <f t="array" ref="E48">IFERROR(INDEX(Kaisiadorys!Q:Q,MATCH(C48,Kaisiadorys!E:E,0),0),"")</f>
        <v/>
      </c>
      <c r="F48" s="93" t="str" cm="1">
        <f t="array" ref="F48">IFERROR(INDEX(Veisiejai!Q:Q,MATCH(C48,Veisiejai!E:E,0),0),"")</f>
        <v/>
      </c>
      <c r="G48" s="90" t="str" cm="1">
        <f t="array" ref="G48">IFERROR(INDEX(Gdanskas!P:P,MATCH(C48,Gdanskas!C:C,0),0),"")</f>
        <v/>
      </c>
      <c r="H48" s="22" t="str" cm="1">
        <f t="array" ref="H48">IFERROR(INDEX(Trakai!R:R,MATCH(C48,Trakai!E:E,0),0),"")</f>
        <v/>
      </c>
      <c r="I48" s="90" t="str" cm="1">
        <f t="array" ref="I48">IFERROR(INDEX(Jonava!Q:Q,MATCH(C48,Jonava!E:E,0),0),"")</f>
        <v/>
      </c>
      <c r="J48" s="22" t="str" cm="1">
        <f t="array" ref="J48">IFERROR(INDEX(Panevezys2!R:R,MATCH(C48,Panevezys2!E:E,0),0),"")</f>
        <v/>
      </c>
      <c r="K48" s="90" t="str">
        <f>IFERROR(INDEX(Skaudvile!Q:Q,MATCH(C48,Skaudvile!E:E,0),0),"")</f>
        <v/>
      </c>
      <c r="L48" s="22">
        <f>IFERROR(INDEX(Moletai!Q:Q,MATCH(C48,Moletai!E:E,0),0),"")</f>
        <v>676</v>
      </c>
      <c r="M48" s="90"/>
      <c r="N48" s="22">
        <f>COUNTIF(D48:M48,"&gt;0")</f>
        <v>1</v>
      </c>
      <c r="O48" s="108">
        <f>SUM(D48:M48)</f>
        <v>676</v>
      </c>
      <c r="P48" s="23">
        <f>O48/N48</f>
        <v>676</v>
      </c>
      <c r="Q48" s="128" t="str" cm="1">
        <f t="array" ref="Q48">IFERROR(SUMPRODUCT(LARGE(D48:M48,{1;2;3})),"0")</f>
        <v>0</v>
      </c>
      <c r="R48" s="127">
        <f>IFERROR(INDEX('Bendra įskaita (2025)'!A:A,MATCH(C48,'Bendra įskaita (2025)'!B:B,0),0),"")</f>
        <v>42</v>
      </c>
      <c r="S48" s="90">
        <f>IFERROR(INDEX('Bendra įskaita (2025)'!K:K,MATCH(C48,'Bendra įskaita (2025)'!B:B,0),0),"")</f>
        <v>2</v>
      </c>
      <c r="T48" s="149">
        <f>IFERROR(INDEX('Bendra įskaita (2024)'!A:A,MATCH(C48,'Bendra įskaita (2024)'!B:B,0),0),"")</f>
        <v>46</v>
      </c>
      <c r="U48" s="150">
        <f>IFERROR(INDEX('Bendra įskaita (2024)'!L:L,MATCH(C48,'Bendra įskaita (2024)'!B:B,0),0),"")</f>
        <v>3</v>
      </c>
    </row>
    <row r="49" spans="1:21" ht="15.75" customHeight="1">
      <c r="A49" s="106">
        <v>46</v>
      </c>
      <c r="B49" s="161">
        <f>Table_1[[#This Row],[2025 Vieta]]-A48</f>
        <v>-2</v>
      </c>
      <c r="C49" s="117" t="s">
        <v>68</v>
      </c>
      <c r="D49" s="127" t="str" cm="1">
        <f t="array" ref="D49">IFERROR(INDEX(Panevezys!P:P,MATCH(C49,Panevezys!E:E,0),0),"")</f>
        <v/>
      </c>
      <c r="E49" s="90" cm="1">
        <f t="array" ref="E49">IFERROR(INDEX(Kaisiadorys!Q:Q,MATCH(C49,Kaisiadorys!E:E,0),0),"")</f>
        <v>658</v>
      </c>
      <c r="F49" s="93" t="str" cm="1">
        <f t="array" ref="F49">IFERROR(INDEX(Veisiejai!Q:Q,MATCH(C49,Veisiejai!E:E,0),0),"")</f>
        <v/>
      </c>
      <c r="G49" s="90" t="str" cm="1">
        <f t="array" ref="G49">IFERROR(INDEX(Gdanskas!P:P,MATCH(C49,Gdanskas!C:C,0),0),"")</f>
        <v/>
      </c>
      <c r="H49" s="22" cm="1">
        <f t="array" ref="H49">IFERROR(INDEX(Trakai!R:R,MATCH(C49,Trakai!E:E,0),0),"")</f>
        <v>690</v>
      </c>
      <c r="I49" s="90" t="str" cm="1">
        <f t="array" ref="I49">IFERROR(INDEX(Jonava!Q:Q,MATCH(C49,Jonava!E:E,0),0),"")</f>
        <v/>
      </c>
      <c r="J49" s="22" t="str" cm="1">
        <f t="array" ref="J49">IFERROR(INDEX(Panevezys2!R:R,MATCH(C49,Panevezys2!E:E,0),0),"")</f>
        <v/>
      </c>
      <c r="K49" s="90" t="str">
        <f>IFERROR(INDEX(Skaudvile!Q:Q,MATCH(C49,Skaudvile!E:E,0),0),"")</f>
        <v/>
      </c>
      <c r="L49" s="22" t="str">
        <f>IFERROR(INDEX(Moletai!Q:Q,MATCH(C49,Moletai!E:E,0),0),"")</f>
        <v/>
      </c>
      <c r="M49" s="90"/>
      <c r="N49" s="22">
        <f>COUNTIF(D49:M49,"&gt;0")</f>
        <v>2</v>
      </c>
      <c r="O49" s="108">
        <f>SUM(D49:M49)</f>
        <v>1348</v>
      </c>
      <c r="P49" s="23">
        <f>O49/N49</f>
        <v>674</v>
      </c>
      <c r="Q49" s="128" t="str" cm="1">
        <f t="array" ref="Q49">IFERROR(SUMPRODUCT(LARGE(D49:M49,{1;2;3})),"0")</f>
        <v>0</v>
      </c>
      <c r="R49" s="127">
        <f>IFERROR(INDEX('Bendra įskaita (2025)'!A:A,MATCH(C49,'Bendra įskaita (2025)'!B:B,0),0),"")</f>
        <v>43</v>
      </c>
      <c r="S49" s="90">
        <f>IFERROR(INDEX('Bendra įskaita (2025)'!K:K,MATCH(C49,'Bendra įskaita (2025)'!B:B,0),0),"")</f>
        <v>1</v>
      </c>
      <c r="T49" s="149">
        <f>IFERROR(INDEX('Bendra įskaita (2024)'!A:A,MATCH(C49,'Bendra įskaita (2024)'!B:B,0),0),"")</f>
        <v>61</v>
      </c>
      <c r="U49" s="150">
        <f>IFERROR(INDEX('Bendra įskaita (2024)'!L:L,MATCH(C49,'Bendra įskaita (2024)'!B:B,0),0),"")</f>
        <v>0</v>
      </c>
    </row>
    <row r="50" spans="1:21" ht="15.75" customHeight="1">
      <c r="A50" s="106">
        <v>47</v>
      </c>
      <c r="B50" s="162">
        <f>Table_1[[#This Row],[2025 Vieta]]-A50</f>
        <v>4</v>
      </c>
      <c r="C50" s="117" t="s">
        <v>69</v>
      </c>
      <c r="D50" s="127" t="str" cm="1">
        <f t="array" ref="D50">IFERROR(INDEX(Panevezys!P:P,MATCH(C50,Panevezys!E:E,0),0),"")</f>
        <v/>
      </c>
      <c r="E50" s="90" t="str" cm="1">
        <f t="array" ref="E50">IFERROR(INDEX(Kaisiadorys!Q:Q,MATCH(C50,Kaisiadorys!E:E,0),0),"")</f>
        <v/>
      </c>
      <c r="F50" s="93" t="str" cm="1">
        <f t="array" ref="F50">IFERROR(INDEX(Veisiejai!Q:Q,MATCH(C50,Veisiejai!E:E,0),0),"")</f>
        <v/>
      </c>
      <c r="G50" s="90" t="str" cm="1">
        <f t="array" ref="G50">IFERROR(INDEX(Gdanskas!P:P,MATCH(C50,Gdanskas!C:C,0),0),"")</f>
        <v/>
      </c>
      <c r="H50" s="22" cm="1">
        <f t="array" ref="H50">IFERROR(INDEX(Trakai!R:R,MATCH(C50,Trakai!E:E,0),0),"")</f>
        <v>577</v>
      </c>
      <c r="I50" s="90" t="str" cm="1">
        <f t="array" ref="I50">IFERROR(INDEX(Jonava!Q:Q,MATCH(C50,Jonava!E:E,0),0),"")</f>
        <v/>
      </c>
      <c r="J50" s="22" t="str" cm="1">
        <f t="array" ref="J50">IFERROR(INDEX(Panevezys2!R:R,MATCH(C50,Panevezys2!E:E,0),0),"")</f>
        <v/>
      </c>
      <c r="K50" s="90" t="str">
        <f>IFERROR(INDEX(Skaudvile!Q:Q,MATCH(C50,Skaudvile!E:E,0),0),"")</f>
        <v/>
      </c>
      <c r="L50" s="22" t="str">
        <f>IFERROR(INDEX(Moletai!Q:Q,MATCH(C50,Moletai!E:E,0),0),"")</f>
        <v/>
      </c>
      <c r="M50" s="90"/>
      <c r="N50" s="22">
        <f>COUNTIF(D50:M50,"&gt;0")</f>
        <v>1</v>
      </c>
      <c r="O50" s="108">
        <f>SUM(D50:M50)</f>
        <v>577</v>
      </c>
      <c r="P50" s="23">
        <f>O50/N50</f>
        <v>577</v>
      </c>
      <c r="Q50" s="128" t="str" cm="1">
        <f t="array" ref="Q50">IFERROR(SUMPRODUCT(LARGE(D50:M50,{1;2;3})),"0")</f>
        <v>0</v>
      </c>
      <c r="R50" s="127">
        <f>IFERROR(INDEX('Bendra įskaita (2025)'!A:A,MATCH(C50,'Bendra įskaita (2025)'!B:B,0),0),"")</f>
        <v>51</v>
      </c>
      <c r="S50" s="90">
        <f>IFERROR(INDEX('Bendra įskaita (2025)'!K:K,MATCH(C50,'Bendra įskaita (2025)'!B:B,0),0),"")</f>
        <v>0</v>
      </c>
      <c r="T50" s="149" t="str">
        <f>IFERROR(INDEX('Bendra įskaita (2024)'!A:A,MATCH(C50,'Bendra įskaita (2024)'!B:B,0),0),"")</f>
        <v/>
      </c>
      <c r="U50" s="150" t="str">
        <f>IFERROR(INDEX('Bendra įskaita (2024)'!L:L,MATCH(C50,'Bendra įskaita (2024)'!B:B,0),0),"")</f>
        <v/>
      </c>
    </row>
    <row r="51" spans="1:21" ht="15.75" customHeight="1" thickBot="1">
      <c r="A51" s="106">
        <v>48</v>
      </c>
      <c r="B51" s="161">
        <f>Table_1[[#This Row],[2025 Vieta]]-A51</f>
        <v>-21</v>
      </c>
      <c r="C51" s="118" t="s">
        <v>70</v>
      </c>
      <c r="D51" s="127" t="str" cm="1">
        <f t="array" ref="D51">IFERROR(INDEX(Panevezys!P:P,MATCH(C51,Panevezys!E:E,0),0),"")</f>
        <v/>
      </c>
      <c r="E51" s="90" t="str" cm="1">
        <f t="array" ref="E51">IFERROR(INDEX(Kaisiadorys!Q:Q,MATCH(C51,Kaisiadorys!E:E,0),0),"")</f>
        <v/>
      </c>
      <c r="F51" s="93" t="str" cm="1">
        <f t="array" ref="F51">IFERROR(INDEX(Veisiejai!Q:Q,MATCH(C51,Veisiejai!E:E,0),0),"")</f>
        <v/>
      </c>
      <c r="G51" s="90" t="str" cm="1">
        <f t="array" ref="G51">IFERROR(INDEX(Gdanskas!P:P,MATCH(C51,Gdanskas!C:C,0),0),"")</f>
        <v/>
      </c>
      <c r="H51" s="22" t="str" cm="1">
        <f t="array" ref="H51">IFERROR(INDEX(Trakai!R:R,MATCH(C51,Trakai!E:E,0),0),"")</f>
        <v/>
      </c>
      <c r="I51" s="90" t="str" cm="1">
        <f t="array" ref="I51">IFERROR(INDEX(Jonava!Q:Q,MATCH(C51,Jonava!E:E,0),0),"")</f>
        <v/>
      </c>
      <c r="J51" s="22" cm="1">
        <f t="array" ref="J51">IFERROR(INDEX(Panevezys2!R:R,MATCH(C51,Panevezys2!E:E,0),0),"")</f>
        <v>0</v>
      </c>
      <c r="K51" s="90" t="str">
        <f>IFERROR(INDEX(Skaudvile!Q:Q,MATCH(C51,Skaudvile!E:E,0),0),"")</f>
        <v/>
      </c>
      <c r="L51" s="22" t="str">
        <f>IFERROR(INDEX(Moletai!Q:Q,MATCH(C51,Moletai!E:E,0),0),"")</f>
        <v/>
      </c>
      <c r="M51" s="90"/>
      <c r="N51" s="22">
        <v>1</v>
      </c>
      <c r="O51" s="108">
        <f>SUM(D51:M51)</f>
        <v>0</v>
      </c>
      <c r="P51" s="23">
        <f>O51/N51</f>
        <v>0</v>
      </c>
      <c r="Q51" s="128" t="str" cm="1">
        <f t="array" ref="Q51">IFERROR(SUMPRODUCT(LARGE(D51:M51,{1;2;3})),"0")</f>
        <v>0</v>
      </c>
      <c r="R51" s="127">
        <f>IFERROR(INDEX('Bendra įskaita (2025)'!A:A,MATCH(C51,'Bendra įskaita (2025)'!B:B,0),0),"")</f>
        <v>27</v>
      </c>
      <c r="S51" s="90">
        <f>IFERROR(INDEX('Bendra įskaita (2025)'!K:K,MATCH(C51,'Bendra įskaita (2025)'!B:B,0),0),"")</f>
        <v>1</v>
      </c>
      <c r="T51" s="149">
        <f>IFERROR(INDEX('Bendra įskaita (2024)'!A:A,MATCH(C51,'Bendra įskaita (2024)'!B:B,0),0),"")</f>
        <v>37</v>
      </c>
      <c r="U51" s="150">
        <f>IFERROR(INDEX('Bendra įskaita (2024)'!L:L,MATCH(C51,'Bendra įskaita (2024)'!B:B,0),0),"")</f>
        <v>2</v>
      </c>
    </row>
    <row r="52" spans="1:21" ht="15.75" customHeight="1">
      <c r="A52" s="106">
        <v>49</v>
      </c>
      <c r="B52" s="161">
        <f>Table_1[[#This Row],[2025 Vieta]]-A52</f>
        <v>-27</v>
      </c>
      <c r="C52" s="118" t="s">
        <v>71</v>
      </c>
      <c r="D52" s="127" t="str" cm="1">
        <f t="array" ref="D52">IFERROR(INDEX(Panevezys!P:P,MATCH(C52,Panevezys!E:E,0),0),"")</f>
        <v/>
      </c>
      <c r="E52" s="90" t="str" cm="1">
        <f t="array" ref="E52">IFERROR(INDEX(Kaisiadorys!Q:Q,MATCH(C52,Kaisiadorys!E:E,0),0),"")</f>
        <v/>
      </c>
      <c r="F52" s="93" t="str" cm="1">
        <f t="array" ref="F52">IFERROR(INDEX(Veisiejai!Q:Q,MATCH(C52,Veisiejai!E:E,0),0),"")</f>
        <v/>
      </c>
      <c r="G52" s="90" t="str" cm="1">
        <f t="array" ref="G52">IFERROR(INDEX(Gdanskas!P:P,MATCH(C52,Gdanskas!C:C,0),0),"")</f>
        <v/>
      </c>
      <c r="H52" s="22" t="str" cm="1">
        <f t="array" ref="H52">IFERROR(INDEX(Trakai!R:R,MATCH(C52,Trakai!E:E,0),0),"")</f>
        <v/>
      </c>
      <c r="I52" s="90" t="str" cm="1">
        <f t="array" ref="I52">IFERROR(INDEX(Jonava!Q:Q,MATCH(C52,Jonava!E:E,0),0),"")</f>
        <v/>
      </c>
      <c r="J52" s="22" cm="1">
        <f t="array" ref="J52">IFERROR(INDEX(Panevezys2!R:R,MATCH(C52,Panevezys2!E:E,0),0),"")</f>
        <v>0</v>
      </c>
      <c r="K52" s="90" t="str">
        <f>IFERROR(INDEX(Skaudvile!Q:Q,MATCH(C52,Skaudvile!E:E,0),0),"")</f>
        <v/>
      </c>
      <c r="L52" s="22" t="str">
        <f>IFERROR(INDEX(Moletai!Q:Q,MATCH(C52,Moletai!E:E,0),0),"")</f>
        <v/>
      </c>
      <c r="M52" s="90"/>
      <c r="N52" s="22">
        <v>1</v>
      </c>
      <c r="O52" s="108">
        <f>SUM(D52:M52)</f>
        <v>0</v>
      </c>
      <c r="P52" s="23">
        <f>O52/N52</f>
        <v>0</v>
      </c>
      <c r="Q52" s="128" t="str" cm="1">
        <f t="array" ref="Q52">IFERROR(SUMPRODUCT(LARGE(D52:M52,{1;2;3})),"0")</f>
        <v>0</v>
      </c>
      <c r="R52" s="127">
        <f>IFERROR(INDEX('Bendra įskaita (2025)'!A:A,MATCH(C52,'Bendra įskaita (2025)'!B:B,0),0),"")</f>
        <v>22</v>
      </c>
      <c r="S52" s="90">
        <f>IFERROR(INDEX('Bendra įskaita (2025)'!K:K,MATCH(C52,'Bendra įskaita (2025)'!B:B,0),0),"")</f>
        <v>1</v>
      </c>
      <c r="T52" s="149">
        <f>IFERROR(INDEX('Bendra įskaita (2024)'!A:A,MATCH(C52,'Bendra įskaita (2024)'!B:B,0),0),"")</f>
        <v>29</v>
      </c>
      <c r="U52" s="150">
        <f>IFERROR(INDEX('Bendra įskaita (2024)'!L:L,MATCH(C52,'Bendra įskaita (2024)'!B:B,0),0),"")</f>
        <v>3</v>
      </c>
    </row>
    <row r="53" spans="1:21" ht="15.75" customHeight="1">
      <c r="A53" s="106">
        <v>50</v>
      </c>
      <c r="B53" s="163" t="s">
        <v>23</v>
      </c>
      <c r="C53" s="115" t="s">
        <v>72</v>
      </c>
      <c r="D53" s="127" t="str" cm="1">
        <f t="array" ref="D53">IFERROR(INDEX(Panevezys!P:P,MATCH(C53,Panevezys!E:E,0),0),"")</f>
        <v/>
      </c>
      <c r="E53" s="90" t="str" cm="1">
        <f t="array" ref="E53">IFERROR(INDEX(Kaisiadorys!Q:Q,MATCH(C53,Kaisiadorys!E:E,0),0),"")</f>
        <v/>
      </c>
      <c r="F53" s="93" t="str" cm="1">
        <f t="array" ref="F53">IFERROR(INDEX(Veisiejai!Q:Q,MATCH(C53,Veisiejai!E:E,0),0),"")</f>
        <v/>
      </c>
      <c r="G53" s="90" t="str" cm="1">
        <f t="array" ref="G53">IFERROR(INDEX(Gdanskas!P:P,MATCH(C53,Gdanskas!C:C,0),0),"")</f>
        <v/>
      </c>
      <c r="H53" s="22" t="str" cm="1">
        <f t="array" ref="H53">IFERROR(INDEX(Trakai!R:R,MATCH(C53,Trakai!E:E,0),0),"")</f>
        <v/>
      </c>
      <c r="I53" s="90" t="str" cm="1">
        <f t="array" ref="I53">IFERROR(INDEX(Jonava!Q:Q,MATCH(C53,Jonava!E:E,0),0),"")</f>
        <v/>
      </c>
      <c r="J53" s="22" t="str" cm="1">
        <f t="array" ref="J53">IFERROR(INDEX(Panevezys2!R:R,MATCH(C53,Panevezys2!E:E,0),0),"")</f>
        <v/>
      </c>
      <c r="K53" s="90" t="str">
        <f>IFERROR(INDEX(Skaudvile!Q:Q,MATCH(C53,Skaudvile!E:E,0),0),"")</f>
        <v/>
      </c>
      <c r="L53" s="22" t="str">
        <f>IFERROR(INDEX(Moletai!Q:Q,MATCH(C53,Moletai!E:E,0),0),"")</f>
        <v/>
      </c>
      <c r="M53" s="90"/>
      <c r="N53" s="22">
        <f>COUNTIF(D53:M53,"&gt;0")</f>
        <v>0</v>
      </c>
      <c r="O53" s="108">
        <f>SUM(D53:M53)</f>
        <v>0</v>
      </c>
      <c r="P53" s="23" t="e">
        <f>O53/N53</f>
        <v>#DIV/0!</v>
      </c>
      <c r="Q53" s="128" t="str" cm="1">
        <f t="array" ref="Q53">IFERROR(SUMPRODUCT(LARGE(D53:M53,{1;2;3})),"0")</f>
        <v>0</v>
      </c>
      <c r="R53" s="127"/>
      <c r="S53" s="90"/>
      <c r="T53" s="147"/>
      <c r="U53" s="148"/>
    </row>
    <row r="54" spans="1:21" ht="15.75" customHeight="1" thickBot="1">
      <c r="A54" s="106">
        <v>50</v>
      </c>
      <c r="B54" s="157"/>
      <c r="C54" s="116" t="s">
        <v>73</v>
      </c>
      <c r="D54" s="127" t="str" cm="1">
        <f t="array" ref="D54">IFERROR(INDEX(Panevezys!P:P,MATCH(C54,Panevezys!E:E,0),0),"")</f>
        <v/>
      </c>
      <c r="E54" s="90" t="str" cm="1">
        <f t="array" ref="E54">IFERROR(INDEX(Kaisiadorys!Q:Q,MATCH(C54,Kaisiadorys!E:E,0),0),"")</f>
        <v/>
      </c>
      <c r="F54" s="93" t="str" cm="1">
        <f t="array" ref="F54">IFERROR(INDEX(Veisiejai!Q:Q,MATCH(C54,Veisiejai!E:E,0),0),"")</f>
        <v/>
      </c>
      <c r="G54" s="90" t="str" cm="1">
        <f t="array" ref="G54">IFERROR(INDEX(Gdanskas!P:P,MATCH(C54,Gdanskas!C:C,0),0),"")</f>
        <v/>
      </c>
      <c r="H54" s="22" t="str" cm="1">
        <f t="array" ref="H54">IFERROR(INDEX(Trakai!R:R,MATCH(C54,Trakai!E:E,0),0),"")</f>
        <v/>
      </c>
      <c r="I54" s="90" t="str" cm="1">
        <f t="array" ref="I54">IFERROR(INDEX(Jonava!Q:Q,MATCH(C54,Jonava!E:E,0),0),"")</f>
        <v/>
      </c>
      <c r="J54" s="22" t="str" cm="1">
        <f t="array" ref="J54">IFERROR(INDEX(Panevezys2!R:R,MATCH(C54,Panevezys2!E:E,0),0),"")</f>
        <v/>
      </c>
      <c r="K54" s="90" t="str">
        <f>IFERROR(INDEX(Skaudvile!Q:Q,MATCH(C54,Skaudvile!E:E,0),0),"")</f>
        <v/>
      </c>
      <c r="L54" s="22" t="str">
        <f>IFERROR(INDEX(Moletai!Q:Q,MATCH(C54,Moletai!E:E,0),0),"")</f>
        <v/>
      </c>
      <c r="M54" s="90"/>
      <c r="N54" s="22">
        <f>COUNTIF(D54:M54,"&gt;0")</f>
        <v>0</v>
      </c>
      <c r="O54" s="108">
        <f>SUM(D54:M54)</f>
        <v>0</v>
      </c>
      <c r="P54" s="23" t="e">
        <f>O54/N54</f>
        <v>#DIV/0!</v>
      </c>
      <c r="Q54" s="128" t="str" cm="1">
        <f t="array" ref="Q54">IFERROR(SUMPRODUCT(LARGE(E54:M54,{1;2;3})),"0")</f>
        <v>0</v>
      </c>
      <c r="R54" s="127">
        <f>IFERROR(INDEX('Bendra įskaita (2025)'!A:A,MATCH(C54,'Bendra įskaita (2025)'!B:B,0),0),"")</f>
        <v>14</v>
      </c>
      <c r="S54" s="90">
        <f>IFERROR(INDEX('Bendra įskaita (2025)'!K:K,MATCH(C54,'Bendra įskaita (2025)'!B:B,0),0),"")</f>
        <v>4</v>
      </c>
      <c r="T54" s="147">
        <f>IFERROR(INDEX('Bendra įskaita (2024)'!A:A,MATCH(C54,'Bendra įskaita (2024)'!B:B,0),0),"")</f>
        <v>34</v>
      </c>
      <c r="U54" s="148">
        <f>IFERROR(INDEX('Bendra įskaita (2024)'!L:L,MATCH(C54,'Bendra įskaita (2024)'!B:B,0),0),"")</f>
        <v>1</v>
      </c>
    </row>
    <row r="55" spans="1:21" ht="15.75" customHeight="1">
      <c r="A55" s="106">
        <v>50</v>
      </c>
      <c r="B55" s="157"/>
      <c r="C55" s="118" t="s">
        <v>74</v>
      </c>
      <c r="D55" s="127" t="str" cm="1">
        <f t="array" ref="D55">IFERROR(INDEX(Panevezys!P:P,MATCH(C55,Panevezys!E:E,0),0),"")</f>
        <v/>
      </c>
      <c r="E55" s="90" t="str" cm="1">
        <f t="array" ref="E55">IFERROR(INDEX(Kaisiadorys!Q:Q,MATCH(C55,Kaisiadorys!E:E,0),0),"")</f>
        <v/>
      </c>
      <c r="F55" s="93" t="str" cm="1">
        <f t="array" ref="F55">IFERROR(INDEX(Veisiejai!Q:Q,MATCH(C55,Veisiejai!E:E,0),0),"")</f>
        <v/>
      </c>
      <c r="G55" s="90" t="str" cm="1">
        <f t="array" ref="G55">IFERROR(INDEX(Gdanskas!P:P,MATCH(C55,Gdanskas!C:C,0),0),"")</f>
        <v/>
      </c>
      <c r="H55" s="22" t="str" cm="1">
        <f t="array" ref="H55">IFERROR(INDEX(Trakai!R:R,MATCH(C55,Trakai!E:E,0),0),"")</f>
        <v/>
      </c>
      <c r="I55" s="90" t="str" cm="1">
        <f t="array" ref="I55">IFERROR(INDEX(Jonava!Q:Q,MATCH(C55,Jonava!E:E,0),0),"")</f>
        <v/>
      </c>
      <c r="J55" s="22" t="str" cm="1">
        <f t="array" ref="J55">IFERROR(INDEX(Panevezys2!R:R,MATCH(C55,Panevezys2!E:E,0),0),"")</f>
        <v/>
      </c>
      <c r="K55" s="90" t="str">
        <f>IFERROR(INDEX(Skaudvile!Q:Q,MATCH(C55,Skaudvile!E:E,0),0),"")</f>
        <v/>
      </c>
      <c r="L55" s="22" t="str">
        <f>IFERROR(INDEX(Moletai!Q:Q,MATCH(C55,Moletai!E:E,0),0),"")</f>
        <v/>
      </c>
      <c r="M55" s="90"/>
      <c r="N55" s="22">
        <f>COUNTIF(D55:M55,"&gt;0")</f>
        <v>0</v>
      </c>
      <c r="O55" s="108">
        <f>SUM(D55:M55)</f>
        <v>0</v>
      </c>
      <c r="P55" s="23" t="e">
        <f>O55/N55</f>
        <v>#DIV/0!</v>
      </c>
      <c r="Q55" s="128" t="str" cm="1">
        <f t="array" ref="Q55">IFERROR(SUMPRODUCT(LARGE(D55:M55,{1;2;3})),"0")</f>
        <v>0</v>
      </c>
      <c r="R55" s="127">
        <f>IFERROR(INDEX('Bendra įskaita (2025)'!A:A,MATCH(C55,'Bendra įskaita (2025)'!B:B,0),0),"")</f>
        <v>24</v>
      </c>
      <c r="S55" s="90">
        <f>IFERROR(INDEX('Bendra įskaita (2025)'!K:K,MATCH(C55,'Bendra įskaita (2025)'!B:B,0),0),"")</f>
        <v>1</v>
      </c>
      <c r="T55" s="149">
        <f>IFERROR(INDEX('Bendra įskaita (2024)'!A:A,MATCH(C55,'Bendra įskaita (2024)'!B:B,0),0),"")</f>
        <v>47</v>
      </c>
      <c r="U55" s="150">
        <f>IFERROR(INDEX('Bendra įskaita (2024)'!L:L,MATCH(C55,'Bendra įskaita (2024)'!B:B,0),0),"")</f>
        <v>2</v>
      </c>
    </row>
    <row r="56" spans="1:21" ht="15.75" customHeight="1">
      <c r="A56" s="106">
        <v>50</v>
      </c>
      <c r="B56" s="157"/>
      <c r="C56" s="114" t="s">
        <v>75</v>
      </c>
      <c r="D56" s="127" t="str" cm="1">
        <f t="array" ref="D56">IFERROR(INDEX(Panevezys!P:P,MATCH(C56,Panevezys!E:E,0),0),"")</f>
        <v/>
      </c>
      <c r="E56" s="90" t="str" cm="1">
        <f t="array" ref="E56">IFERROR(INDEX(Kaisiadorys!Q:Q,MATCH(C56,Kaisiadorys!E:E,0),0),"")</f>
        <v/>
      </c>
      <c r="F56" s="93" t="str" cm="1">
        <f t="array" ref="F56">IFERROR(INDEX(Veisiejai!Q:Q,MATCH(C56,Veisiejai!E:E,0),0),"")</f>
        <v/>
      </c>
      <c r="G56" s="90" t="str" cm="1">
        <f t="array" ref="G56">IFERROR(INDEX(Gdanskas!P:P,MATCH(C56,Gdanskas!C:C,0),0),"")</f>
        <v/>
      </c>
      <c r="H56" s="22" t="str" cm="1">
        <f t="array" ref="H56">IFERROR(INDEX(Trakai!R:R,MATCH(C56,Trakai!E:E,0),0),"")</f>
        <v/>
      </c>
      <c r="I56" s="90" t="str" cm="1">
        <f t="array" ref="I56">IFERROR(INDEX(Jonava!Q:Q,MATCH(C56,Jonava!E:E,0),0),"")</f>
        <v/>
      </c>
      <c r="J56" s="22" t="str" cm="1">
        <f t="array" ref="J56">IFERROR(INDEX(Panevezys2!R:R,MATCH(C56,Panevezys2!E:E,0),0),"")</f>
        <v/>
      </c>
      <c r="K56" s="90" t="str">
        <f>IFERROR(INDEX(Skaudvile!Q:Q,MATCH(C56,Skaudvile!E:E,0),0),"")</f>
        <v/>
      </c>
      <c r="L56" s="22" t="str">
        <f>IFERROR(INDEX(Moletai!Q:Q,MATCH(C56,Moletai!E:E,0),0),"")</f>
        <v/>
      </c>
      <c r="M56" s="90"/>
      <c r="N56" s="22">
        <f>COUNTIF(D56:M56,"&gt;0")</f>
        <v>0</v>
      </c>
      <c r="O56" s="108">
        <f>SUM(D56:M56)</f>
        <v>0</v>
      </c>
      <c r="P56" s="23" t="e">
        <f>O56/N56</f>
        <v>#DIV/0!</v>
      </c>
      <c r="Q56" s="128" t="str" cm="1">
        <f t="array" ref="Q56">IFERROR(SUMPRODUCT(LARGE(E56:M56,{1;2;3})),"0")</f>
        <v>0</v>
      </c>
      <c r="R56" s="127">
        <f>IFERROR(INDEX('Bendra įskaita (2025)'!A:A,MATCH(C56,'Bendra įskaita (2025)'!B:B,0),0),"")</f>
        <v>21</v>
      </c>
      <c r="S56" s="90">
        <f>IFERROR(INDEX('Bendra įskaita (2025)'!K:K,MATCH(C56,'Bendra įskaita (2025)'!B:B,0),0),"")</f>
        <v>2</v>
      </c>
      <c r="T56" s="147">
        <f>IFERROR(INDEX('Bendra įskaita (2024)'!A:A,MATCH(C56,'Bendra įskaita (2024)'!B:B,0),0),"")</f>
        <v>16</v>
      </c>
      <c r="U56" s="148">
        <f>IFERROR(INDEX('Bendra įskaita (2024)'!L:L,MATCH(C56,'Bendra įskaita (2024)'!B:B,0),0),"")</f>
        <v>3</v>
      </c>
    </row>
    <row r="57" spans="1:21" ht="15.75" customHeight="1">
      <c r="A57" s="106">
        <v>50</v>
      </c>
      <c r="B57" s="157"/>
      <c r="C57" s="114" t="s">
        <v>76</v>
      </c>
      <c r="D57" s="127" t="str" cm="1">
        <f t="array" ref="D57">IFERROR(INDEX(Panevezys!P:P,MATCH(C57,Panevezys!E:E,0),0),"")</f>
        <v/>
      </c>
      <c r="E57" s="90" t="str" cm="1">
        <f t="array" ref="E57">IFERROR(INDEX(Kaisiadorys!Q:Q,MATCH(C57,Kaisiadorys!E:E,0),0),"")</f>
        <v/>
      </c>
      <c r="F57" s="93" t="str" cm="1">
        <f t="array" ref="F57">IFERROR(INDEX(Veisiejai!Q:Q,MATCH(C57,Veisiejai!E:E,0),0),"")</f>
        <v/>
      </c>
      <c r="G57" s="90" t="str" cm="1">
        <f t="array" ref="G57">IFERROR(INDEX(Gdanskas!P:P,MATCH(C57,Gdanskas!C:C,0),0),"")</f>
        <v/>
      </c>
      <c r="H57" s="22" t="str" cm="1">
        <f t="array" ref="H57">IFERROR(INDEX(Trakai!R:R,MATCH(C57,Trakai!E:E,0),0),"")</f>
        <v/>
      </c>
      <c r="I57" s="90" t="str" cm="1">
        <f t="array" ref="I57">IFERROR(INDEX(Jonava!Q:Q,MATCH(C57,Jonava!E:E,0),0),"")</f>
        <v/>
      </c>
      <c r="J57" s="22" t="str" cm="1">
        <f t="array" ref="J57">IFERROR(INDEX(Panevezys2!R:R,MATCH(C57,Panevezys2!E:E,0),0),"")</f>
        <v/>
      </c>
      <c r="K57" s="90" t="str">
        <f>IFERROR(INDEX(Skaudvile!Q:Q,MATCH(C57,Skaudvile!E:E,0),0),"")</f>
        <v/>
      </c>
      <c r="L57" s="22" t="str">
        <f>IFERROR(INDEX(Moletai!Q:Q,MATCH(C57,Moletai!E:E,0),0),"")</f>
        <v/>
      </c>
      <c r="M57" s="90"/>
      <c r="N57" s="22">
        <f>COUNTIF(D57:M57,"&gt;0")</f>
        <v>0</v>
      </c>
      <c r="O57" s="108">
        <f>SUM(D57:M57)</f>
        <v>0</v>
      </c>
      <c r="P57" s="23" t="e">
        <f>O57/N57</f>
        <v>#DIV/0!</v>
      </c>
      <c r="Q57" s="128" t="str" cm="1">
        <f t="array" ref="Q57">IFERROR(SUMPRODUCT(LARGE(D57:M57,{1;2;3})),"0")</f>
        <v>0</v>
      </c>
      <c r="R57" s="127">
        <f>IFERROR(INDEX('Bendra įskaita (2025)'!A:A,MATCH(C57,'Bendra įskaita (2025)'!B:B,0),0),"")</f>
        <v>29</v>
      </c>
      <c r="S57" s="90">
        <f>IFERROR(INDEX('Bendra įskaita (2025)'!K:K,MATCH(C57,'Bendra įskaita (2025)'!B:B,0),0),"")</f>
        <v>2</v>
      </c>
      <c r="T57" s="147">
        <f>IFERROR(INDEX('Bendra įskaita (2024)'!A:A,MATCH(C57,'Bendra įskaita (2024)'!B:B,0),0),"")</f>
        <v>27</v>
      </c>
      <c r="U57" s="148">
        <f>IFERROR(INDEX('Bendra įskaita (2024)'!L:L,MATCH(C57,'Bendra įskaita (2024)'!B:B,0),0),"")</f>
        <v>2</v>
      </c>
    </row>
    <row r="58" spans="1:21" ht="15.75" customHeight="1">
      <c r="A58" s="106">
        <v>50</v>
      </c>
      <c r="B58" s="157"/>
      <c r="C58" s="114" t="s">
        <v>77</v>
      </c>
      <c r="D58" s="127" t="str" cm="1">
        <f t="array" ref="D58">IFERROR(INDEX(Panevezys!P:P,MATCH(C58,Panevezys!E:E,0),0),"")</f>
        <v/>
      </c>
      <c r="E58" s="90" t="str" cm="1">
        <f t="array" ref="E58">IFERROR(INDEX(Kaisiadorys!Q:Q,MATCH(C58,Kaisiadorys!E:E,0),0),"")</f>
        <v/>
      </c>
      <c r="F58" s="93" t="str" cm="1">
        <f t="array" ref="F58">IFERROR(INDEX(Veisiejai!Q:Q,MATCH(C58,Veisiejai!E:E,0),0),"")</f>
        <v/>
      </c>
      <c r="G58" s="90" t="str" cm="1">
        <f t="array" ref="G58">IFERROR(INDEX(Gdanskas!P:P,MATCH(C58,Gdanskas!C:C,0),0),"")</f>
        <v/>
      </c>
      <c r="H58" s="22" t="str" cm="1">
        <f t="array" ref="H58">IFERROR(INDEX(Trakai!R:R,MATCH(C58,Trakai!E:E,0),0),"")</f>
        <v/>
      </c>
      <c r="I58" s="90" t="str" cm="1">
        <f t="array" ref="I58">IFERROR(INDEX(Jonava!Q:Q,MATCH(C58,Jonava!E:E,0),0),"")</f>
        <v/>
      </c>
      <c r="J58" s="22" t="str" cm="1">
        <f t="array" ref="J58">IFERROR(INDEX(Panevezys2!R:R,MATCH(C58,Panevezys2!E:E,0),0),"")</f>
        <v/>
      </c>
      <c r="K58" s="90" t="str">
        <f>IFERROR(INDEX(Skaudvile!Q:Q,MATCH(C58,Skaudvile!E:E,0),0),"")</f>
        <v/>
      </c>
      <c r="L58" s="22" t="str">
        <f>IFERROR(INDEX(Moletai!Q:Q,MATCH(C58,Moletai!E:E,0),0),"")</f>
        <v/>
      </c>
      <c r="M58" s="90"/>
      <c r="N58" s="22">
        <f>COUNTIF(D58:M58,"&gt;0")</f>
        <v>0</v>
      </c>
      <c r="O58" s="108">
        <f>SUM(D58:M58)</f>
        <v>0</v>
      </c>
      <c r="P58" s="23" t="e">
        <f>O58/N58</f>
        <v>#DIV/0!</v>
      </c>
      <c r="Q58" s="128" t="str" cm="1">
        <f t="array" ref="Q58">IFERROR(SUMPRODUCT(LARGE(D58:M58,{1;2;3})),"0")</f>
        <v>0</v>
      </c>
      <c r="R58" s="127">
        <f>IFERROR(INDEX('Bendra įskaita (2025)'!A:A,MATCH(C58,'Bendra įskaita (2025)'!B:B,0),0),"")</f>
        <v>30</v>
      </c>
      <c r="S58" s="90">
        <f>IFERROR(INDEX('Bendra įskaita (2025)'!K:K,MATCH(C58,'Bendra įskaita (2025)'!B:B,0),0),"")</f>
        <v>1</v>
      </c>
      <c r="T58" s="147">
        <f>IFERROR(INDEX('Bendra įskaita (2024)'!A:A,MATCH(C58,'Bendra įskaita (2024)'!B:B,0),0),"")</f>
        <v>24</v>
      </c>
      <c r="U58" s="148">
        <f>IFERROR(INDEX('Bendra įskaita (2024)'!L:L,MATCH(C58,'Bendra įskaita (2024)'!B:B,0),0),"")</f>
        <v>1</v>
      </c>
    </row>
    <row r="59" spans="1:21" ht="15.75" customHeight="1">
      <c r="A59" s="106">
        <v>50</v>
      </c>
      <c r="B59" s="157"/>
      <c r="C59" s="114" t="s">
        <v>78</v>
      </c>
      <c r="D59" s="127" t="str" cm="1">
        <f t="array" ref="D59">IFERROR(INDEX(Panevezys!P:P,MATCH(C59,Panevezys!E:E,0),0),"")</f>
        <v/>
      </c>
      <c r="E59" s="90" t="str" cm="1">
        <f t="array" ref="E59">IFERROR(INDEX(Kaisiadorys!Q:Q,MATCH(C59,Kaisiadorys!E:E,0),0),"")</f>
        <v/>
      </c>
      <c r="F59" s="93" t="str" cm="1">
        <f t="array" ref="F59">IFERROR(INDEX(Veisiejai!Q:Q,MATCH(C59,Veisiejai!E:E,0),0),"")</f>
        <v/>
      </c>
      <c r="G59" s="90" t="str" cm="1">
        <f t="array" ref="G59">IFERROR(INDEX(Gdanskas!P:P,MATCH(C59,Gdanskas!C:C,0),0),"")</f>
        <v/>
      </c>
      <c r="H59" s="22" t="str" cm="1">
        <f t="array" ref="H59">IFERROR(INDEX(Trakai!R:R,MATCH(C59,Trakai!E:E,0),0),"")</f>
        <v/>
      </c>
      <c r="I59" s="90" t="str" cm="1">
        <f t="array" ref="I59">IFERROR(INDEX(Jonava!Q:Q,MATCH(C59,Jonava!E:E,0),0),"")</f>
        <v/>
      </c>
      <c r="J59" s="22" t="str" cm="1">
        <f t="array" ref="J59">IFERROR(INDEX(Panevezys2!R:R,MATCH(C59,Panevezys2!E:E,0),0),"")</f>
        <v/>
      </c>
      <c r="K59" s="90" t="str">
        <f>IFERROR(INDEX(Skaudvile!Q:Q,MATCH(C59,Skaudvile!E:E,0),0),"")</f>
        <v/>
      </c>
      <c r="L59" s="22" t="str">
        <f>IFERROR(INDEX(Moletai!Q:Q,MATCH(C59,Moletai!E:E,0),0),"")</f>
        <v/>
      </c>
      <c r="M59" s="90"/>
      <c r="N59" s="22">
        <f>COUNTIF(D59:M59,"&gt;0")</f>
        <v>0</v>
      </c>
      <c r="O59" s="108">
        <f>SUM(D59:M59)</f>
        <v>0</v>
      </c>
      <c r="P59" s="23" t="e">
        <f>O59/N59</f>
        <v>#DIV/0!</v>
      </c>
      <c r="Q59" s="128" t="str" cm="1">
        <f t="array" ref="Q59">IFERROR(SUMPRODUCT(LARGE(D59:M59,{1;2;3})),"0")</f>
        <v>0</v>
      </c>
      <c r="R59" s="127">
        <f>IFERROR(INDEX('Bendra įskaita (2025)'!A:A,MATCH(C59,'Bendra įskaita (2025)'!B:B,0),0),"")</f>
        <v>32</v>
      </c>
      <c r="S59" s="90">
        <f>IFERROR(INDEX('Bendra įskaita (2025)'!K:K,MATCH(C59,'Bendra įskaita (2025)'!B:B,0),0),"")</f>
        <v>1</v>
      </c>
      <c r="T59" s="147">
        <f>IFERROR(INDEX('Bendra įskaita (2024)'!A:A,MATCH(C59,'Bendra įskaita (2024)'!B:B,0),0),"")</f>
        <v>84</v>
      </c>
      <c r="U59" s="148">
        <f>IFERROR(INDEX('Bendra įskaita (2024)'!L:L,MATCH(C59,'Bendra įskaita (2024)'!B:B,0),0),"")</f>
        <v>0</v>
      </c>
    </row>
    <row r="60" spans="1:21" ht="15.75" customHeight="1">
      <c r="A60" s="106">
        <v>50</v>
      </c>
      <c r="B60" s="157"/>
      <c r="C60" s="114" t="s">
        <v>79</v>
      </c>
      <c r="D60" s="127" t="str" cm="1">
        <f t="array" ref="D60">IFERROR(INDEX(Panevezys!P:P,MATCH(C60,Panevezys!E:E,0),0),"")</f>
        <v/>
      </c>
      <c r="E60" s="90" t="str" cm="1">
        <f t="array" ref="E60">IFERROR(INDEX(Kaisiadorys!Q:Q,MATCH(C60,Kaisiadorys!E:E,0),0),"")</f>
        <v/>
      </c>
      <c r="F60" s="93" t="str" cm="1">
        <f t="array" ref="F60">IFERROR(INDEX(Veisiejai!Q:Q,MATCH(C60,Veisiejai!E:E,0),0),"")</f>
        <v/>
      </c>
      <c r="G60" s="90" t="str" cm="1">
        <f t="array" ref="G60">IFERROR(INDEX(Gdanskas!P:P,MATCH(C60,Gdanskas!C:C,0),0),"")</f>
        <v/>
      </c>
      <c r="H60" s="22" t="str" cm="1">
        <f t="array" ref="H60">IFERROR(INDEX(Trakai!R:R,MATCH(C60,Trakai!E:E,0),0),"")</f>
        <v/>
      </c>
      <c r="I60" s="90" t="str" cm="1">
        <f t="array" ref="I60">IFERROR(INDEX(Jonava!Q:Q,MATCH(C60,Jonava!E:E,0),0),"")</f>
        <v/>
      </c>
      <c r="J60" s="22" t="str" cm="1">
        <f t="array" ref="J60">IFERROR(INDEX(Panevezys2!R:R,MATCH(C60,Panevezys2!E:E,0),0),"")</f>
        <v/>
      </c>
      <c r="K60" s="90" t="str">
        <f>IFERROR(INDEX(Skaudvile!Q:Q,MATCH(C60,Skaudvile!E:E,0),0),"")</f>
        <v/>
      </c>
      <c r="L60" s="22" t="str">
        <f>IFERROR(INDEX(Moletai!Q:Q,MATCH(C60,Moletai!E:E,0),0),"")</f>
        <v/>
      </c>
      <c r="M60" s="90"/>
      <c r="N60" s="22">
        <f>COUNTIF(D60:M60,"&gt;0")</f>
        <v>0</v>
      </c>
      <c r="O60" s="108">
        <f>SUM(D60:M60)</f>
        <v>0</v>
      </c>
      <c r="P60" s="23" t="e">
        <f>O60/N60</f>
        <v>#DIV/0!</v>
      </c>
      <c r="Q60" s="128" t="str" cm="1">
        <f t="array" ref="Q60">IFERROR(SUMPRODUCT(LARGE(E60:M60,{1;2;3})),"0")</f>
        <v>0</v>
      </c>
      <c r="R60" s="127">
        <f>IFERROR(INDEX('Bendra įskaita (2025)'!A:A,MATCH(C60,'Bendra įskaita (2025)'!B:B,0),0),"")</f>
        <v>33</v>
      </c>
      <c r="S60" s="90">
        <f>IFERROR(INDEX('Bendra įskaita (2025)'!K:K,MATCH(C60,'Bendra įskaita (2025)'!B:B,0),0),"")</f>
        <v>1</v>
      </c>
      <c r="T60" s="147">
        <f>IFERROR(INDEX('Bendra įskaita (2024)'!A:A,MATCH(C60,'Bendra įskaita (2024)'!B:B,0),0),"")</f>
        <v>70</v>
      </c>
      <c r="U60" s="148">
        <f>IFERROR(INDEX('Bendra įskaita (2024)'!L:L,MATCH(C60,'Bendra įskaita (2024)'!B:B,0),0),"")</f>
        <v>0</v>
      </c>
    </row>
    <row r="61" spans="1:21" ht="15.75" customHeight="1">
      <c r="A61" s="106">
        <v>50</v>
      </c>
      <c r="B61" s="157"/>
      <c r="C61" s="114" t="s">
        <v>80</v>
      </c>
      <c r="D61" s="127" t="str" cm="1">
        <f t="array" ref="D61">IFERROR(INDEX(Panevezys!P:P,MATCH(C61,Panevezys!E:E,0),0),"")</f>
        <v/>
      </c>
      <c r="E61" s="90" t="str" cm="1">
        <f t="array" ref="E61">IFERROR(INDEX(Kaisiadorys!Q:Q,MATCH(C61,Kaisiadorys!E:E,0),0),"")</f>
        <v/>
      </c>
      <c r="F61" s="93" t="str" cm="1">
        <f t="array" ref="F61">IFERROR(INDEX(Veisiejai!Q:Q,MATCH(C61,Veisiejai!E:E,0),0),"")</f>
        <v/>
      </c>
      <c r="G61" s="90" t="str" cm="1">
        <f t="array" ref="G61">IFERROR(INDEX(Gdanskas!P:P,MATCH(C61,Gdanskas!C:C,0),0),"")</f>
        <v/>
      </c>
      <c r="H61" s="22" t="str" cm="1">
        <f t="array" ref="H61">IFERROR(INDEX(Trakai!R:R,MATCH(C61,Trakai!E:E,0),0),"")</f>
        <v/>
      </c>
      <c r="I61" s="90" t="str" cm="1">
        <f t="array" ref="I61">IFERROR(INDEX(Jonava!Q:Q,MATCH(C61,Jonava!E:E,0),0),"")</f>
        <v/>
      </c>
      <c r="J61" s="22" t="str" cm="1">
        <f t="array" ref="J61">IFERROR(INDEX(Panevezys2!R:R,MATCH(C61,Panevezys2!E:E,0),0),"")</f>
        <v/>
      </c>
      <c r="K61" s="90" t="str">
        <f>IFERROR(INDEX(Skaudvile!Q:Q,MATCH(C61,Skaudvile!E:E,0),0),"")</f>
        <v/>
      </c>
      <c r="L61" s="22" t="str">
        <f>IFERROR(INDEX(Moletai!Q:Q,MATCH(C61,Moletai!E:E,0),0),"")</f>
        <v/>
      </c>
      <c r="M61" s="90"/>
      <c r="N61" s="22">
        <f>COUNTIF(D61:M61,"&gt;0")</f>
        <v>0</v>
      </c>
      <c r="O61" s="108">
        <f>SUM(D61:M61)</f>
        <v>0</v>
      </c>
      <c r="P61" s="23" t="e">
        <f>O61/N61</f>
        <v>#DIV/0!</v>
      </c>
      <c r="Q61" s="128" t="str" cm="1">
        <f t="array" ref="Q61">IFERROR(SUMPRODUCT(LARGE(D61:M61,{1;2;3})),"0")</f>
        <v>0</v>
      </c>
      <c r="R61" s="127">
        <f>IFERROR(INDEX('Bendra įskaita (2025)'!A:A,MATCH(C61,'Bendra įskaita (2025)'!B:B,0),0),"")</f>
        <v>34</v>
      </c>
      <c r="S61" s="90">
        <f>IFERROR(INDEX('Bendra įskaita (2025)'!K:K,MATCH(C61,'Bendra įskaita (2025)'!B:B,0),0),"")</f>
        <v>1</v>
      </c>
      <c r="T61" s="147">
        <f>IFERROR(INDEX('Bendra įskaita (2024)'!A:A,MATCH(C61,'Bendra įskaita (2024)'!B:B,0),0),"")</f>
        <v>33</v>
      </c>
      <c r="U61" s="148">
        <f>IFERROR(INDEX('Bendra įskaita (2024)'!L:L,MATCH(C61,'Bendra įskaita (2024)'!B:B,0),0),"")</f>
        <v>2</v>
      </c>
    </row>
    <row r="62" spans="1:21" ht="15.75" customHeight="1">
      <c r="A62" s="106">
        <v>50</v>
      </c>
      <c r="B62" s="157"/>
      <c r="C62" s="114" t="s">
        <v>81</v>
      </c>
      <c r="D62" s="127" t="str" cm="1">
        <f t="array" ref="D62">IFERROR(INDEX(Panevezys!P:P,MATCH(C62,Panevezys!E:E,0),0),"")</f>
        <v/>
      </c>
      <c r="E62" s="90" t="str" cm="1">
        <f t="array" ref="E62">IFERROR(INDEX(Kaisiadorys!Q:Q,MATCH(C62,Kaisiadorys!E:E,0),0),"")</f>
        <v/>
      </c>
      <c r="F62" s="93" t="str" cm="1">
        <f t="array" ref="F62">IFERROR(INDEX(Veisiejai!Q:Q,MATCH(C62,Veisiejai!E:E,0),0),"")</f>
        <v/>
      </c>
      <c r="G62" s="90" t="str" cm="1">
        <f t="array" ref="G62">IFERROR(INDEX(Gdanskas!P:P,MATCH(C62,Gdanskas!C:C,0),0),"")</f>
        <v/>
      </c>
      <c r="H62" s="22" t="str" cm="1">
        <f t="array" ref="H62">IFERROR(INDEX(Trakai!R:R,MATCH(C62,Trakai!E:E,0),0),"")</f>
        <v/>
      </c>
      <c r="I62" s="90" t="str" cm="1">
        <f t="array" ref="I62">IFERROR(INDEX(Jonava!Q:Q,MATCH(C62,Jonava!E:E,0),0),"")</f>
        <v/>
      </c>
      <c r="J62" s="22" t="str" cm="1">
        <f t="array" ref="J62">IFERROR(INDEX(Panevezys2!R:R,MATCH(C62,Panevezys2!E:E,0),0),"")</f>
        <v/>
      </c>
      <c r="K62" s="90" t="str">
        <f>IFERROR(INDEX(Skaudvile!Q:Q,MATCH(C62,Skaudvile!E:E,0),0),"")</f>
        <v/>
      </c>
      <c r="L62" s="22" t="str">
        <f>IFERROR(INDEX(Moletai!Q:Q,MATCH(C62,Moletai!E:E,0),0),"")</f>
        <v/>
      </c>
      <c r="M62" s="90"/>
      <c r="N62" s="22">
        <f>COUNTIF(D62:M62,"&gt;0")</f>
        <v>0</v>
      </c>
      <c r="O62" s="108">
        <f>SUM(D62:M62)</f>
        <v>0</v>
      </c>
      <c r="P62" s="23" t="e">
        <f>O62/N62</f>
        <v>#DIV/0!</v>
      </c>
      <c r="Q62" s="128" t="str" cm="1">
        <f t="array" ref="Q62">IFERROR(SUMPRODUCT(LARGE(E62:M62,{1;2;3})),"0")</f>
        <v>0</v>
      </c>
      <c r="R62" s="127">
        <f>IFERROR(INDEX('Bendra įskaita (2025)'!A:A,MATCH(C62,'Bendra įskaita (2025)'!B:B,0),0),"")</f>
        <v>37</v>
      </c>
      <c r="S62" s="90">
        <f>IFERROR(INDEX('Bendra įskaita (2025)'!K:K,MATCH(C62,'Bendra įskaita (2025)'!B:B,0),0),"")</f>
        <v>1</v>
      </c>
      <c r="T62" s="147"/>
      <c r="U62" s="148"/>
    </row>
    <row r="63" spans="1:21" ht="15.75" customHeight="1">
      <c r="A63" s="106">
        <v>50</v>
      </c>
      <c r="B63" s="157"/>
      <c r="C63" s="116" t="s">
        <v>82</v>
      </c>
      <c r="D63" s="127" t="str" cm="1">
        <f t="array" ref="D63">IFERROR(INDEX(Panevezys!P:P,MATCH(C63,Panevezys!E:E,0),0),"")</f>
        <v/>
      </c>
      <c r="E63" s="90" t="str" cm="1">
        <f t="array" ref="E63">IFERROR(INDEX(Kaisiadorys!Q:Q,MATCH(C63,Kaisiadorys!E:E,0),0),"")</f>
        <v/>
      </c>
      <c r="F63" s="93" t="str" cm="1">
        <f t="array" ref="F63">IFERROR(INDEX(Veisiejai!Q:Q,MATCH(C63,Veisiejai!E:E,0),0),"")</f>
        <v/>
      </c>
      <c r="G63" s="90" t="str" cm="1">
        <f t="array" ref="G63">IFERROR(INDEX(Gdanskas!P:P,MATCH(C63,Gdanskas!C:C,0),0),"")</f>
        <v/>
      </c>
      <c r="H63" s="22" t="str" cm="1">
        <f t="array" ref="H63">IFERROR(INDEX(Trakai!R:R,MATCH(C63,Trakai!E:E,0),0),"")</f>
        <v/>
      </c>
      <c r="I63" s="90" t="str" cm="1">
        <f t="array" ref="I63">IFERROR(INDEX(Jonava!Q:Q,MATCH(C63,Jonava!E:E,0),0),"")</f>
        <v/>
      </c>
      <c r="J63" s="22" t="str" cm="1">
        <f t="array" ref="J63">IFERROR(INDEX(Panevezys2!R:R,MATCH(C63,Panevezys2!E:E,0),0),"")</f>
        <v/>
      </c>
      <c r="K63" s="90" t="str">
        <f>IFERROR(INDEX(Skaudvile!Q:Q,MATCH(C63,Skaudvile!E:E,0),0),"")</f>
        <v/>
      </c>
      <c r="L63" s="22" t="str">
        <f>IFERROR(INDEX(Moletai!Q:Q,MATCH(C63,Moletai!E:E,0),0),"")</f>
        <v/>
      </c>
      <c r="M63" s="90"/>
      <c r="N63" s="22">
        <f>COUNTIF(D63:M63,"&gt;0")</f>
        <v>0</v>
      </c>
      <c r="O63" s="108">
        <f>SUM(D63:M63)</f>
        <v>0</v>
      </c>
      <c r="P63" s="23" t="e">
        <f>O63/N63</f>
        <v>#DIV/0!</v>
      </c>
      <c r="Q63" s="128" t="str" cm="1">
        <f t="array" ref="Q63">IFERROR(SUMPRODUCT(LARGE(D63:M63,{1;2;3})),"0")</f>
        <v>0</v>
      </c>
      <c r="R63" s="127">
        <f>IFERROR(INDEX('Bendra įskaita (2025)'!A:A,MATCH(C63,'Bendra įskaita (2025)'!B:B,0),0),"")</f>
        <v>38</v>
      </c>
      <c r="S63" s="90">
        <f>IFERROR(INDEX('Bendra įskaita (2025)'!K:K,MATCH(C63,'Bendra įskaita (2025)'!B:B,0),0),"")</f>
        <v>1</v>
      </c>
      <c r="T63" s="147">
        <f>IFERROR(INDEX('Bendra įskaita (2024)'!A:A,MATCH(C63,'Bendra įskaita (2024)'!B:B,0),0),"")</f>
        <v>42</v>
      </c>
      <c r="U63" s="148">
        <f>IFERROR(INDEX('Bendra įskaita (2024)'!L:L,MATCH(C63,'Bendra įskaita (2024)'!B:B,0),0),"")</f>
        <v>1</v>
      </c>
    </row>
    <row r="64" spans="1:21" ht="15.75" customHeight="1">
      <c r="A64" s="106">
        <v>50</v>
      </c>
      <c r="B64" s="157"/>
      <c r="C64" s="114" t="s">
        <v>83</v>
      </c>
      <c r="D64" s="127" t="str" cm="1">
        <f t="array" ref="D64">IFERROR(INDEX(Panevezys!P:P,MATCH(C64,Panevezys!E:E,0),0),"")</f>
        <v/>
      </c>
      <c r="E64" s="90" t="str" cm="1">
        <f t="array" ref="E64">IFERROR(INDEX(Kaisiadorys!Q:Q,MATCH(C64,Kaisiadorys!E:E,0),0),"")</f>
        <v/>
      </c>
      <c r="F64" s="93" t="str" cm="1">
        <f t="array" ref="F64">IFERROR(INDEX(Veisiejai!Q:Q,MATCH(C64,Veisiejai!E:E,0),0),"")</f>
        <v/>
      </c>
      <c r="G64" s="90" t="str" cm="1">
        <f t="array" ref="G64">IFERROR(INDEX(Gdanskas!P:P,MATCH(C64,Gdanskas!C:C,0),0),"")</f>
        <v/>
      </c>
      <c r="H64" s="22" t="str" cm="1">
        <f t="array" ref="H64">IFERROR(INDEX(Trakai!R:R,MATCH(C64,Trakai!E:E,0),0),"")</f>
        <v/>
      </c>
      <c r="I64" s="90" t="str" cm="1">
        <f t="array" ref="I64">IFERROR(INDEX(Jonava!Q:Q,MATCH(C64,Jonava!E:E,0),0),"")</f>
        <v/>
      </c>
      <c r="J64" s="22" t="str" cm="1">
        <f t="array" ref="J64">IFERROR(INDEX(Panevezys2!R:R,MATCH(C64,Panevezys2!E:E,0),0),"")</f>
        <v/>
      </c>
      <c r="K64" s="90" t="str">
        <f>IFERROR(INDEX(Skaudvile!Q:Q,MATCH(C64,Skaudvile!E:E,0),0),"")</f>
        <v/>
      </c>
      <c r="L64" s="22" t="str">
        <f>IFERROR(INDEX(Moletai!Q:Q,MATCH(C64,Moletai!E:E,0),0),"")</f>
        <v/>
      </c>
      <c r="M64" s="90"/>
      <c r="N64" s="22">
        <f>COUNTIF(D64:M64,"&gt;0")</f>
        <v>0</v>
      </c>
      <c r="O64" s="108">
        <f>SUM(D64:M64)</f>
        <v>0</v>
      </c>
      <c r="P64" s="23" t="e">
        <f>O64/N64</f>
        <v>#DIV/0!</v>
      </c>
      <c r="Q64" s="128" t="str" cm="1">
        <f t="array" ref="Q64">IFERROR(SUMPRODUCT(LARGE(E64:M64,{1;2;3})),"0")</f>
        <v>0</v>
      </c>
      <c r="R64" s="127">
        <f>IFERROR(INDEX('Bendra įskaita (2025)'!A:A,MATCH(C64,'Bendra įskaita (2025)'!B:B,0),0),"")</f>
        <v>41</v>
      </c>
      <c r="S64" s="90">
        <f>IFERROR(INDEX('Bendra įskaita (2025)'!K:K,MATCH(C64,'Bendra įskaita (2025)'!B:B,0),0),"")</f>
        <v>2</v>
      </c>
      <c r="T64" s="147">
        <f>IFERROR(INDEX('Bendra įskaita (2024)'!A:A,MATCH(C64,'Bendra įskaita (2024)'!B:B,0),0),"")</f>
        <v>36</v>
      </c>
      <c r="U64" s="148">
        <f>IFERROR(INDEX('Bendra įskaita (2024)'!L:L,MATCH(C64,'Bendra įskaita (2024)'!B:B,0),0),"")</f>
        <v>1</v>
      </c>
    </row>
    <row r="65" spans="1:21" ht="15.75" customHeight="1">
      <c r="A65" s="106">
        <v>50</v>
      </c>
      <c r="B65" s="157"/>
      <c r="C65" s="114" t="s">
        <v>84</v>
      </c>
      <c r="D65" s="127" t="str" cm="1">
        <f t="array" ref="D65">IFERROR(INDEX(Panevezys!P:P,MATCH(C65,Panevezys!E:E,0),0),"")</f>
        <v/>
      </c>
      <c r="E65" s="90" t="str" cm="1">
        <f t="array" ref="E65">IFERROR(INDEX(Kaisiadorys!Q:Q,MATCH(C65,Kaisiadorys!E:E,0),0),"")</f>
        <v/>
      </c>
      <c r="F65" s="93" t="str" cm="1">
        <f t="array" ref="F65">IFERROR(INDEX(Veisiejai!Q:Q,MATCH(C65,Veisiejai!E:E,0),0),"")</f>
        <v/>
      </c>
      <c r="G65" s="90" t="str" cm="1">
        <f t="array" ref="G65">IFERROR(INDEX(Gdanskas!P:P,MATCH(C65,Gdanskas!C:C,0),0),"")</f>
        <v/>
      </c>
      <c r="H65" s="22" t="str" cm="1">
        <f t="array" ref="H65">IFERROR(INDEX(Trakai!R:R,MATCH(C65,Trakai!E:E,0),0),"")</f>
        <v/>
      </c>
      <c r="I65" s="90" t="str" cm="1">
        <f t="array" ref="I65">IFERROR(INDEX(Jonava!Q:Q,MATCH(C65,Jonava!E:E,0),0),"")</f>
        <v/>
      </c>
      <c r="J65" s="22" t="str" cm="1">
        <f t="array" ref="J65">IFERROR(INDEX(Panevezys2!R:R,MATCH(C65,Panevezys2!E:E,0),0),"")</f>
        <v/>
      </c>
      <c r="K65" s="90" t="str">
        <f>IFERROR(INDEX(Skaudvile!Q:Q,MATCH(C65,Skaudvile!E:E,0),0),"")</f>
        <v/>
      </c>
      <c r="L65" s="22" t="str">
        <f>IFERROR(INDEX(Moletai!Q:Q,MATCH(C65,Moletai!E:E,0),0),"")</f>
        <v/>
      </c>
      <c r="M65" s="90"/>
      <c r="N65" s="22">
        <f>COUNTIF(D65:M65,"&gt;0")</f>
        <v>0</v>
      </c>
      <c r="O65" s="108">
        <f>SUM(D65:M65)</f>
        <v>0</v>
      </c>
      <c r="P65" s="23" t="e">
        <f>O65/N65</f>
        <v>#DIV/0!</v>
      </c>
      <c r="Q65" s="128" t="str" cm="1">
        <f t="array" ref="Q65">IFERROR(SUMPRODUCT(LARGE(D65:M65,{1;2;3})),"0")</f>
        <v>0</v>
      </c>
      <c r="R65" s="127">
        <f>IFERROR(INDEX('Bendra įskaita (2025)'!A:A,MATCH(C65,'Bendra įskaita (2025)'!B:B,0),0),"")</f>
        <v>51</v>
      </c>
      <c r="S65" s="90">
        <f>IFERROR(INDEX('Bendra įskaita (2025)'!K:K,MATCH(C65,'Bendra įskaita (2025)'!B:B,0),0),"")</f>
        <v>0</v>
      </c>
      <c r="T65" s="147">
        <f>IFERROR(INDEX('Bendra įskaita (2024)'!A:A,MATCH(C65,'Bendra įskaita (2024)'!B:B,0),0),"")</f>
        <v>5</v>
      </c>
      <c r="U65" s="148">
        <f>IFERROR(INDEX('Bendra įskaita (2024)'!L:L,MATCH(C65,'Bendra įskaita (2024)'!B:B,0),0),"")</f>
        <v>5</v>
      </c>
    </row>
    <row r="66" spans="1:21" ht="15.75" customHeight="1">
      <c r="A66" s="106">
        <v>50</v>
      </c>
      <c r="B66" s="157"/>
      <c r="C66" s="114" t="s">
        <v>85</v>
      </c>
      <c r="D66" s="127" t="str" cm="1">
        <f t="array" ref="D66">IFERROR(INDEX(Panevezys!P:P,MATCH(C66,Panevezys!E:E,0),0),"")</f>
        <v/>
      </c>
      <c r="E66" s="90" t="str" cm="1">
        <f t="array" ref="E66">IFERROR(INDEX(Kaisiadorys!Q:Q,MATCH(C66,Kaisiadorys!E:E,0),0),"")</f>
        <v/>
      </c>
      <c r="F66" s="93" t="str" cm="1">
        <f t="array" ref="F66">IFERROR(INDEX(Veisiejai!Q:Q,MATCH(C66,Veisiejai!E:E,0),0),"")</f>
        <v/>
      </c>
      <c r="G66" s="90" t="str" cm="1">
        <f t="array" ref="G66">IFERROR(INDEX(Gdanskas!P:P,MATCH(C66,Gdanskas!C:C,0),0),"")</f>
        <v/>
      </c>
      <c r="H66" s="22" t="str" cm="1">
        <f t="array" ref="H66">IFERROR(INDEX(Trakai!R:R,MATCH(C66,Trakai!E:E,0),0),"")</f>
        <v/>
      </c>
      <c r="I66" s="90" t="str" cm="1">
        <f t="array" ref="I66">IFERROR(INDEX(Jonava!Q:Q,MATCH(C66,Jonava!E:E,0),0),"")</f>
        <v/>
      </c>
      <c r="J66" s="22" t="str" cm="1">
        <f t="array" ref="J66">IFERROR(INDEX(Panevezys2!R:R,MATCH(C66,Panevezys2!E:E,0),0),"")</f>
        <v/>
      </c>
      <c r="K66" s="90" t="str">
        <f>IFERROR(INDEX(Skaudvile!Q:Q,MATCH(C66,Skaudvile!E:E,0),0),"")</f>
        <v/>
      </c>
      <c r="L66" s="22" t="str">
        <f>IFERROR(INDEX(Moletai!Q:Q,MATCH(C66,Moletai!E:E,0),0),"")</f>
        <v/>
      </c>
      <c r="M66" s="90"/>
      <c r="N66" s="22">
        <f>COUNTIF(D66:M66,"&gt;0")</f>
        <v>0</v>
      </c>
      <c r="O66" s="108">
        <f>SUM(D66:M66)</f>
        <v>0</v>
      </c>
      <c r="P66" s="23" t="e">
        <f>O66/N66</f>
        <v>#DIV/0!</v>
      </c>
      <c r="Q66" s="131" t="str" cm="1">
        <f t="array" ref="Q66">IFERROR(SUMPRODUCT(LARGE(D66:M66,{1;2;3})),"0")</f>
        <v>0</v>
      </c>
      <c r="R66" s="127">
        <f>IFERROR(INDEX('Bendra įskaita (2025)'!A:A,MATCH(C66,'Bendra įskaita (2025)'!B:B,0),0),"")</f>
        <v>50</v>
      </c>
      <c r="S66" s="90">
        <f>IFERROR(INDEX('Bendra įskaita (2025)'!K:K,MATCH(C66,'Bendra įskaita (2025)'!B:B,0),0),"")</f>
        <v>0</v>
      </c>
      <c r="T66" s="147">
        <f>IFERROR(INDEX('Bendra įskaita (2024)'!A:A,MATCH(C66,'Bendra įskaita (2024)'!B:B,0),0),"")</f>
        <v>18</v>
      </c>
      <c r="U66" s="148">
        <f>IFERROR(INDEX('Bendra įskaita (2024)'!L:L,MATCH(C66,'Bendra įskaita (2024)'!B:B,0),0),"")</f>
        <v>3</v>
      </c>
    </row>
    <row r="67" spans="1:21" ht="15.75" customHeight="1">
      <c r="A67" s="106">
        <v>50</v>
      </c>
      <c r="B67" s="157"/>
      <c r="C67" s="114" t="s">
        <v>86</v>
      </c>
      <c r="D67" s="127" t="str" cm="1">
        <f t="array" ref="D67">IFERROR(INDEX(Panevezys!P:P,MATCH(C67,Panevezys!E:E,0),0),"")</f>
        <v/>
      </c>
      <c r="E67" s="90" t="str" cm="1">
        <f t="array" ref="E67">IFERROR(INDEX(Kaisiadorys!Q:Q,MATCH(C67,Kaisiadorys!E:E,0),0),"")</f>
        <v/>
      </c>
      <c r="F67" s="93" t="str" cm="1">
        <f t="array" ref="F67">IFERROR(INDEX(Veisiejai!Q:Q,MATCH(C67,Veisiejai!E:E,0),0),"")</f>
        <v/>
      </c>
      <c r="G67" s="90" t="str" cm="1">
        <f t="array" ref="G67">IFERROR(INDEX(Gdanskas!P:P,MATCH(C67,Gdanskas!C:C,0),0),"")</f>
        <v/>
      </c>
      <c r="H67" s="22" t="str" cm="1">
        <f t="array" ref="H67">IFERROR(INDEX(Trakai!R:R,MATCH(C67,Trakai!E:E,0),0),"")</f>
        <v/>
      </c>
      <c r="I67" s="90" t="str" cm="1">
        <f t="array" ref="I67">IFERROR(INDEX(Jonava!Q:Q,MATCH(C67,Jonava!E:E,0),0),"")</f>
        <v/>
      </c>
      <c r="J67" s="22" t="str" cm="1">
        <f t="array" ref="J67">IFERROR(INDEX(Panevezys2!R:R,MATCH(C67,Panevezys2!E:E,0),0),"")</f>
        <v/>
      </c>
      <c r="K67" s="90" t="str">
        <f>IFERROR(INDEX(Skaudvile!Q:Q,MATCH(C67,Skaudvile!E:E,0),0),"")</f>
        <v/>
      </c>
      <c r="L67" s="22" t="str">
        <f>IFERROR(INDEX(Moletai!Q:Q,MATCH(C67,Moletai!E:E,0),0),"")</f>
        <v/>
      </c>
      <c r="M67" s="90"/>
      <c r="N67" s="22">
        <f>COUNTIF(D67:M67,"&gt;0")</f>
        <v>0</v>
      </c>
      <c r="O67" s="108">
        <f>SUM(D67:M67)</f>
        <v>0</v>
      </c>
      <c r="P67" s="23" t="e">
        <f>O67/N67</f>
        <v>#DIV/0!</v>
      </c>
      <c r="Q67" s="128" t="str" cm="1">
        <f t="array" ref="Q67">IFERROR(SUMPRODUCT(LARGE(D67:M67,{1;2;3})),"0")</f>
        <v>0</v>
      </c>
      <c r="R67" s="127">
        <f>IFERROR(INDEX('Bendra įskaita (2025)'!A:A,MATCH(C67,'Bendra įskaita (2025)'!B:B,0),0),"")</f>
        <v>51</v>
      </c>
      <c r="S67" s="90">
        <f>IFERROR(INDEX('Bendra įskaita (2025)'!K:K,MATCH(C67,'Bendra įskaita (2025)'!B:B,0),0),"")</f>
        <v>0</v>
      </c>
      <c r="T67" s="147">
        <f>IFERROR(INDEX('Bendra įskaita (2024)'!A:A,MATCH(C67,'Bendra įskaita (2024)'!B:B,0),0),"")</f>
        <v>23</v>
      </c>
      <c r="U67" s="148">
        <f>IFERROR(INDEX('Bendra įskaita (2024)'!L:L,MATCH(C67,'Bendra įskaita (2024)'!B:B,0),0),"")</f>
        <v>1</v>
      </c>
    </row>
    <row r="68" spans="1:21" ht="15.75" customHeight="1">
      <c r="A68" s="106">
        <v>50</v>
      </c>
      <c r="B68" s="157"/>
      <c r="C68" s="120" t="s">
        <v>87</v>
      </c>
      <c r="D68" s="127" t="str" cm="1">
        <f t="array" ref="D68">IFERROR(INDEX(Panevezys!P:P,MATCH(C68,Panevezys!E:E,0),0),"")</f>
        <v/>
      </c>
      <c r="E68" s="90" t="str" cm="1">
        <f t="array" ref="E68">IFERROR(INDEX(Kaisiadorys!Q:Q,MATCH(C68,Kaisiadorys!E:E,0),0),"")</f>
        <v/>
      </c>
      <c r="F68" s="93" t="str" cm="1">
        <f t="array" ref="F68">IFERROR(INDEX(Veisiejai!Q:Q,MATCH(C68,Veisiejai!E:E,0),0),"")</f>
        <v/>
      </c>
      <c r="G68" s="90" t="str" cm="1">
        <f t="array" ref="G68">IFERROR(INDEX(Gdanskas!P:P,MATCH(C68,Gdanskas!C:C,0),0),"")</f>
        <v/>
      </c>
      <c r="H68" s="22" t="str" cm="1">
        <f t="array" ref="H68">IFERROR(INDEX(Trakai!R:R,MATCH(C68,Trakai!E:E,0),0),"")</f>
        <v/>
      </c>
      <c r="I68" s="90" t="str" cm="1">
        <f t="array" ref="I68">IFERROR(INDEX(Jonava!Q:Q,MATCH(C68,Jonava!E:E,0),0),"")</f>
        <v/>
      </c>
      <c r="J68" s="22" t="str" cm="1">
        <f t="array" ref="J68">IFERROR(INDEX(Panevezys2!R:R,MATCH(C68,Panevezys2!E:E,0),0),"")</f>
        <v/>
      </c>
      <c r="K68" s="90" t="str">
        <f>IFERROR(INDEX(Skaudvile!Q:Q,MATCH(C68,Skaudvile!E:E,0),0),"")</f>
        <v/>
      </c>
      <c r="L68" s="22" t="str">
        <f>IFERROR(INDEX(Moletai!Q:Q,MATCH(C68,Moletai!E:E,0),0),"")</f>
        <v/>
      </c>
      <c r="M68" s="90"/>
      <c r="N68" s="22">
        <f>COUNTIF(D68:M68,"&gt;0")</f>
        <v>0</v>
      </c>
      <c r="O68" s="108">
        <f>SUM(D68:M68)</f>
        <v>0</v>
      </c>
      <c r="P68" s="23" t="e">
        <f>O68/N68</f>
        <v>#DIV/0!</v>
      </c>
      <c r="Q68" s="128" t="str" cm="1">
        <f t="array" ref="Q68">IFERROR(SUMPRODUCT(LARGE(E68:M68,{1;2;3;4})),"0")</f>
        <v>0</v>
      </c>
      <c r="R68" s="127">
        <f>IFERROR(INDEX('Bendra įskaita (2025)'!A:A,MATCH(C68,'Bendra įskaita (2025)'!B:B,0),0),"")</f>
        <v>51</v>
      </c>
      <c r="S68" s="90">
        <f>IFERROR(INDEX('Bendra įskaita (2025)'!K:K,MATCH(C68,'Bendra įskaita (2025)'!B:B,0),0),"")</f>
        <v>0</v>
      </c>
      <c r="T68" s="147">
        <f>IFERROR(INDEX('Bendra įskaita (2024)'!A:A,MATCH(C68,'Bendra įskaita (2024)'!B:B,0),0),"")</f>
        <v>25</v>
      </c>
      <c r="U68" s="148">
        <f>IFERROR(INDEX('Bendra įskaita (2024)'!L:L,MATCH(C68,'Bendra įskaita (2024)'!B:B,0),0),"")</f>
        <v>1</v>
      </c>
    </row>
    <row r="69" spans="1:21" ht="15.75" customHeight="1">
      <c r="A69" s="106">
        <v>50</v>
      </c>
      <c r="B69" s="157"/>
      <c r="C69" s="114" t="s">
        <v>88</v>
      </c>
      <c r="D69" s="127" t="str" cm="1">
        <f t="array" ref="D69">IFERROR(INDEX(Panevezys!P:P,MATCH(C69,Panevezys!E:E,0),0),"")</f>
        <v/>
      </c>
      <c r="E69" s="90" t="str" cm="1">
        <f t="array" ref="E69">IFERROR(INDEX(Kaisiadorys!Q:Q,MATCH(C69,Kaisiadorys!E:E,0),0),"")</f>
        <v/>
      </c>
      <c r="F69" s="93" t="str" cm="1">
        <f t="array" ref="F69">IFERROR(INDEX(Veisiejai!Q:Q,MATCH(C69,Veisiejai!E:E,0),0),"")</f>
        <v/>
      </c>
      <c r="G69" s="90" t="str" cm="1">
        <f t="array" ref="G69">IFERROR(INDEX(Gdanskas!P:P,MATCH(C69,Gdanskas!C:C,0),0),"")</f>
        <v/>
      </c>
      <c r="H69" s="22" t="str" cm="1">
        <f t="array" ref="H69">IFERROR(INDEX(Trakai!R:R,MATCH(C69,Trakai!E:E,0),0),"")</f>
        <v/>
      </c>
      <c r="I69" s="90" t="str" cm="1">
        <f t="array" ref="I69">IFERROR(INDEX(Jonava!Q:Q,MATCH(C69,Jonava!E:E,0),0),"")</f>
        <v/>
      </c>
      <c r="J69" s="22" t="str" cm="1">
        <f t="array" ref="J69">IFERROR(INDEX(Panevezys2!R:R,MATCH(C69,Panevezys2!E:E,0),0),"")</f>
        <v/>
      </c>
      <c r="K69" s="90" t="str">
        <f>IFERROR(INDEX(Skaudvile!Q:Q,MATCH(C69,Skaudvile!E:E,0),0),"")</f>
        <v/>
      </c>
      <c r="L69" s="22" t="str">
        <f>IFERROR(INDEX(Moletai!Q:Q,MATCH(C69,Moletai!E:E,0),0),"")</f>
        <v/>
      </c>
      <c r="M69" s="90"/>
      <c r="N69" s="22">
        <f>COUNTIF(D69:M69,"&gt;0")</f>
        <v>0</v>
      </c>
      <c r="O69" s="108">
        <f>SUM(D69:M69)</f>
        <v>0</v>
      </c>
      <c r="P69" s="23" t="e">
        <f>O69/N69</f>
        <v>#DIV/0!</v>
      </c>
      <c r="Q69" s="128" t="str" cm="1">
        <f t="array" ref="Q69">IFERROR(SUMPRODUCT(LARGE(E69:M69,{1;2;3})),"0")</f>
        <v>0</v>
      </c>
      <c r="R69" s="127">
        <f>IFERROR(INDEX('Bendra įskaita (2025)'!A:A,MATCH(C69,'Bendra įskaita (2025)'!B:B,0),0),"")</f>
        <v>51</v>
      </c>
      <c r="S69" s="90">
        <f>IFERROR(INDEX('Bendra įskaita (2025)'!K:K,MATCH(C69,'Bendra įskaita (2025)'!B:B,0),0),"")</f>
        <v>0</v>
      </c>
      <c r="T69" s="147">
        <f>IFERROR(INDEX('Bendra įskaita (2024)'!A:A,MATCH(C69,'Bendra įskaita (2024)'!B:B,0),0),"")</f>
        <v>26</v>
      </c>
      <c r="U69" s="148">
        <f>IFERROR(INDEX('Bendra įskaita (2024)'!L:L,MATCH(C69,'Bendra įskaita (2024)'!B:B,0),0),"")</f>
        <v>1</v>
      </c>
    </row>
    <row r="70" spans="1:21" ht="15.75" customHeight="1">
      <c r="A70" s="106">
        <v>50</v>
      </c>
      <c r="B70" s="157"/>
      <c r="C70" s="114" t="s">
        <v>89</v>
      </c>
      <c r="D70" s="127" t="str" cm="1">
        <f t="array" ref="D70">IFERROR(INDEX(Panevezys!P:P,MATCH(C70,Panevezys!E:E,0),0),"")</f>
        <v/>
      </c>
      <c r="E70" s="90" t="str" cm="1">
        <f t="array" ref="E70">IFERROR(INDEX(Kaisiadorys!Q:Q,MATCH(C70,Kaisiadorys!E:E,0),0),"")</f>
        <v/>
      </c>
      <c r="F70" s="93" t="str" cm="1">
        <f t="array" ref="F70">IFERROR(INDEX(Veisiejai!Q:Q,MATCH(C70,Veisiejai!E:E,0),0),"")</f>
        <v/>
      </c>
      <c r="G70" s="90" t="str" cm="1">
        <f t="array" ref="G70">IFERROR(INDEX(Gdanskas!P:P,MATCH(C70,Gdanskas!C:C,0),0),"")</f>
        <v/>
      </c>
      <c r="H70" s="22" t="str" cm="1">
        <f t="array" ref="H70">IFERROR(INDEX(Trakai!R:R,MATCH(C70,Trakai!E:E,0),0),"")</f>
        <v/>
      </c>
      <c r="I70" s="90" t="str" cm="1">
        <f t="array" ref="I70">IFERROR(INDEX(Jonava!Q:Q,MATCH(C70,Jonava!E:E,0),0),"")</f>
        <v/>
      </c>
      <c r="J70" s="22" t="str" cm="1">
        <f t="array" ref="J70">IFERROR(INDEX(Panevezys2!R:R,MATCH(C70,Panevezys2!E:E,0),0),"")</f>
        <v/>
      </c>
      <c r="K70" s="90" t="str">
        <f>IFERROR(INDEX(Skaudvile!Q:Q,MATCH(C70,Skaudvile!E:E,0),0),"")</f>
        <v/>
      </c>
      <c r="L70" s="22" t="str">
        <f>IFERROR(INDEX(Moletai!Q:Q,MATCH(C70,Moletai!E:E,0),0),"")</f>
        <v/>
      </c>
      <c r="M70" s="90"/>
      <c r="N70" s="22">
        <f>COUNTIF(D70:M70,"&gt;0")</f>
        <v>0</v>
      </c>
      <c r="O70" s="108">
        <f>SUM(D70:M70)</f>
        <v>0</v>
      </c>
      <c r="P70" s="23" t="e">
        <f>O70/N70</f>
        <v>#DIV/0!</v>
      </c>
      <c r="Q70" s="128" t="str" cm="1">
        <f t="array" ref="Q70">IFERROR(SUMPRODUCT(LARGE(E70:M70,{1;2;3})),"0")</f>
        <v>0</v>
      </c>
      <c r="R70" s="127">
        <f>IFERROR(INDEX('Bendra įskaita (2025)'!A:A,MATCH(C70,'Bendra įskaita (2025)'!B:B,0),0),"")</f>
        <v>51</v>
      </c>
      <c r="S70" s="90">
        <f>IFERROR(INDEX('Bendra įskaita (2025)'!K:K,MATCH(C70,'Bendra įskaita (2025)'!B:B,0),0),"")</f>
        <v>0</v>
      </c>
      <c r="T70" s="147">
        <f>IFERROR(INDEX('Bendra įskaita (2024)'!A:A,MATCH(C70,'Bendra įskaita (2024)'!B:B,0),0),"")</f>
        <v>28</v>
      </c>
      <c r="U70" s="148">
        <f>IFERROR(INDEX('Bendra įskaita (2024)'!L:L,MATCH(C70,'Bendra įskaita (2024)'!B:B,0),0),"")</f>
        <v>2</v>
      </c>
    </row>
    <row r="71" spans="1:21" ht="15.75" customHeight="1">
      <c r="A71" s="106">
        <v>50</v>
      </c>
      <c r="B71" s="157"/>
      <c r="C71" s="114" t="s">
        <v>90</v>
      </c>
      <c r="D71" s="127" t="str" cm="1">
        <f t="array" ref="D71">IFERROR(INDEX(Panevezys!P:P,MATCH(C71,Panevezys!E:E,0),0),"")</f>
        <v/>
      </c>
      <c r="E71" s="90" t="str" cm="1">
        <f t="array" ref="E71">IFERROR(INDEX(Kaisiadorys!Q:Q,MATCH(C71,Kaisiadorys!E:E,0),0),"")</f>
        <v/>
      </c>
      <c r="F71" s="93" t="str" cm="1">
        <f t="array" ref="F71">IFERROR(INDEX(Veisiejai!Q:Q,MATCH(C71,Veisiejai!E:E,0),0),"")</f>
        <v/>
      </c>
      <c r="G71" s="90" t="str" cm="1">
        <f t="array" ref="G71">IFERROR(INDEX(Gdanskas!P:P,MATCH(C71,Gdanskas!C:C,0),0),"")</f>
        <v/>
      </c>
      <c r="H71" s="22" t="str" cm="1">
        <f t="array" ref="H71">IFERROR(INDEX(Trakai!R:R,MATCH(C71,Trakai!E:E,0),0),"")</f>
        <v/>
      </c>
      <c r="I71" s="90" t="str" cm="1">
        <f t="array" ref="I71">IFERROR(INDEX(Jonava!Q:Q,MATCH(C71,Jonava!E:E,0),0),"")</f>
        <v/>
      </c>
      <c r="J71" s="22" t="str" cm="1">
        <f t="array" ref="J71">IFERROR(INDEX(Panevezys2!R:R,MATCH(C71,Panevezys2!E:E,0),0),"")</f>
        <v/>
      </c>
      <c r="K71" s="90" t="str">
        <f>IFERROR(INDEX(Skaudvile!Q:Q,MATCH(C71,Skaudvile!E:E,0),0),"")</f>
        <v/>
      </c>
      <c r="L71" s="22" t="str">
        <f>IFERROR(INDEX(Moletai!Q:Q,MATCH(C71,Moletai!E:E,0),0),"")</f>
        <v/>
      </c>
      <c r="M71" s="90"/>
      <c r="N71" s="22">
        <f>COUNTIF(D71:M71,"&gt;0")</f>
        <v>0</v>
      </c>
      <c r="O71" s="108">
        <f>SUM(D71:M71)</f>
        <v>0</v>
      </c>
      <c r="P71" s="23" t="e">
        <f>O71/N71</f>
        <v>#DIV/0!</v>
      </c>
      <c r="Q71" s="128" t="str" cm="1">
        <f t="array" ref="Q71">IFERROR(SUMPRODUCT(LARGE(E71:M71,{1;2;3})),"0")</f>
        <v>0</v>
      </c>
      <c r="R71" s="127">
        <f>IFERROR(INDEX('Bendra įskaita (2025)'!A:A,MATCH(C71,'Bendra įskaita (2025)'!B:B,0),0),"")</f>
        <v>51</v>
      </c>
      <c r="S71" s="90">
        <f>IFERROR(INDEX('Bendra įskaita (2025)'!K:K,MATCH(C71,'Bendra įskaita (2025)'!B:B,0),0),"")</f>
        <v>0</v>
      </c>
      <c r="T71" s="147">
        <f>IFERROR(INDEX('Bendra įskaita (2024)'!A:A,MATCH(C71,'Bendra įskaita (2024)'!B:B,0),0),"")</f>
        <v>41</v>
      </c>
      <c r="U71" s="148">
        <f>IFERROR(INDEX('Bendra įskaita (2024)'!L:L,MATCH(C71,'Bendra įskaita (2024)'!B:B,0),0),"")</f>
        <v>1</v>
      </c>
    </row>
    <row r="72" spans="1:21" ht="15.75" customHeight="1">
      <c r="A72" s="106">
        <v>50</v>
      </c>
      <c r="B72" s="157"/>
      <c r="C72" s="114" t="s">
        <v>91</v>
      </c>
      <c r="D72" s="127" t="str" cm="1">
        <f t="array" ref="D72">IFERROR(INDEX(Panevezys!P:P,MATCH(C72,Panevezys!E:E,0),0),"")</f>
        <v/>
      </c>
      <c r="E72" s="90" t="str" cm="1">
        <f t="array" ref="E72">IFERROR(INDEX(Kaisiadorys!Q:Q,MATCH(C72,Kaisiadorys!E:E,0),0),"")</f>
        <v/>
      </c>
      <c r="F72" s="93" t="str" cm="1">
        <f t="array" ref="F72">IFERROR(INDEX(Veisiejai!Q:Q,MATCH(C72,Veisiejai!E:E,0),0),"")</f>
        <v/>
      </c>
      <c r="G72" s="90" t="str" cm="1">
        <f t="array" ref="G72">IFERROR(INDEX(Gdanskas!P:P,MATCH(C72,Gdanskas!C:C,0),0),"")</f>
        <v/>
      </c>
      <c r="H72" s="22" t="str" cm="1">
        <f t="array" ref="H72">IFERROR(INDEX(Trakai!R:R,MATCH(C72,Trakai!E:E,0),0),"")</f>
        <v/>
      </c>
      <c r="I72" s="90" t="str" cm="1">
        <f t="array" ref="I72">IFERROR(INDEX(Jonava!Q:Q,MATCH(C72,Jonava!E:E,0),0),"")</f>
        <v/>
      </c>
      <c r="J72" s="22" t="str" cm="1">
        <f t="array" ref="J72">IFERROR(INDEX(Panevezys2!R:R,MATCH(C72,Panevezys2!E:E,0),0),"")</f>
        <v/>
      </c>
      <c r="K72" s="90" t="str">
        <f>IFERROR(INDEX(Skaudvile!Q:Q,MATCH(C72,Skaudvile!E:E,0),0),"")</f>
        <v/>
      </c>
      <c r="L72" s="22" t="str">
        <f>IFERROR(INDEX(Moletai!Q:Q,MATCH(C72,Moletai!E:E,0),0),"")</f>
        <v/>
      </c>
      <c r="M72" s="90"/>
      <c r="N72" s="22">
        <f>COUNTIF(D72:M72,"&gt;0")</f>
        <v>0</v>
      </c>
      <c r="O72" s="108">
        <f>SUM(D72:M72)</f>
        <v>0</v>
      </c>
      <c r="P72" s="23" t="e">
        <f>O72/N72</f>
        <v>#DIV/0!</v>
      </c>
      <c r="Q72" s="128" t="str" cm="1">
        <f t="array" ref="Q72">IFERROR(SUMPRODUCT(LARGE(D72:M72,{1;2;3})),"0")</f>
        <v>0</v>
      </c>
      <c r="R72" s="127">
        <f>IFERROR(INDEX('Bendra įskaita (2025)'!A:A,MATCH(C72,'Bendra įskaita (2025)'!B:B,0),0),"")</f>
        <v>51</v>
      </c>
      <c r="S72" s="90">
        <f>IFERROR(INDEX('Bendra įskaita (2025)'!K:K,MATCH(C72,'Bendra įskaita (2025)'!B:B,0),0),"")</f>
        <v>0</v>
      </c>
      <c r="T72" s="147">
        <f>IFERROR(INDEX('Bendra įskaita (2024)'!A:A,MATCH(C72,'Bendra įskaita (2024)'!B:B,0),0),"")</f>
        <v>43</v>
      </c>
      <c r="U72" s="148">
        <f>IFERROR(INDEX('Bendra įskaita (2024)'!L:L,MATCH(C72,'Bendra įskaita (2024)'!B:B,0),0),"")</f>
        <v>1</v>
      </c>
    </row>
    <row r="73" spans="1:21" ht="15.75" customHeight="1">
      <c r="A73" s="106">
        <v>50</v>
      </c>
      <c r="B73" s="157"/>
      <c r="C73" s="114" t="s">
        <v>92</v>
      </c>
      <c r="D73" s="127" t="str" cm="1">
        <f t="array" ref="D73">IFERROR(INDEX(Panevezys!P:P,MATCH(C73,Panevezys!E:E,0),0),"")</f>
        <v/>
      </c>
      <c r="E73" s="90" t="str" cm="1">
        <f t="array" ref="E73">IFERROR(INDEX(Kaisiadorys!Q:Q,MATCH(C73,Kaisiadorys!E:E,0),0),"")</f>
        <v/>
      </c>
      <c r="F73" s="93" t="str" cm="1">
        <f t="array" ref="F73">IFERROR(INDEX(Veisiejai!Q:Q,MATCH(C73,Veisiejai!E:E,0),0),"")</f>
        <v/>
      </c>
      <c r="G73" s="90" t="str" cm="1">
        <f t="array" ref="G73">IFERROR(INDEX(Gdanskas!P:P,MATCH(C73,Gdanskas!C:C,0),0),"")</f>
        <v/>
      </c>
      <c r="H73" s="22" t="str" cm="1">
        <f t="array" ref="H73">IFERROR(INDEX(Trakai!R:R,MATCH(C73,Trakai!E:E,0),0),"")</f>
        <v/>
      </c>
      <c r="I73" s="90" t="str" cm="1">
        <f t="array" ref="I73">IFERROR(INDEX(Jonava!Q:Q,MATCH(C73,Jonava!E:E,0),0),"")</f>
        <v/>
      </c>
      <c r="J73" s="22" t="str" cm="1">
        <f t="array" ref="J73">IFERROR(INDEX(Panevezys2!R:R,MATCH(C73,Panevezys2!E:E,0),0),"")</f>
        <v/>
      </c>
      <c r="K73" s="90" t="str">
        <f>IFERROR(INDEX(Skaudvile!Q:Q,MATCH(C73,Skaudvile!E:E,0),0),"")</f>
        <v/>
      </c>
      <c r="L73" s="22" t="str">
        <f>IFERROR(INDEX(Moletai!Q:Q,MATCH(C73,Moletai!E:E,0),0),"")</f>
        <v/>
      </c>
      <c r="M73" s="90"/>
      <c r="N73" s="22">
        <f>COUNTIF(D73:M73,"&gt;0")</f>
        <v>0</v>
      </c>
      <c r="O73" s="108">
        <f>SUM(D73:M73)</f>
        <v>0</v>
      </c>
      <c r="P73" s="23" t="e">
        <f>O73/N73</f>
        <v>#DIV/0!</v>
      </c>
      <c r="Q73" s="128" t="str" cm="1">
        <f t="array" ref="Q73">IFERROR(SUMPRODUCT(LARGE(E73:M73,{1;2;3})),"0")</f>
        <v>0</v>
      </c>
      <c r="R73" s="127">
        <f>IFERROR(INDEX('Bendra įskaita (2025)'!A:A,MATCH(C73,'Bendra įskaita (2025)'!B:B,0),0),"")</f>
        <v>51</v>
      </c>
      <c r="S73" s="90">
        <f>IFERROR(INDEX('Bendra įskaita (2025)'!K:K,MATCH(C73,'Bendra įskaita (2025)'!B:B,0),0),"")</f>
        <v>0</v>
      </c>
      <c r="T73" s="147">
        <f>IFERROR(INDEX('Bendra įskaita (2024)'!A:A,MATCH(C73,'Bendra įskaita (2024)'!B:B,0),0),"")</f>
        <v>45</v>
      </c>
      <c r="U73" s="148">
        <f>IFERROR(INDEX('Bendra įskaita (2024)'!L:L,MATCH(C73,'Bendra įskaita (2024)'!B:B,0),0),"")</f>
        <v>1</v>
      </c>
    </row>
    <row r="74" spans="1:21" ht="15.75" customHeight="1">
      <c r="A74" s="106">
        <v>50</v>
      </c>
      <c r="B74" s="157"/>
      <c r="C74" s="116" t="s">
        <v>93</v>
      </c>
      <c r="D74" s="127" t="str" cm="1">
        <f t="array" ref="D74">IFERROR(INDEX(Panevezys!P:P,MATCH(C74,Panevezys!E:E,0),0),"")</f>
        <v/>
      </c>
      <c r="E74" s="90" t="str" cm="1">
        <f t="array" ref="E74">IFERROR(INDEX(Kaisiadorys!Q:Q,MATCH(C74,Kaisiadorys!E:E,0),0),"")</f>
        <v/>
      </c>
      <c r="F74" s="93" t="str" cm="1">
        <f t="array" ref="F74">IFERROR(INDEX(Veisiejai!Q:Q,MATCH(C74,Veisiejai!E:E,0),0),"")</f>
        <v/>
      </c>
      <c r="G74" s="90" t="str" cm="1">
        <f t="array" ref="G74">IFERROR(INDEX(Gdanskas!P:P,MATCH(C74,Gdanskas!C:C,0),0),"")</f>
        <v/>
      </c>
      <c r="H74" s="22" t="str" cm="1">
        <f t="array" ref="H74">IFERROR(INDEX(Trakai!R:R,MATCH(C74,Trakai!E:E,0),0),"")</f>
        <v/>
      </c>
      <c r="I74" s="90" t="str" cm="1">
        <f t="array" ref="I74">IFERROR(INDEX(Jonava!Q:Q,MATCH(C74,Jonava!E:E,0),0),"")</f>
        <v/>
      </c>
      <c r="J74" s="22" t="str" cm="1">
        <f t="array" ref="J74">IFERROR(INDEX(Panevezys2!R:R,MATCH(C74,Panevezys2!E:E,0),0),"")</f>
        <v/>
      </c>
      <c r="K74" s="90" t="str">
        <f>IFERROR(INDEX(Skaudvile!Q:Q,MATCH(C74,Skaudvile!E:E,0),0),"")</f>
        <v/>
      </c>
      <c r="L74" s="22" t="str">
        <f>IFERROR(INDEX(Moletai!Q:Q,MATCH(C74,Moletai!E:E,0),0),"")</f>
        <v/>
      </c>
      <c r="M74" s="90"/>
      <c r="N74" s="22">
        <f t="shared" ref="N74" si="5">COUNTIF(D74:M74,"&gt;0")</f>
        <v>0</v>
      </c>
      <c r="O74" s="108">
        <f>SUM(D74:M74)</f>
        <v>0</v>
      </c>
      <c r="P74" s="23" t="e">
        <f>O74/N74</f>
        <v>#DIV/0!</v>
      </c>
      <c r="Q74" s="128" t="str" cm="1">
        <f t="array" ref="Q74">IFERROR(SUMPRODUCT(LARGE(E74:M74,{1;2;3})),"0")</f>
        <v>0</v>
      </c>
      <c r="R74" s="127">
        <f>IFERROR(INDEX('Bendra įskaita (2025)'!A:A,MATCH(C74,'Bendra įskaita (2025)'!B:B,0),0),"")</f>
        <v>51</v>
      </c>
      <c r="S74" s="90">
        <f>IFERROR(INDEX('Bendra įskaita (2025)'!K:K,MATCH(C74,'Bendra įskaita (2025)'!B:B,0),0),"")</f>
        <v>0</v>
      </c>
      <c r="T74" s="147"/>
      <c r="U74" s="148"/>
    </row>
    <row r="75" spans="1:21" ht="15.75" customHeight="1">
      <c r="A75" s="106">
        <v>50</v>
      </c>
      <c r="B75" s="157"/>
      <c r="C75" s="168" t="s">
        <v>94</v>
      </c>
      <c r="D75" s="129" t="str" cm="1">
        <f t="array" ref="D75">IFERROR(INDEX(Panevezys!P:P,MATCH(C75,Panevezys!E:E,0),0),"")</f>
        <v/>
      </c>
      <c r="E75" s="99" t="str" cm="1">
        <f t="array" ref="E75">IFERROR(INDEX(Kaisiadorys!Q:Q,MATCH(C75,Kaisiadorys!E:E,0),0),"")</f>
        <v/>
      </c>
      <c r="F75" s="100" t="str" cm="1">
        <f t="array" ref="F75">IFERROR(INDEX(Veisiejai!Q:Q,MATCH(C75,Veisiejai!E:E,0),0),"")</f>
        <v/>
      </c>
      <c r="G75" s="99" t="str" cm="1">
        <f t="array" ref="G75">IFERROR(INDEX(Gdanskas!P:P,MATCH(C75,Gdanskas!C:C,0),0),"")</f>
        <v/>
      </c>
      <c r="H75" s="101" t="str" cm="1">
        <f t="array" ref="H75">IFERROR(INDEX(Trakai!R:R,MATCH(C75,Trakai!E:E,0),0),"")</f>
        <v/>
      </c>
      <c r="I75" s="99" t="str" cm="1">
        <f t="array" ref="I75">IFERROR(INDEX(Jonava!Q:Q,MATCH(C75,Jonava!E:E,0),0),"")</f>
        <v/>
      </c>
      <c r="J75" s="101" t="str" cm="1">
        <f t="array" ref="J75">IFERROR(INDEX(Panevezys2!R:R,MATCH(C75,Panevezys2!E:E,0),0),"")</f>
        <v/>
      </c>
      <c r="K75" s="99" t="str">
        <f>IFERROR(INDEX(Skaudvile!Q:Q,MATCH(C75,Skaudvile!E:E,0),0),"")</f>
        <v/>
      </c>
      <c r="L75" s="101" t="str">
        <f>IFERROR(INDEX(Moletai!Q:Q,MATCH(C75,Moletai!E:E,0),0),"")</f>
        <v/>
      </c>
      <c r="M75" s="99"/>
      <c r="N75" s="101">
        <f>COUNTIF(D75:M75,"&gt;0")</f>
        <v>0</v>
      </c>
      <c r="O75" s="109">
        <f>SUM(D75:M75)</f>
        <v>0</v>
      </c>
      <c r="P75" s="102" t="e">
        <f>O75/N75</f>
        <v>#DIV/0!</v>
      </c>
      <c r="Q75" s="130" t="str" cm="1">
        <f t="array" ref="Q75">IFERROR(SUMPRODUCT(LARGE(D75:M75,{1;2;3})),"0")</f>
        <v>0</v>
      </c>
      <c r="R75" s="129">
        <f>IFERROR(INDEX('Bendra įskaita (2025)'!A:A,MATCH(C75,'Bendra įskaita (2025)'!B:B,0),0),"")</f>
        <v>51</v>
      </c>
      <c r="S75" s="99">
        <f>IFERROR(INDEX('Bendra įskaita (2025)'!K:K,MATCH(C75,'Bendra įskaita (2025)'!B:B,0),0),"")</f>
        <v>0</v>
      </c>
      <c r="T75" s="151" t="str">
        <f>IFERROR(INDEX('Bendra įskaita (2024)'!A:A,MATCH(C75,'Bendra įskaita (2024)'!B:B,0),0),"")</f>
        <v/>
      </c>
      <c r="U75" s="152" t="str">
        <f>IFERROR(INDEX('Bendra įskaita (2024)'!L:L,MATCH(C75,'Bendra įskaita (2024)'!B:B,0),0),"")</f>
        <v/>
      </c>
    </row>
    <row r="76" spans="1:21" ht="15.75" customHeight="1">
      <c r="A76" s="106">
        <v>50</v>
      </c>
      <c r="B76" s="157"/>
      <c r="C76" s="169" t="s">
        <v>95</v>
      </c>
      <c r="D76" s="129" t="str" cm="1">
        <f t="array" ref="D76">IFERROR(INDEX(Panevezys!P:P,MATCH(C76,Panevezys!E:E,0),0),"")</f>
        <v/>
      </c>
      <c r="E76" s="99" t="str" cm="1">
        <f t="array" ref="E76">IFERROR(INDEX(Kaisiadorys!Q:Q,MATCH(C76,Kaisiadorys!E:E,0),0),"")</f>
        <v/>
      </c>
      <c r="F76" s="100" t="str" cm="1">
        <f t="array" ref="F76">IFERROR(INDEX(Veisiejai!Q:Q,MATCH(C76,Veisiejai!E:E,0),0),"")</f>
        <v/>
      </c>
      <c r="G76" s="99" t="str" cm="1">
        <f t="array" ref="G76">IFERROR(INDEX(Gdanskas!P:P,MATCH(C76,Gdanskas!C:C,0),0),"")</f>
        <v/>
      </c>
      <c r="H76" s="101" t="str" cm="1">
        <f t="array" ref="H76">IFERROR(INDEX(Trakai!R:R,MATCH(C76,Trakai!E:E,0),0),"")</f>
        <v/>
      </c>
      <c r="I76" s="99" t="str" cm="1">
        <f t="array" ref="I76">IFERROR(INDEX(Jonava!Q:Q,MATCH(C76,Jonava!E:E,0),0),"")</f>
        <v/>
      </c>
      <c r="J76" s="101" t="str" cm="1">
        <f t="array" ref="J76">IFERROR(INDEX(Panevezys2!R:R,MATCH(C76,Panevezys2!E:E,0),0),"")</f>
        <v/>
      </c>
      <c r="K76" s="99" t="str">
        <f>IFERROR(INDEX(Skaudvile!Q:Q,MATCH(C76,Skaudvile!E:E,0),0),"")</f>
        <v/>
      </c>
      <c r="L76" s="101" t="str">
        <f>IFERROR(INDEX(Moletai!Q:Q,MATCH(C76,Moletai!E:E,0),0),"")</f>
        <v/>
      </c>
      <c r="M76" s="99"/>
      <c r="N76" s="101">
        <f>COUNTIF(D76:M76,"&gt;0")</f>
        <v>0</v>
      </c>
      <c r="O76" s="109">
        <f>SUM(D76:M76)</f>
        <v>0</v>
      </c>
      <c r="P76" s="102" t="e">
        <f>O76/N76</f>
        <v>#DIV/0!</v>
      </c>
      <c r="Q76" s="130" t="str" cm="1">
        <f t="array" ref="Q76">IFERROR(SUMPRODUCT(LARGE(D76:M76,{1;2;3})),"0")</f>
        <v>0</v>
      </c>
      <c r="R76" s="129">
        <f>IFERROR(INDEX('Bendra įskaita (2025)'!A:A,MATCH(C76,'Bendra įskaita (2025)'!B:B,0),0),"")</f>
        <v>51</v>
      </c>
      <c r="S76" s="99">
        <f>IFERROR(INDEX('Bendra įskaita (2025)'!K:K,MATCH(C76,'Bendra įskaita (2025)'!B:B,0),0),"")</f>
        <v>0</v>
      </c>
      <c r="T76" s="151" t="str">
        <f>IFERROR(INDEX('Bendra įskaita (2024)'!A:A,MATCH(C76,'Bendra įskaita (2024)'!B:B,0),0),"")</f>
        <v/>
      </c>
      <c r="U76" s="152" t="str">
        <f>IFERROR(INDEX('Bendra įskaita (2024)'!L:L,MATCH(C76,'Bendra įskaita (2024)'!B:B,0),0),"")</f>
        <v/>
      </c>
    </row>
    <row r="77" spans="1:21" ht="15.75" customHeight="1">
      <c r="A77" s="106">
        <v>50</v>
      </c>
      <c r="B77" s="157"/>
      <c r="C77" s="121" t="s">
        <v>96</v>
      </c>
      <c r="D77" s="132" t="str" cm="1">
        <f t="array" ref="D77">IFERROR(INDEX(Panevezys!P:P,MATCH(C77,Panevezys!E:E,0),0),"")</f>
        <v/>
      </c>
      <c r="E77" s="91" t="str" cm="1">
        <f t="array" ref="E77">IFERROR(INDEX(Kaisiadorys!Q:Q,MATCH(C77,Kaisiadorys!E:E,0),0),"")</f>
        <v/>
      </c>
      <c r="F77" s="94" t="str" cm="1">
        <f t="array" ref="F77">IFERROR(INDEX(Veisiejai!Q:Q,MATCH(C77,Veisiejai!E:E,0),0),"")</f>
        <v/>
      </c>
      <c r="G77" s="91" t="str" cm="1">
        <f t="array" ref="G77">IFERROR(INDEX(Gdanskas!P:P,MATCH(C77,Gdanskas!C:C,0),0),"")</f>
        <v/>
      </c>
      <c r="H77" s="85" t="str" cm="1">
        <f t="array" ref="H77">IFERROR(INDEX(Trakai!R:R,MATCH(C77,Trakai!E:E,0),0),"")</f>
        <v/>
      </c>
      <c r="I77" s="91" t="str" cm="1">
        <f t="array" ref="I77">IFERROR(INDEX(Jonava!Q:Q,MATCH(C77,Jonava!E:E,0),0),"")</f>
        <v/>
      </c>
      <c r="J77" s="85" t="str" cm="1">
        <f t="array" ref="J77">IFERROR(INDEX(Panevezys2!R:R,MATCH(C77,Panevezys2!E:E,0),0),"")</f>
        <v/>
      </c>
      <c r="K77" s="91" t="str">
        <f>IFERROR(INDEX(Skaudvile!Q:Q,MATCH(C77,Skaudvile!E:E,0),0),"")</f>
        <v/>
      </c>
      <c r="L77" s="85" t="str">
        <f>IFERROR(INDEX(Moletai!Q:Q,MATCH(C77,Moletai!E:E,0),0),"")</f>
        <v/>
      </c>
      <c r="M77" s="91"/>
      <c r="N77" s="85">
        <f>COUNTIF(D77:M77,"&gt;0")</f>
        <v>0</v>
      </c>
      <c r="O77" s="110">
        <f>SUM(D77:M77)</f>
        <v>0</v>
      </c>
      <c r="P77" s="86" t="e">
        <f>O77/N77</f>
        <v>#DIV/0!</v>
      </c>
      <c r="Q77" s="133" t="str" cm="1">
        <f t="array" ref="Q77">IFERROR(SUMPRODUCT(LARGE(D77:M77,{1;2;3})),"0")</f>
        <v>0</v>
      </c>
      <c r="R77" s="132">
        <f>IFERROR(INDEX('Bendra įskaita (2025)'!A:A,MATCH(C77,'Bendra įskaita (2025)'!B:B,0),0),"")</f>
        <v>51</v>
      </c>
      <c r="S77" s="91">
        <f>IFERROR(INDEX('Bendra įskaita (2025)'!K:K,MATCH(C79,'Bendra įskaita (2025)'!B:B,0),0),"")</f>
        <v>0</v>
      </c>
      <c r="T77" s="153">
        <f>IFERROR(INDEX('Bendra įskaita (2024)'!A:A,MATCH(C79,'Bendra įskaita (2024)'!B:B,0),0),"")</f>
        <v>52</v>
      </c>
      <c r="U77" s="154">
        <f>IFERROR(INDEX('Bendra įskaita (2024)'!L:L,MATCH(C79,'Bendra įskaita (2024)'!B:B,0),0),"")</f>
        <v>0</v>
      </c>
    </row>
    <row r="78" spans="1:21" ht="15.75" customHeight="1">
      <c r="A78" s="106">
        <v>50</v>
      </c>
      <c r="B78" s="157"/>
      <c r="C78" s="121" t="s">
        <v>97</v>
      </c>
      <c r="D78" s="132" t="str" cm="1">
        <f t="array" ref="D78">IFERROR(INDEX(Panevezys!P:P,MATCH(C78,Panevezys!E:E,0),0),"")</f>
        <v/>
      </c>
      <c r="E78" s="91" t="str" cm="1">
        <f t="array" ref="E78">IFERROR(INDEX(Kaisiadorys!Q:Q,MATCH(C78,Kaisiadorys!E:E,0),0),"")</f>
        <v/>
      </c>
      <c r="F78" s="94" t="str" cm="1">
        <f t="array" ref="F78">IFERROR(INDEX(Veisiejai!Q:Q,MATCH(C78,Veisiejai!E:E,0),0),"")</f>
        <v/>
      </c>
      <c r="G78" s="91" t="str" cm="1">
        <f t="array" ref="G78">IFERROR(INDEX(Gdanskas!P:P,MATCH(C78,Gdanskas!C:C,0),0),"")</f>
        <v/>
      </c>
      <c r="H78" s="85" t="str" cm="1">
        <f t="array" ref="H78">IFERROR(INDEX(Trakai!R:R,MATCH(C78,Trakai!E:E,0),0),"")</f>
        <v/>
      </c>
      <c r="I78" s="91" t="str" cm="1">
        <f t="array" ref="I78">IFERROR(INDEX(Jonava!Q:Q,MATCH(C78,Jonava!E:E,0),0),"")</f>
        <v/>
      </c>
      <c r="J78" s="85" t="str" cm="1">
        <f t="array" ref="J78">IFERROR(INDEX(Panevezys2!R:R,MATCH(C78,Panevezys2!E:E,0),0),"")</f>
        <v/>
      </c>
      <c r="K78" s="91" t="str">
        <f>IFERROR(INDEX(Skaudvile!Q:Q,MATCH(C78,Skaudvile!E:E,0),0),"")</f>
        <v/>
      </c>
      <c r="L78" s="85" t="str">
        <f>IFERROR(INDEX(Moletai!Q:Q,MATCH(C78,Moletai!E:E,0),0),"")</f>
        <v/>
      </c>
      <c r="M78" s="91"/>
      <c r="N78" s="85">
        <f>COUNTIF(D78:M78,"&gt;0")</f>
        <v>0</v>
      </c>
      <c r="O78" s="110">
        <f>SUM(D78:M78)</f>
        <v>0</v>
      </c>
      <c r="P78" s="86" t="e">
        <f>O78/N78</f>
        <v>#DIV/0!</v>
      </c>
      <c r="Q78" s="133" t="str" cm="1">
        <f t="array" ref="Q78">IFERROR(SUMPRODUCT(LARGE(D78:M78,{1;2;3})),"0")</f>
        <v>0</v>
      </c>
      <c r="R78" s="132">
        <f>IFERROR(INDEX('Bendra įskaita (2025)'!A:A,MATCH(C78,'Bendra įskaita (2025)'!B:B,0),0),"")</f>
        <v>51</v>
      </c>
      <c r="S78" s="91">
        <f>IFERROR(INDEX('Bendra įskaita (2025)'!K:K,MATCH(C80,'Bendra įskaita (2025)'!B:B,0),0),"")</f>
        <v>0</v>
      </c>
      <c r="T78" s="153">
        <f>IFERROR(INDEX('Bendra įskaita (2024)'!A:A,MATCH(C80,'Bendra įskaita (2024)'!B:B,0),0),"")</f>
        <v>53</v>
      </c>
      <c r="U78" s="154">
        <f>IFERROR(INDEX('Bendra įskaita (2024)'!L:L,MATCH(C80,'Bendra įskaita (2024)'!B:B,0),0),"")</f>
        <v>0</v>
      </c>
    </row>
    <row r="79" spans="1:21" ht="15.75" customHeight="1">
      <c r="A79" s="106">
        <v>50</v>
      </c>
      <c r="B79" s="157"/>
      <c r="C79" s="121" t="s">
        <v>98</v>
      </c>
      <c r="D79" s="132" t="str" cm="1">
        <f t="array" ref="D79">IFERROR(INDEX(Panevezys!P:P,MATCH(C79,Panevezys!E:E,0),0),"")</f>
        <v/>
      </c>
      <c r="E79" s="91" t="str" cm="1">
        <f t="array" ref="E79">IFERROR(INDEX(Kaisiadorys!Q:Q,MATCH(C79,Kaisiadorys!E:E,0),0),"")</f>
        <v/>
      </c>
      <c r="F79" s="94" t="str" cm="1">
        <f t="array" ref="F79">IFERROR(INDEX(Veisiejai!Q:Q,MATCH(C79,Veisiejai!E:E,0),0),"")</f>
        <v/>
      </c>
      <c r="G79" s="91" t="str" cm="1">
        <f t="array" ref="G79">IFERROR(INDEX(Gdanskas!P:P,MATCH(C79,Gdanskas!C:C,0),0),"")</f>
        <v/>
      </c>
      <c r="H79" s="85" t="str" cm="1">
        <f t="array" ref="H79">IFERROR(INDEX(Trakai!R:R,MATCH(C79,Trakai!E:E,0),0),"")</f>
        <v/>
      </c>
      <c r="I79" s="91" t="str" cm="1">
        <f t="array" ref="I79">IFERROR(INDEX(Jonava!Q:Q,MATCH(C79,Jonava!E:E,0),0),"")</f>
        <v/>
      </c>
      <c r="J79" s="85" t="str" cm="1">
        <f t="array" ref="J79">IFERROR(INDEX(Panevezys2!R:R,MATCH(C79,Panevezys2!E:E,0),0),"")</f>
        <v/>
      </c>
      <c r="K79" s="91" t="str">
        <f>IFERROR(INDEX(Skaudvile!Q:Q,MATCH(C79,Skaudvile!E:E,0),0),"")</f>
        <v/>
      </c>
      <c r="L79" s="85" t="str">
        <f>IFERROR(INDEX(Moletai!Q:Q,MATCH(C79,Moletai!E:E,0),0),"")</f>
        <v/>
      </c>
      <c r="M79" s="91"/>
      <c r="N79" s="85">
        <f>COUNTIF(D79:M79,"&gt;0")</f>
        <v>0</v>
      </c>
      <c r="O79" s="110">
        <f>SUM(D79:M79)</f>
        <v>0</v>
      </c>
      <c r="P79" s="86" t="e">
        <f>O79/N79</f>
        <v>#DIV/0!</v>
      </c>
      <c r="Q79" s="133" t="str" cm="1">
        <f t="array" ref="Q79">IFERROR(SUMPRODUCT(LARGE(D79:M79,{1;2;3})),"0")</f>
        <v>0</v>
      </c>
      <c r="R79" s="132">
        <f>IFERROR(INDEX('Bendra įskaita (2025)'!A:A,MATCH(C79,'Bendra įskaita (2025)'!B:B,0),0),"")</f>
        <v>51</v>
      </c>
      <c r="S79" s="91">
        <f>IFERROR(INDEX('Bendra įskaita (2025)'!K:K,MATCH(C81,'Bendra įskaita (2025)'!B:B,0),0),"")</f>
        <v>0</v>
      </c>
      <c r="T79" s="153">
        <f>IFERROR(INDEX('Bendra įskaita (2024)'!A:A,MATCH(C81,'Bendra įskaita (2024)'!B:B,0),0),"")</f>
        <v>54</v>
      </c>
      <c r="U79" s="154">
        <f>IFERROR(INDEX('Bendra įskaita (2024)'!L:L,MATCH(C81,'Bendra įskaita (2024)'!B:B,0),0),"")</f>
        <v>0</v>
      </c>
    </row>
    <row r="80" spans="1:21" ht="15.75" customHeight="1">
      <c r="A80" s="106">
        <v>50</v>
      </c>
      <c r="B80" s="157"/>
      <c r="C80" s="121" t="s">
        <v>99</v>
      </c>
      <c r="D80" s="132" t="str" cm="1">
        <f t="array" ref="D80">IFERROR(INDEX(Panevezys!P:P,MATCH(C80,Panevezys!E:E,0),0),"")</f>
        <v/>
      </c>
      <c r="E80" s="91" t="str" cm="1">
        <f t="array" ref="E80">IFERROR(INDEX(Kaisiadorys!Q:Q,MATCH(C80,Kaisiadorys!E:E,0),0),"")</f>
        <v/>
      </c>
      <c r="F80" s="94" t="str" cm="1">
        <f t="array" ref="F80">IFERROR(INDEX(Veisiejai!Q:Q,MATCH(C80,Veisiejai!E:E,0),0),"")</f>
        <v/>
      </c>
      <c r="G80" s="91" t="str" cm="1">
        <f t="array" ref="G80">IFERROR(INDEX(Gdanskas!P:P,MATCH(C80,Gdanskas!C:C,0),0),"")</f>
        <v/>
      </c>
      <c r="H80" s="85" t="str" cm="1">
        <f t="array" ref="H80">IFERROR(INDEX(Trakai!R:R,MATCH(C80,Trakai!E:E,0),0),"")</f>
        <v/>
      </c>
      <c r="I80" s="91" t="str" cm="1">
        <f t="array" ref="I80">IFERROR(INDEX(Jonava!Q:Q,MATCH(C80,Jonava!E:E,0),0),"")</f>
        <v/>
      </c>
      <c r="J80" s="85" t="str" cm="1">
        <f t="array" ref="J80">IFERROR(INDEX(Panevezys2!R:R,MATCH(C80,Panevezys2!E:E,0),0),"")</f>
        <v/>
      </c>
      <c r="K80" s="91" t="str">
        <f>IFERROR(INDEX(Skaudvile!Q:Q,MATCH(C80,Skaudvile!E:E,0),0),"")</f>
        <v/>
      </c>
      <c r="L80" s="85" t="str">
        <f>IFERROR(INDEX(Moletai!Q:Q,MATCH(C80,Moletai!E:E,0),0),"")</f>
        <v/>
      </c>
      <c r="M80" s="91"/>
      <c r="N80" s="85">
        <f>COUNTIF(D80:M80,"&gt;0")</f>
        <v>0</v>
      </c>
      <c r="O80" s="110">
        <f>SUM(D80:M80)</f>
        <v>0</v>
      </c>
      <c r="P80" s="86" t="e">
        <f>O80/N80</f>
        <v>#DIV/0!</v>
      </c>
      <c r="Q80" s="133" t="str" cm="1">
        <f t="array" ref="Q80">IFERROR(SUMPRODUCT(LARGE(E80:M80,{1;2;3})),"0")</f>
        <v>0</v>
      </c>
      <c r="R80" s="132">
        <f>IFERROR(INDEX('Bendra įskaita (2025)'!A:A,MATCH(C80,'Bendra įskaita (2025)'!B:B,0),0),"")</f>
        <v>51</v>
      </c>
      <c r="S80" s="91">
        <f>IFERROR(INDEX('Bendra įskaita (2025)'!K:K,MATCH(C82,'Bendra įskaita (2025)'!B:B,0),0),"")</f>
        <v>0</v>
      </c>
      <c r="T80" s="153">
        <f>IFERROR(INDEX('Bendra įskaita (2024)'!A:A,MATCH(C82,'Bendra įskaita (2024)'!B:B,0),0),"")</f>
        <v>55</v>
      </c>
      <c r="U80" s="154">
        <f>IFERROR(INDEX('Bendra įskaita (2024)'!L:L,MATCH(C82,'Bendra įskaita (2024)'!B:B,0),0),"")</f>
        <v>0</v>
      </c>
    </row>
    <row r="81" spans="1:21" ht="15.75" customHeight="1">
      <c r="A81" s="106">
        <v>50</v>
      </c>
      <c r="B81" s="157"/>
      <c r="C81" s="122" t="s">
        <v>100</v>
      </c>
      <c r="D81" s="132" t="str" cm="1">
        <f t="array" ref="D81">IFERROR(INDEX(Panevezys!P:P,MATCH(C81,Panevezys!E:E,0),0),"")</f>
        <v/>
      </c>
      <c r="E81" s="91" t="str" cm="1">
        <f t="array" ref="E81">IFERROR(INDEX(Kaisiadorys!Q:Q,MATCH(C81,Kaisiadorys!E:E,0),0),"")</f>
        <v/>
      </c>
      <c r="F81" s="94" t="str" cm="1">
        <f t="array" ref="F81">IFERROR(INDEX(Veisiejai!Q:Q,MATCH(C81,Veisiejai!E:E,0),0),"")</f>
        <v/>
      </c>
      <c r="G81" s="91" t="str" cm="1">
        <f t="array" ref="G81">IFERROR(INDEX(Gdanskas!P:P,MATCH(C81,Gdanskas!C:C,0),0),"")</f>
        <v/>
      </c>
      <c r="H81" s="85" t="str" cm="1">
        <f t="array" ref="H81">IFERROR(INDEX(Trakai!R:R,MATCH(C81,Trakai!E:E,0),0),"")</f>
        <v/>
      </c>
      <c r="I81" s="91" t="str" cm="1">
        <f t="array" ref="I81">IFERROR(INDEX(Jonava!Q:Q,MATCH(C81,Jonava!E:E,0),0),"")</f>
        <v/>
      </c>
      <c r="J81" s="85" t="str" cm="1">
        <f t="array" ref="J81">IFERROR(INDEX(Panevezys2!R:R,MATCH(C81,Panevezys2!E:E,0),0),"")</f>
        <v/>
      </c>
      <c r="K81" s="91" t="str">
        <f>IFERROR(INDEX(Skaudvile!Q:Q,MATCH(C81,Skaudvile!E:E,0),0),"")</f>
        <v/>
      </c>
      <c r="L81" s="85" t="str">
        <f>IFERROR(INDEX(Moletai!Q:Q,MATCH(C81,Moletai!E:E,0),0),"")</f>
        <v/>
      </c>
      <c r="M81" s="91"/>
      <c r="N81" s="85">
        <f>COUNTIF(D81:M81,"&gt;0")</f>
        <v>0</v>
      </c>
      <c r="O81" s="110">
        <f>SUM(D81:M81)</f>
        <v>0</v>
      </c>
      <c r="P81" s="86" t="e">
        <f>O81/N81</f>
        <v>#DIV/0!</v>
      </c>
      <c r="Q81" s="133" t="str" cm="1">
        <f t="array" ref="Q81">IFERROR(SUMPRODUCT(LARGE(E81:M81,{1;2;3})),"0")</f>
        <v>0</v>
      </c>
      <c r="R81" s="132">
        <f>IFERROR(INDEX('Bendra įskaita (2025)'!A:A,MATCH(C81,'Bendra įskaita (2025)'!B:B,0),0),"")</f>
        <v>51</v>
      </c>
      <c r="S81" s="91">
        <f>IFERROR(INDEX('Bendra įskaita (2025)'!K:K,MATCH(C78,'Bendra įskaita (2025)'!B:B,0),0),"")</f>
        <v>0</v>
      </c>
      <c r="T81" s="153">
        <f>IFERROR(INDEX('Bendra įskaita (2024)'!A:A,MATCH(C78,'Bendra įskaita (2024)'!B:B,0),0),"")</f>
        <v>51</v>
      </c>
      <c r="U81" s="154">
        <f>IFERROR(INDEX('Bendra įskaita (2024)'!L:L,MATCH(C78,'Bendra įskaita (2024)'!B:B,0),0),"")</f>
        <v>0</v>
      </c>
    </row>
    <row r="82" spans="1:21" ht="15.75" customHeight="1">
      <c r="A82" s="106">
        <v>50</v>
      </c>
      <c r="B82" s="157"/>
      <c r="C82" s="121" t="s">
        <v>101</v>
      </c>
      <c r="D82" s="132" t="str" cm="1">
        <f t="array" ref="D82">IFERROR(INDEX(Panevezys!P:P,MATCH(C82,Panevezys!E:E,0),0),"")</f>
        <v/>
      </c>
      <c r="E82" s="91" t="str" cm="1">
        <f t="array" ref="E82">IFERROR(INDEX(Kaisiadorys!Q:Q,MATCH(C82,Kaisiadorys!E:E,0),0),"")</f>
        <v/>
      </c>
      <c r="F82" s="94" t="str" cm="1">
        <f t="array" ref="F82">IFERROR(INDEX(Veisiejai!Q:Q,MATCH(C82,Veisiejai!E:E,0),0),"")</f>
        <v/>
      </c>
      <c r="G82" s="91" t="str" cm="1">
        <f t="array" ref="G82">IFERROR(INDEX(Gdanskas!P:P,MATCH(C82,Gdanskas!C:C,0),0),"")</f>
        <v/>
      </c>
      <c r="H82" s="85" t="str" cm="1">
        <f t="array" ref="H82">IFERROR(INDEX(Trakai!R:R,MATCH(C82,Trakai!E:E,0),0),"")</f>
        <v/>
      </c>
      <c r="I82" s="91" t="str" cm="1">
        <f t="array" ref="I82">IFERROR(INDEX(Jonava!Q:Q,MATCH(C82,Jonava!E:E,0),0),"")</f>
        <v/>
      </c>
      <c r="J82" s="85" t="str" cm="1">
        <f t="array" ref="J82">IFERROR(INDEX(Panevezys2!R:R,MATCH(C82,Panevezys2!E:E,0),0),"")</f>
        <v/>
      </c>
      <c r="K82" s="91" t="str">
        <f>IFERROR(INDEX(Skaudvile!Q:Q,MATCH(C82,Skaudvile!E:E,0),0),"")</f>
        <v/>
      </c>
      <c r="L82" s="85" t="str">
        <f>IFERROR(INDEX(Moletai!Q:Q,MATCH(C82,Moletai!E:E,0),0),"")</f>
        <v/>
      </c>
      <c r="M82" s="91"/>
      <c r="N82" s="85">
        <f>COUNTIF(D82:M82,"&gt;0")</f>
        <v>0</v>
      </c>
      <c r="O82" s="110">
        <f>SUM(D82:M82)</f>
        <v>0</v>
      </c>
      <c r="P82" s="86" t="e">
        <f>O82/N82</f>
        <v>#DIV/0!</v>
      </c>
      <c r="Q82" s="133" t="str" cm="1">
        <f t="array" ref="Q82">IFERROR(SUMPRODUCT(LARGE(E82:M82,{1;2;3})),"0")</f>
        <v>0</v>
      </c>
      <c r="R82" s="132">
        <f>IFERROR(INDEX('Bendra įskaita (2025)'!A:A,MATCH(C82,'Bendra įskaita (2025)'!B:B,0),0),"")</f>
        <v>51</v>
      </c>
      <c r="S82" s="91">
        <f>IFERROR(INDEX('Bendra įskaita (2025)'!K:K,MATCH(C77,'Bendra įskaita (2025)'!B:B,0),0),"")</f>
        <v>0</v>
      </c>
      <c r="T82" s="153">
        <f>IFERROR(INDEX('Bendra įskaita (2024)'!A:A,MATCH(C77,'Bendra įskaita (2024)'!B:B,0),0),"")</f>
        <v>50</v>
      </c>
      <c r="U82" s="154">
        <f>IFERROR(INDEX('Bendra įskaita (2024)'!L:L,MATCH(C77,'Bendra įskaita (2024)'!B:B,0),0),"")</f>
        <v>0</v>
      </c>
    </row>
    <row r="83" spans="1:21" ht="15.75" customHeight="1">
      <c r="A83" s="106">
        <v>50</v>
      </c>
      <c r="B83" s="157"/>
      <c r="C83" s="121" t="s">
        <v>102</v>
      </c>
      <c r="D83" s="132" t="str" cm="1">
        <f t="array" ref="D83">IFERROR(INDEX(Panevezys!P:P,MATCH(C83,Panevezys!E:E,0),0),"")</f>
        <v/>
      </c>
      <c r="E83" s="91" t="str" cm="1">
        <f t="array" ref="E83">IFERROR(INDEX(Kaisiadorys!Q:Q,MATCH(C83,Kaisiadorys!E:E,0),0),"")</f>
        <v/>
      </c>
      <c r="F83" s="94" t="str" cm="1">
        <f t="array" ref="F83">IFERROR(INDEX(Veisiejai!Q:Q,MATCH(C83,Veisiejai!E:E,0),0),"")</f>
        <v/>
      </c>
      <c r="G83" s="91" t="str" cm="1">
        <f t="array" ref="G83">IFERROR(INDEX(Gdanskas!P:P,MATCH(C83,Gdanskas!C:C,0),0),"")</f>
        <v/>
      </c>
      <c r="H83" s="85" t="str" cm="1">
        <f t="array" ref="H83">IFERROR(INDEX(Trakai!R:R,MATCH(C83,Trakai!E:E,0),0),"")</f>
        <v/>
      </c>
      <c r="I83" s="91" t="str" cm="1">
        <f t="array" ref="I83">IFERROR(INDEX(Jonava!Q:Q,MATCH(C83,Jonava!E:E,0),0),"")</f>
        <v/>
      </c>
      <c r="J83" s="85" t="str" cm="1">
        <f t="array" ref="J83">IFERROR(INDEX(Panevezys2!R:R,MATCH(C83,Panevezys2!E:E,0),0),"")</f>
        <v/>
      </c>
      <c r="K83" s="91" t="str">
        <f>IFERROR(INDEX(Skaudvile!Q:Q,MATCH(C83,Skaudvile!E:E,0),0),"")</f>
        <v/>
      </c>
      <c r="L83" s="85" t="str">
        <f>IFERROR(INDEX(Moletai!Q:Q,MATCH(C83,Moletai!E:E,0),0),"")</f>
        <v/>
      </c>
      <c r="M83" s="91"/>
      <c r="N83" s="85">
        <f>COUNTIF(D83:M83,"&gt;0")</f>
        <v>0</v>
      </c>
      <c r="O83" s="110">
        <f>SUM(D83:M83)</f>
        <v>0</v>
      </c>
      <c r="P83" s="86" t="e">
        <f>O83/N83</f>
        <v>#DIV/0!</v>
      </c>
      <c r="Q83" s="133" t="str" cm="1">
        <f t="array" ref="Q83">IFERROR(SUMPRODUCT(LARGE(D83:M83,{1;2;3})),"0")</f>
        <v>0</v>
      </c>
      <c r="R83" s="132">
        <f>IFERROR(INDEX('Bendra įskaita (2025)'!A:A,MATCH(C83,'Bendra įskaita (2025)'!B:B,0),0),"")</f>
        <v>51</v>
      </c>
      <c r="S83" s="91">
        <f>IFERROR(INDEX('Bendra įskaita (2025)'!K:K,MATCH(C83,'Bendra įskaita (2025)'!B:B,0),0),"")</f>
        <v>0</v>
      </c>
      <c r="T83" s="153">
        <f>IFERROR(INDEX('Bendra įskaita (2024)'!A:A,MATCH(C83,'Bendra įskaita (2024)'!B:B,0),0),"")</f>
        <v>59</v>
      </c>
      <c r="U83" s="154">
        <f>IFERROR(INDEX('Bendra įskaita (2024)'!L:L,MATCH(C83,'Bendra įskaita (2024)'!B:B,0),0),"")</f>
        <v>0</v>
      </c>
    </row>
    <row r="84" spans="1:21" ht="15.75" customHeight="1">
      <c r="A84" s="106">
        <v>50</v>
      </c>
      <c r="B84" s="157"/>
      <c r="C84" s="121" t="s">
        <v>103</v>
      </c>
      <c r="D84" s="132" t="str" cm="1">
        <f t="array" ref="D84">IFERROR(INDEX(Panevezys!P:P,MATCH(C84,Panevezys!E:E,0),0),"")</f>
        <v/>
      </c>
      <c r="E84" s="91" t="str" cm="1">
        <f t="array" ref="E84">IFERROR(INDEX(Kaisiadorys!Q:Q,MATCH(C84,Kaisiadorys!E:E,0),0),"")</f>
        <v/>
      </c>
      <c r="F84" s="94" t="str" cm="1">
        <f t="array" ref="F84">IFERROR(INDEX(Veisiejai!Q:Q,MATCH(C84,Veisiejai!E:E,0),0),"")</f>
        <v/>
      </c>
      <c r="G84" s="91" t="str" cm="1">
        <f t="array" ref="G84">IFERROR(INDEX(Gdanskas!P:P,MATCH(C84,Gdanskas!C:C,0),0),"")</f>
        <v/>
      </c>
      <c r="H84" s="85" t="str" cm="1">
        <f t="array" ref="H84">IFERROR(INDEX(Trakai!R:R,MATCH(C84,Trakai!E:E,0),0),"")</f>
        <v/>
      </c>
      <c r="I84" s="91" t="str" cm="1">
        <f t="array" ref="I84">IFERROR(INDEX(Jonava!Q:Q,MATCH(C84,Jonava!E:E,0),0),"")</f>
        <v/>
      </c>
      <c r="J84" s="85" t="str" cm="1">
        <f t="array" ref="J84">IFERROR(INDEX(Panevezys2!R:R,MATCH(C84,Panevezys2!E:E,0),0),"")</f>
        <v/>
      </c>
      <c r="K84" s="91" t="str">
        <f>IFERROR(INDEX(Skaudvile!Q:Q,MATCH(C84,Skaudvile!E:E,0),0),"")</f>
        <v/>
      </c>
      <c r="L84" s="85" t="str">
        <f>IFERROR(INDEX(Moletai!Q:Q,MATCH(C84,Moletai!E:E,0),0),"")</f>
        <v/>
      </c>
      <c r="M84" s="91"/>
      <c r="N84" s="85">
        <f>COUNTIF(D84:M84,"&gt;0")</f>
        <v>0</v>
      </c>
      <c r="O84" s="110">
        <f>SUM(D84:M84)</f>
        <v>0</v>
      </c>
      <c r="P84" s="86" t="e">
        <f>O84/N84</f>
        <v>#DIV/0!</v>
      </c>
      <c r="Q84" s="133" t="str" cm="1">
        <f t="array" ref="Q84">IFERROR(SUMPRODUCT(LARGE(D84:M84,{1;2;3})),"0")</f>
        <v>0</v>
      </c>
      <c r="R84" s="132">
        <f>IFERROR(INDEX('Bendra įskaita (2025)'!A:A,MATCH(C84,'Bendra įskaita (2025)'!B:B,0),0),"")</f>
        <v>51</v>
      </c>
      <c r="S84" s="91">
        <f>IFERROR(INDEX('Bendra įskaita (2025)'!K:K,MATCH(C84,'Bendra įskaita (2025)'!B:B,0),0),"")</f>
        <v>0</v>
      </c>
      <c r="T84" s="153">
        <f>IFERROR(INDEX('Bendra įskaita (2024)'!A:A,MATCH(C84,'Bendra įskaita (2024)'!B:B,0),0),"")</f>
        <v>60</v>
      </c>
      <c r="U84" s="154">
        <f>IFERROR(INDEX('Bendra įskaita (2024)'!L:L,MATCH(C84,'Bendra įskaita (2024)'!B:B,0),0),"")</f>
        <v>0</v>
      </c>
    </row>
    <row r="85" spans="1:21" ht="15.75" customHeight="1">
      <c r="A85" s="106">
        <v>50</v>
      </c>
      <c r="B85" s="157"/>
      <c r="C85" s="121" t="s">
        <v>104</v>
      </c>
      <c r="D85" s="132" t="str" cm="1">
        <f t="array" ref="D85">IFERROR(INDEX(Panevezys!P:P,MATCH(C85,Panevezys!E:E,0),0),"")</f>
        <v/>
      </c>
      <c r="E85" s="91" t="str" cm="1">
        <f t="array" ref="E85">IFERROR(INDEX(Kaisiadorys!Q:Q,MATCH(C85,Kaisiadorys!E:E,0),0),"")</f>
        <v/>
      </c>
      <c r="F85" s="94" t="str" cm="1">
        <f t="array" ref="F85">IFERROR(INDEX(Veisiejai!Q:Q,MATCH(C85,Veisiejai!E:E,0),0),"")</f>
        <v/>
      </c>
      <c r="G85" s="91" t="str" cm="1">
        <f t="array" ref="G85">IFERROR(INDEX(Gdanskas!P:P,MATCH(C85,Gdanskas!C:C,0),0),"")</f>
        <v/>
      </c>
      <c r="H85" s="85" t="str" cm="1">
        <f t="array" ref="H85">IFERROR(INDEX(Trakai!R:R,MATCH(C85,Trakai!E:E,0),0),"")</f>
        <v/>
      </c>
      <c r="I85" s="91" t="str" cm="1">
        <f t="array" ref="I85">IFERROR(INDEX(Jonava!Q:Q,MATCH(C85,Jonava!E:E,0),0),"")</f>
        <v/>
      </c>
      <c r="J85" s="85" t="str" cm="1">
        <f t="array" ref="J85">IFERROR(INDEX(Panevezys2!R:R,MATCH(C85,Panevezys2!E:E,0),0),"")</f>
        <v/>
      </c>
      <c r="K85" s="91" t="str">
        <f>IFERROR(INDEX(Skaudvile!Q:Q,MATCH(C85,Skaudvile!E:E,0),0),"")</f>
        <v/>
      </c>
      <c r="L85" s="85" t="str">
        <f>IFERROR(INDEX(Moletai!Q:Q,MATCH(C85,Moletai!E:E,0),0),"")</f>
        <v/>
      </c>
      <c r="M85" s="91"/>
      <c r="N85" s="85">
        <f>COUNTIF(D85:M85,"&gt;0")</f>
        <v>0</v>
      </c>
      <c r="O85" s="110">
        <f>SUM(D85:M85)</f>
        <v>0</v>
      </c>
      <c r="P85" s="86" t="e">
        <f>O85/N85</f>
        <v>#DIV/0!</v>
      </c>
      <c r="Q85" s="133" t="str" cm="1">
        <f t="array" ref="Q85">IFERROR(SUMPRODUCT(LARGE(D85:M85,{1;2;3})),"0")</f>
        <v>0</v>
      </c>
      <c r="R85" s="132">
        <f>IFERROR(INDEX('Bendra įskaita (2025)'!A:A,MATCH(C85,'Bendra įskaita (2025)'!B:B,0),0),"")</f>
        <v>51</v>
      </c>
      <c r="S85" s="91">
        <f>IFERROR(INDEX('Bendra įskaita (2025)'!K:K,MATCH(C85,'Bendra įskaita (2025)'!B:B,0),0),"")</f>
        <v>0</v>
      </c>
      <c r="T85" s="153">
        <f>IFERROR(INDEX('Bendra įskaita (2024)'!A:A,MATCH(C85,'Bendra įskaita (2024)'!B:B,0),0),"")</f>
        <v>65</v>
      </c>
      <c r="U85" s="154">
        <f>IFERROR(INDEX('Bendra įskaita (2024)'!L:L,MATCH(C85,'Bendra įskaita (2024)'!B:B,0),0),"")</f>
        <v>0</v>
      </c>
    </row>
    <row r="86" spans="1:21" ht="15.75" customHeight="1">
      <c r="A86" s="106">
        <v>50</v>
      </c>
      <c r="B86" s="157"/>
      <c r="C86" s="122" t="s">
        <v>105</v>
      </c>
      <c r="D86" s="132" t="str" cm="1">
        <f t="array" ref="D86">IFERROR(INDEX(Panevezys!P:P,MATCH(C86,Panevezys!E:E,0),0),"")</f>
        <v/>
      </c>
      <c r="E86" s="91" t="str" cm="1">
        <f t="array" ref="E86">IFERROR(INDEX(Kaisiadorys!Q:Q,MATCH(C86,Kaisiadorys!E:E,0),0),"")</f>
        <v/>
      </c>
      <c r="F86" s="94" t="str" cm="1">
        <f t="array" ref="F86">IFERROR(INDEX(Veisiejai!Q:Q,MATCH(C86,Veisiejai!E:E,0),0),"")</f>
        <v/>
      </c>
      <c r="G86" s="91" t="str" cm="1">
        <f t="array" ref="G86">IFERROR(INDEX(Gdanskas!P:P,MATCH(C86,Gdanskas!C:C,0),0),"")</f>
        <v/>
      </c>
      <c r="H86" s="85" t="str" cm="1">
        <f t="array" ref="H86">IFERROR(INDEX(Trakai!R:R,MATCH(C86,Trakai!E:E,0),0),"")</f>
        <v/>
      </c>
      <c r="I86" s="91" t="str" cm="1">
        <f t="array" ref="I86">IFERROR(INDEX(Jonava!Q:Q,MATCH(C86,Jonava!E:E,0),0),"")</f>
        <v/>
      </c>
      <c r="J86" s="85" t="str" cm="1">
        <f t="array" ref="J86">IFERROR(INDEX(Panevezys2!R:R,MATCH(C86,Panevezys2!E:E,0),0),"")</f>
        <v/>
      </c>
      <c r="K86" s="91" t="str">
        <f>IFERROR(INDEX(Skaudvile!Q:Q,MATCH(C86,Skaudvile!E:E,0),0),"")</f>
        <v/>
      </c>
      <c r="L86" s="85" t="str">
        <f>IFERROR(INDEX(Moletai!Q:Q,MATCH(C86,Moletai!E:E,0),0),"")</f>
        <v/>
      </c>
      <c r="M86" s="91"/>
      <c r="N86" s="85">
        <f>COUNTIF(D86:M86,"&gt;0")</f>
        <v>0</v>
      </c>
      <c r="O86" s="110">
        <f>SUM(D86:M86)</f>
        <v>0</v>
      </c>
      <c r="P86" s="86" t="e">
        <f>O86/N86</f>
        <v>#DIV/0!</v>
      </c>
      <c r="Q86" s="133" t="str" cm="1">
        <f t="array" ref="Q86">IFERROR(SUMPRODUCT(LARGE(D86:M86,{1;2;3})),"0")</f>
        <v>0</v>
      </c>
      <c r="R86" s="132">
        <f>IFERROR(INDEX('Bendra įskaita (2025)'!A:A,MATCH(C86,'Bendra įskaita (2025)'!B:B,0),0),"")</f>
        <v>51</v>
      </c>
      <c r="S86" s="91">
        <f>IFERROR(INDEX('Bendra įskaita (2025)'!K:K,MATCH(C86,'Bendra įskaita (2025)'!B:B,0),0),"")</f>
        <v>0</v>
      </c>
      <c r="T86" s="153">
        <f>IFERROR(INDEX('Bendra įskaita (2024)'!A:A,MATCH(C86,'Bendra įskaita (2024)'!B:B,0),0),"")</f>
        <v>66</v>
      </c>
      <c r="U86" s="154">
        <f>IFERROR(INDEX('Bendra įskaita (2024)'!L:L,MATCH(C86,'Bendra įskaita (2024)'!B:B,0),0),"")</f>
        <v>0</v>
      </c>
    </row>
    <row r="87" spans="1:21" ht="15.75" customHeight="1">
      <c r="A87" s="106">
        <v>50</v>
      </c>
      <c r="B87" s="157"/>
      <c r="C87" s="122" t="s">
        <v>106</v>
      </c>
      <c r="D87" s="132" t="str" cm="1">
        <f t="array" ref="D87">IFERROR(INDEX(Panevezys!P:P,MATCH(C87,Panevezys!E:E,0),0),"")</f>
        <v/>
      </c>
      <c r="E87" s="91" t="str" cm="1">
        <f t="array" ref="E87">IFERROR(INDEX(Kaisiadorys!Q:Q,MATCH(C87,Kaisiadorys!E:E,0),0),"")</f>
        <v/>
      </c>
      <c r="F87" s="94" t="str" cm="1">
        <f t="array" ref="F87">IFERROR(INDEX(Veisiejai!Q:Q,MATCH(C87,Veisiejai!E:E,0),0),"")</f>
        <v/>
      </c>
      <c r="G87" s="91" t="str" cm="1">
        <f t="array" ref="G87">IFERROR(INDEX(Gdanskas!P:P,MATCH(C87,Gdanskas!C:C,0),0),"")</f>
        <v/>
      </c>
      <c r="H87" s="85" t="str" cm="1">
        <f t="array" ref="H87">IFERROR(INDEX(Trakai!R:R,MATCH(C87,Trakai!E:E,0),0),"")</f>
        <v/>
      </c>
      <c r="I87" s="91" t="str" cm="1">
        <f t="array" ref="I87">IFERROR(INDEX(Jonava!Q:Q,MATCH(C87,Jonava!E:E,0),0),"")</f>
        <v/>
      </c>
      <c r="J87" s="85" t="str" cm="1">
        <f t="array" ref="J87">IFERROR(INDEX(Panevezys2!R:R,MATCH(C87,Panevezys2!E:E,0),0),"")</f>
        <v/>
      </c>
      <c r="K87" s="91" t="str">
        <f>IFERROR(INDEX(Skaudvile!Q:Q,MATCH(C87,Skaudvile!E:E,0),0),"")</f>
        <v/>
      </c>
      <c r="L87" s="85" t="str">
        <f>IFERROR(INDEX(Moletai!Q:Q,MATCH(C87,Moletai!E:E,0),0),"")</f>
        <v/>
      </c>
      <c r="M87" s="91"/>
      <c r="N87" s="85">
        <f>COUNTIF(D87:M87,"&gt;0")</f>
        <v>0</v>
      </c>
      <c r="O87" s="110">
        <f>SUM(D87:M87)</f>
        <v>0</v>
      </c>
      <c r="P87" s="86" t="e">
        <f>O87/N87</f>
        <v>#DIV/0!</v>
      </c>
      <c r="Q87" s="133" t="str" cm="1">
        <f t="array" ref="Q87">IFERROR(SUMPRODUCT(LARGE(D87:M87,{1;2;3})),"0")</f>
        <v>0</v>
      </c>
      <c r="R87" s="132">
        <f>IFERROR(INDEX('Bendra įskaita (2025)'!A:A,MATCH(C87,'Bendra įskaita (2025)'!B:B,0),0),"")</f>
        <v>51</v>
      </c>
      <c r="S87" s="91">
        <f>IFERROR(INDEX('Bendra įskaita (2025)'!K:K,MATCH(C87,'Bendra įskaita (2025)'!B:B,0),0),"")</f>
        <v>0</v>
      </c>
      <c r="T87" s="153">
        <f>IFERROR(INDEX('Bendra įskaita (2024)'!A:A,MATCH(C87,'Bendra įskaita (2024)'!B:B,0),0),"")</f>
        <v>67</v>
      </c>
      <c r="U87" s="154">
        <f>IFERROR(INDEX('Bendra įskaita (2024)'!L:L,MATCH(C87,'Bendra įskaita (2024)'!B:B,0),0),"")</f>
        <v>0</v>
      </c>
    </row>
    <row r="88" spans="1:21" ht="15.75" customHeight="1">
      <c r="A88" s="106">
        <v>50</v>
      </c>
      <c r="B88" s="157"/>
      <c r="C88" s="122" t="s">
        <v>107</v>
      </c>
      <c r="D88" s="132" t="str" cm="1">
        <f t="array" ref="D88">IFERROR(INDEX(Panevezys!P:P,MATCH(C88,Panevezys!E:E,0),0),"")</f>
        <v/>
      </c>
      <c r="E88" s="91" t="str" cm="1">
        <f t="array" ref="E88">IFERROR(INDEX(Kaisiadorys!Q:Q,MATCH(C88,Kaisiadorys!E:E,0),0),"")</f>
        <v/>
      </c>
      <c r="F88" s="94" t="str" cm="1">
        <f t="array" ref="F88">IFERROR(INDEX(Veisiejai!Q:Q,MATCH(C88,Veisiejai!E:E,0),0),"")</f>
        <v/>
      </c>
      <c r="G88" s="91" t="str" cm="1">
        <f t="array" ref="G88">IFERROR(INDEX(Gdanskas!P:P,MATCH(C88,Gdanskas!C:C,0),0),"")</f>
        <v/>
      </c>
      <c r="H88" s="85" t="str" cm="1">
        <f t="array" ref="H88">IFERROR(INDEX(Trakai!R:R,MATCH(C88,Trakai!E:E,0),0),"")</f>
        <v/>
      </c>
      <c r="I88" s="91" t="str" cm="1">
        <f t="array" ref="I88">IFERROR(INDEX(Jonava!Q:Q,MATCH(C88,Jonava!E:E,0),0),"")</f>
        <v/>
      </c>
      <c r="J88" s="85" t="str" cm="1">
        <f t="array" ref="J88">IFERROR(INDEX(Panevezys2!R:R,MATCH(C88,Panevezys2!E:E,0),0),"")</f>
        <v/>
      </c>
      <c r="K88" s="91" t="str">
        <f>IFERROR(INDEX(Skaudvile!Q:Q,MATCH(C88,Skaudvile!E:E,0),0),"")</f>
        <v/>
      </c>
      <c r="L88" s="85" t="str">
        <f>IFERROR(INDEX(Moletai!Q:Q,MATCH(C88,Moletai!E:E,0),0),"")</f>
        <v/>
      </c>
      <c r="M88" s="91"/>
      <c r="N88" s="85">
        <f>COUNTIF(D88:M88,"&gt;0")</f>
        <v>0</v>
      </c>
      <c r="O88" s="110">
        <f>SUM(D88:M88)</f>
        <v>0</v>
      </c>
      <c r="P88" s="86" t="e">
        <f>O88/N88</f>
        <v>#DIV/0!</v>
      </c>
      <c r="Q88" s="133" t="str" cm="1">
        <f t="array" ref="Q88">IFERROR(SUMPRODUCT(LARGE(D88:M88,{1;2;3})),"0")</f>
        <v>0</v>
      </c>
      <c r="R88" s="132">
        <f>IFERROR(INDEX('Bendra įskaita (2025)'!A:A,MATCH(C88,'Bendra įskaita (2025)'!B:B,0),0),"")</f>
        <v>51</v>
      </c>
      <c r="S88" s="91">
        <f>IFERROR(INDEX('Bendra įskaita (2025)'!K:K,MATCH(C88,'Bendra įskaita (2025)'!B:B,0),0),"")</f>
        <v>0</v>
      </c>
      <c r="T88" s="153">
        <v>73</v>
      </c>
      <c r="U88" s="154">
        <v>0</v>
      </c>
    </row>
    <row r="89" spans="1:21" ht="15.75" customHeight="1">
      <c r="A89" s="106">
        <v>50</v>
      </c>
      <c r="B89" s="157"/>
      <c r="C89" s="122" t="s">
        <v>108</v>
      </c>
      <c r="D89" s="132" t="str" cm="1">
        <f t="array" ref="D89">IFERROR(INDEX(Panevezys!P:P,MATCH(C89,Panevezys!E:E,0),0),"")</f>
        <v/>
      </c>
      <c r="E89" s="91" t="str" cm="1">
        <f t="array" ref="E89">IFERROR(INDEX(Kaisiadorys!Q:Q,MATCH(C89,Kaisiadorys!E:E,0),0),"")</f>
        <v/>
      </c>
      <c r="F89" s="94" t="str" cm="1">
        <f t="array" ref="F89">IFERROR(INDEX(Veisiejai!Q:Q,MATCH(C89,Veisiejai!E:E,0),0),"")</f>
        <v/>
      </c>
      <c r="G89" s="91" t="str" cm="1">
        <f t="array" ref="G89">IFERROR(INDEX(Gdanskas!P:P,MATCH(C89,Gdanskas!C:C,0),0),"")</f>
        <v/>
      </c>
      <c r="H89" s="85" t="str" cm="1">
        <f t="array" ref="H89">IFERROR(INDEX(Trakai!R:R,MATCH(C89,Trakai!E:E,0),0),"")</f>
        <v/>
      </c>
      <c r="I89" s="91" t="str" cm="1">
        <f t="array" ref="I89">IFERROR(INDEX(Jonava!Q:Q,MATCH(C89,Jonava!E:E,0),0),"")</f>
        <v/>
      </c>
      <c r="J89" s="85" t="str" cm="1">
        <f t="array" ref="J89">IFERROR(INDEX(Panevezys2!R:R,MATCH(C89,Panevezys2!E:E,0),0),"")</f>
        <v/>
      </c>
      <c r="K89" s="91" t="str">
        <f>IFERROR(INDEX(Skaudvile!Q:Q,MATCH(C89,Skaudvile!E:E,0),0),"")</f>
        <v/>
      </c>
      <c r="L89" s="85" t="str">
        <f>IFERROR(INDEX(Moletai!Q:Q,MATCH(C89,Moletai!E:E,0),0),"")</f>
        <v/>
      </c>
      <c r="M89" s="91"/>
      <c r="N89" s="85">
        <f>COUNTIF(D89:M89,"&gt;0")</f>
        <v>0</v>
      </c>
      <c r="O89" s="110">
        <f>SUM(D89:M89)</f>
        <v>0</v>
      </c>
      <c r="P89" s="86" t="e">
        <f>O89/N89</f>
        <v>#DIV/0!</v>
      </c>
      <c r="Q89" s="133" t="str" cm="1">
        <f t="array" ref="Q89">IFERROR(SUMPRODUCT(LARGE(D89:M89,{1;2;3})),"0")</f>
        <v>0</v>
      </c>
      <c r="R89" s="132">
        <f>IFERROR(INDEX('Bendra įskaita (2025)'!A:A,MATCH(C89,'Bendra įskaita (2025)'!B:B,0),0),"")</f>
        <v>51</v>
      </c>
      <c r="S89" s="91">
        <f>IFERROR(INDEX('Bendra įskaita (2025)'!K:K,MATCH(C89,'Bendra įskaita (2025)'!B:B,0),0),"")</f>
        <v>0</v>
      </c>
      <c r="T89" s="153">
        <f>IFERROR(INDEX('Bendra įskaita (2024)'!A:A,MATCH(C89,'Bendra įskaita (2024)'!B:B,0),0),"")</f>
        <v>74</v>
      </c>
      <c r="U89" s="154">
        <f>IFERROR(INDEX('Bendra įskaita (2024)'!L:L,MATCH(C89,'Bendra įskaita (2024)'!B:B,0),0),"")</f>
        <v>0</v>
      </c>
    </row>
    <row r="90" spans="1:21" ht="15.75" customHeight="1">
      <c r="A90" s="106">
        <v>50</v>
      </c>
      <c r="B90" s="157"/>
      <c r="C90" s="122" t="s">
        <v>109</v>
      </c>
      <c r="D90" s="132" t="str" cm="1">
        <f t="array" ref="D90">IFERROR(INDEX(Panevezys!P:P,MATCH(C90,Panevezys!E:E,0),0),"")</f>
        <v/>
      </c>
      <c r="E90" s="91" t="str" cm="1">
        <f t="array" ref="E90">IFERROR(INDEX(Kaisiadorys!Q:Q,MATCH(C90,Kaisiadorys!E:E,0),0),"")</f>
        <v/>
      </c>
      <c r="F90" s="94" t="str" cm="1">
        <f t="array" ref="F90">IFERROR(INDEX(Veisiejai!Q:Q,MATCH(C90,Veisiejai!E:E,0),0),"")</f>
        <v/>
      </c>
      <c r="G90" s="91" t="str" cm="1">
        <f t="array" ref="G90">IFERROR(INDEX(Gdanskas!P:P,MATCH(C90,Gdanskas!C:C,0),0),"")</f>
        <v/>
      </c>
      <c r="H90" s="85" t="str" cm="1">
        <f t="array" ref="H90">IFERROR(INDEX(Trakai!R:R,MATCH(C90,Trakai!E:E,0),0),"")</f>
        <v/>
      </c>
      <c r="I90" s="91" t="str" cm="1">
        <f t="array" ref="I90">IFERROR(INDEX(Jonava!Q:Q,MATCH(C90,Jonava!E:E,0),0),"")</f>
        <v/>
      </c>
      <c r="J90" s="85" t="str" cm="1">
        <f t="array" ref="J90">IFERROR(INDEX(Panevezys2!R:R,MATCH(C90,Panevezys2!E:E,0),0),"")</f>
        <v/>
      </c>
      <c r="K90" s="91" t="str">
        <f>IFERROR(INDEX(Skaudvile!Q:Q,MATCH(C90,Skaudvile!E:E,0),0),"")</f>
        <v/>
      </c>
      <c r="L90" s="85" t="str">
        <f>IFERROR(INDEX(Moletai!Q:Q,MATCH(C90,Moletai!E:E,0),0),"")</f>
        <v/>
      </c>
      <c r="M90" s="91"/>
      <c r="N90" s="85">
        <f>COUNTIF(D90:M90,"&gt;0")</f>
        <v>0</v>
      </c>
      <c r="O90" s="110">
        <f>SUM(D90:M90)</f>
        <v>0</v>
      </c>
      <c r="P90" s="86" t="e">
        <f>O90/N90</f>
        <v>#DIV/0!</v>
      </c>
      <c r="Q90" s="133" t="str" cm="1">
        <f t="array" ref="Q90">IFERROR(SUMPRODUCT(LARGE(E90:M90,{1;2;3})),"0")</f>
        <v>0</v>
      </c>
      <c r="R90" s="132">
        <f>IFERROR(INDEX('Bendra įskaita (2025)'!A:A,MATCH(C90,'Bendra įskaita (2025)'!B:B,0),0),"")</f>
        <v>51</v>
      </c>
      <c r="S90" s="91">
        <f>IFERROR(INDEX('Bendra įskaita (2025)'!K:K,MATCH(C90,'Bendra įskaita (2025)'!B:B,0),0),"")</f>
        <v>0</v>
      </c>
      <c r="T90" s="153">
        <f>IFERROR(INDEX('Bendra įskaita (2024)'!A:A,MATCH(C90,'Bendra įskaita (2024)'!B:B,0),0),"")</f>
        <v>75</v>
      </c>
      <c r="U90" s="154">
        <f>IFERROR(INDEX('Bendra įskaita (2024)'!L:L,MATCH(C90,'Bendra įskaita (2024)'!B:B,0),0),"")</f>
        <v>0</v>
      </c>
    </row>
    <row r="91" spans="1:21" ht="15.75" customHeight="1">
      <c r="A91" s="106">
        <v>50</v>
      </c>
      <c r="B91" s="157"/>
      <c r="C91" s="121" t="s">
        <v>110</v>
      </c>
      <c r="D91" s="132" t="str" cm="1">
        <f t="array" ref="D91">IFERROR(INDEX(Panevezys!P:P,MATCH(C91,Panevezys!E:E,0),0),"")</f>
        <v/>
      </c>
      <c r="E91" s="91" t="str" cm="1">
        <f t="array" ref="E91">IFERROR(INDEX(Kaisiadorys!Q:Q,MATCH(C91,Kaisiadorys!E:E,0),0),"")</f>
        <v/>
      </c>
      <c r="F91" s="94" t="str" cm="1">
        <f t="array" ref="F91">IFERROR(INDEX(Veisiejai!Q:Q,MATCH(C91,Veisiejai!E:E,0),0),"")</f>
        <v/>
      </c>
      <c r="G91" s="91" t="str" cm="1">
        <f t="array" ref="G91">IFERROR(INDEX(Gdanskas!P:P,MATCH(C91,Gdanskas!C:C,0),0),"")</f>
        <v/>
      </c>
      <c r="H91" s="85" t="str" cm="1">
        <f t="array" ref="H91">IFERROR(INDEX(Trakai!R:R,MATCH(C91,Trakai!E:E,0),0),"")</f>
        <v/>
      </c>
      <c r="I91" s="91" t="str" cm="1">
        <f t="array" ref="I91">IFERROR(INDEX(Jonava!Q:Q,MATCH(C91,Jonava!E:E,0),0),"")</f>
        <v/>
      </c>
      <c r="J91" s="85" t="str" cm="1">
        <f t="array" ref="J91">IFERROR(INDEX(Panevezys2!R:R,MATCH(C91,Panevezys2!E:E,0),0),"")</f>
        <v/>
      </c>
      <c r="K91" s="91" t="str">
        <f>IFERROR(INDEX(Skaudvile!Q:Q,MATCH(C91,Skaudvile!E:E,0),0),"")</f>
        <v/>
      </c>
      <c r="L91" s="85" t="str">
        <f>IFERROR(INDEX(Moletai!Q:Q,MATCH(C91,Moletai!E:E,0),0),"")</f>
        <v/>
      </c>
      <c r="M91" s="91"/>
      <c r="N91" s="85">
        <f>COUNTIF(D91:M91,"&gt;0")</f>
        <v>0</v>
      </c>
      <c r="O91" s="110">
        <f>SUM(D91:M91)</f>
        <v>0</v>
      </c>
      <c r="P91" s="86" t="e">
        <f>O91/N91</f>
        <v>#DIV/0!</v>
      </c>
      <c r="Q91" s="133" t="str" cm="1">
        <f t="array" ref="Q91">IFERROR(SUMPRODUCT(LARGE(D91:M91,{1;2;3})),"0")</f>
        <v>0</v>
      </c>
      <c r="R91" s="132">
        <f>IFERROR(INDEX('Bendra įskaita (2025)'!A:A,MATCH(C91,'Bendra įskaita (2025)'!B:B,0),0),"")</f>
        <v>51</v>
      </c>
      <c r="S91" s="91">
        <f>IFERROR(INDEX('Bendra įskaita (2025)'!K:K,MATCH(C91,'Bendra įskaita (2025)'!B:B,0),0),"")</f>
        <v>0</v>
      </c>
      <c r="T91" s="153">
        <f>IFERROR(INDEX('Bendra įskaita (2024)'!A:A,MATCH(C91,'Bendra įskaita (2024)'!B:B,0),0),"")</f>
        <v>77</v>
      </c>
      <c r="U91" s="154">
        <f>IFERROR(INDEX('Bendra įskaita (2024)'!L:L,MATCH(C91,'Bendra įskaita (2024)'!B:B,0),0),"")</f>
        <v>0</v>
      </c>
    </row>
    <row r="92" spans="1:21" ht="15" customHeight="1">
      <c r="A92" s="106">
        <v>50</v>
      </c>
      <c r="B92" s="157"/>
      <c r="C92" s="121" t="s">
        <v>111</v>
      </c>
      <c r="D92" s="132" t="str" cm="1">
        <f t="array" ref="D92">IFERROR(INDEX(Panevezys!P:P,MATCH(C92,Panevezys!E:E,0),0),"")</f>
        <v/>
      </c>
      <c r="E92" s="91" t="str" cm="1">
        <f t="array" ref="E92">IFERROR(INDEX(Kaisiadorys!Q:Q,MATCH(C92,Kaisiadorys!E:E,0),0),"")</f>
        <v/>
      </c>
      <c r="F92" s="94" t="str" cm="1">
        <f t="array" ref="F92">IFERROR(INDEX(Veisiejai!Q:Q,MATCH(C92,Veisiejai!E:E,0),0),"")</f>
        <v/>
      </c>
      <c r="G92" s="91" t="str" cm="1">
        <f t="array" ref="G92">IFERROR(INDEX(Gdanskas!P:P,MATCH(C92,Gdanskas!C:C,0),0),"")</f>
        <v/>
      </c>
      <c r="H92" s="85" t="str" cm="1">
        <f t="array" ref="H92">IFERROR(INDEX(Trakai!R:R,MATCH(C92,Trakai!E:E,0),0),"")</f>
        <v/>
      </c>
      <c r="I92" s="91" t="str" cm="1">
        <f t="array" ref="I92">IFERROR(INDEX(Jonava!Q:Q,MATCH(C92,Jonava!E:E,0),0),"")</f>
        <v/>
      </c>
      <c r="J92" s="85" t="str" cm="1">
        <f t="array" ref="J92">IFERROR(INDEX(Panevezys2!R:R,MATCH(C92,Panevezys2!E:E,0),0),"")</f>
        <v/>
      </c>
      <c r="K92" s="91" t="str">
        <f>IFERROR(INDEX(Skaudvile!Q:Q,MATCH(C92,Skaudvile!E:E,0),0),"")</f>
        <v/>
      </c>
      <c r="L92" s="85" t="str">
        <f>IFERROR(INDEX(Moletai!Q:Q,MATCH(C92,Moletai!E:E,0),0),"")</f>
        <v/>
      </c>
      <c r="M92" s="91"/>
      <c r="N92" s="85">
        <f>COUNTIF(D92:M92,"&gt;0")</f>
        <v>0</v>
      </c>
      <c r="O92" s="110">
        <f>SUM(D92:M92)</f>
        <v>0</v>
      </c>
      <c r="P92" s="86" t="e">
        <f>O92/N92</f>
        <v>#DIV/0!</v>
      </c>
      <c r="Q92" s="133" t="str" cm="1">
        <f t="array" ref="Q92">IFERROR(SUMPRODUCT(LARGE(D92:M92,{1;2;3})),"0")</f>
        <v>0</v>
      </c>
      <c r="R92" s="132">
        <f>IFERROR(INDEX('Bendra įskaita (2025)'!A:A,MATCH(C92,'Bendra įskaita (2025)'!B:B,0),0),"")</f>
        <v>51</v>
      </c>
      <c r="S92" s="91">
        <f>IFERROR(INDEX('Bendra įskaita (2025)'!K:K,MATCH(C92,'Bendra įskaita (2025)'!B:B,0),0),"")</f>
        <v>0</v>
      </c>
      <c r="T92" s="153">
        <f>IFERROR(INDEX('Bendra įskaita (2024)'!A:A,MATCH(C92,'Bendra įskaita (2024)'!B:B,0),0),"")</f>
        <v>79</v>
      </c>
      <c r="U92" s="154">
        <f>IFERROR(INDEX('Bendra įskaita (2024)'!L:L,MATCH(C92,'Bendra įskaita (2024)'!B:B,0),0),"")</f>
        <v>0</v>
      </c>
    </row>
    <row r="93" spans="1:21" ht="15" customHeight="1">
      <c r="A93" s="106">
        <v>50</v>
      </c>
      <c r="B93" s="157"/>
      <c r="C93" s="121" t="s">
        <v>112</v>
      </c>
      <c r="D93" s="132" t="str" cm="1">
        <f t="array" ref="D93">IFERROR(INDEX(Panevezys!P:P,MATCH(C93,Panevezys!E:E,0),0),"")</f>
        <v/>
      </c>
      <c r="E93" s="91" t="str" cm="1">
        <f t="array" ref="E93">IFERROR(INDEX(Kaisiadorys!Q:Q,MATCH(C93,Kaisiadorys!E:E,0),0),"")</f>
        <v/>
      </c>
      <c r="F93" s="94" t="str" cm="1">
        <f t="array" ref="F93">IFERROR(INDEX(Veisiejai!Q:Q,MATCH(C93,Veisiejai!E:E,0),0),"")</f>
        <v/>
      </c>
      <c r="G93" s="91" t="str" cm="1">
        <f t="array" ref="G93">IFERROR(INDEX(Gdanskas!P:P,MATCH(C93,Gdanskas!C:C,0),0),"")</f>
        <v/>
      </c>
      <c r="H93" s="85" t="str" cm="1">
        <f t="array" ref="H93">IFERROR(INDEX(Trakai!R:R,MATCH(C93,Trakai!E:E,0),0),"")</f>
        <v/>
      </c>
      <c r="I93" s="91" t="str" cm="1">
        <f t="array" ref="I93">IFERROR(INDEX(Jonava!Q:Q,MATCH(C93,Jonava!E:E,0),0),"")</f>
        <v/>
      </c>
      <c r="J93" s="85" t="str" cm="1">
        <f t="array" ref="J93">IFERROR(INDEX(Panevezys2!R:R,MATCH(C93,Panevezys2!E:E,0),0),"")</f>
        <v/>
      </c>
      <c r="K93" s="91" t="str">
        <f>IFERROR(INDEX(Skaudvile!Q:Q,MATCH(C93,Skaudvile!E:E,0),0),"")</f>
        <v/>
      </c>
      <c r="L93" s="85" t="str">
        <f>IFERROR(INDEX(Moletai!Q:Q,MATCH(C93,Moletai!E:E,0),0),"")</f>
        <v/>
      </c>
      <c r="M93" s="91"/>
      <c r="N93" s="85">
        <f>COUNTIF(D93:M93,"&gt;0")</f>
        <v>0</v>
      </c>
      <c r="O93" s="110">
        <f>SUM(D93:M93)</f>
        <v>0</v>
      </c>
      <c r="P93" s="86" t="e">
        <f>O93/N93</f>
        <v>#DIV/0!</v>
      </c>
      <c r="Q93" s="133" t="str" cm="1">
        <f t="array" ref="Q93">IFERROR(SUMPRODUCT(LARGE(D93:M93,{1;2;3})),"0")</f>
        <v>0</v>
      </c>
      <c r="R93" s="132">
        <f>IFERROR(INDEX('Bendra įskaita (2025)'!A:A,MATCH(C93,'Bendra įskaita (2025)'!B:B,0),0),"")</f>
        <v>51</v>
      </c>
      <c r="S93" s="91">
        <f>IFERROR(INDEX('Bendra įskaita (2025)'!K:K,MATCH(C93,'Bendra įskaita (2025)'!B:B,0),0),"")</f>
        <v>0</v>
      </c>
      <c r="T93" s="153">
        <f>IFERROR(INDEX('Bendra įskaita (2024)'!A:A,MATCH(C93,'Bendra įskaita (2024)'!B:B,0),0),"")</f>
        <v>80</v>
      </c>
      <c r="U93" s="154">
        <f>IFERROR(INDEX('Bendra įskaita (2024)'!L:L,MATCH(C93,'Bendra įskaita (2024)'!B:B,0),0),"")</f>
        <v>0</v>
      </c>
    </row>
    <row r="94" spans="1:21" ht="15" customHeight="1">
      <c r="A94" s="106">
        <v>50</v>
      </c>
      <c r="B94" s="157"/>
      <c r="C94" s="122" t="s">
        <v>113</v>
      </c>
      <c r="D94" s="132" t="str" cm="1">
        <f t="array" ref="D94">IFERROR(INDEX(Panevezys!P:P,MATCH(C94,Panevezys!E:E,0),0),"")</f>
        <v/>
      </c>
      <c r="E94" s="91" t="str" cm="1">
        <f t="array" ref="E94">IFERROR(INDEX(Kaisiadorys!Q:Q,MATCH(C94,Kaisiadorys!E:E,0),0),"")</f>
        <v/>
      </c>
      <c r="F94" s="94" t="str" cm="1">
        <f t="array" ref="F94">IFERROR(INDEX(Veisiejai!Q:Q,MATCH(C94,Veisiejai!E:E,0),0),"")</f>
        <v/>
      </c>
      <c r="G94" s="91" t="str" cm="1">
        <f t="array" ref="G94">IFERROR(INDEX(Gdanskas!P:P,MATCH(C94,Gdanskas!C:C,0),0),"")</f>
        <v/>
      </c>
      <c r="H94" s="85" t="str" cm="1">
        <f t="array" ref="H94">IFERROR(INDEX(Trakai!R:R,MATCH(C94,Trakai!E:E,0),0),"")</f>
        <v/>
      </c>
      <c r="I94" s="91" t="str" cm="1">
        <f t="array" ref="I94">IFERROR(INDEX(Jonava!Q:Q,MATCH(C94,Jonava!E:E,0),0),"")</f>
        <v/>
      </c>
      <c r="J94" s="85" t="str" cm="1">
        <f t="array" ref="J94">IFERROR(INDEX(Panevezys2!R:R,MATCH(C94,Panevezys2!E:E,0),0),"")</f>
        <v/>
      </c>
      <c r="K94" s="91" t="str">
        <f>IFERROR(INDEX(Skaudvile!Q:Q,MATCH(C94,Skaudvile!E:E,0),0),"")</f>
        <v/>
      </c>
      <c r="L94" s="85" t="str">
        <f>IFERROR(INDEX(Moletai!Q:Q,MATCH(C94,Moletai!E:E,0),0),"")</f>
        <v/>
      </c>
      <c r="M94" s="91"/>
      <c r="N94" s="85">
        <f>COUNTIF(D94:M94,"&gt;0")</f>
        <v>0</v>
      </c>
      <c r="O94" s="110">
        <f>SUM(D94:M94)</f>
        <v>0</v>
      </c>
      <c r="P94" s="86" t="e">
        <f>O94/N94</f>
        <v>#DIV/0!</v>
      </c>
      <c r="Q94" s="133" t="str" cm="1">
        <f t="array" ref="Q94">IFERROR(SUMPRODUCT(LARGE(D94:M94,{1;2;3})),"0")</f>
        <v>0</v>
      </c>
      <c r="R94" s="132">
        <f>IFERROR(INDEX('Bendra įskaita (2025)'!A:A,MATCH(C94,'Bendra įskaita (2025)'!B:B,0),0),"")</f>
        <v>51</v>
      </c>
      <c r="S94" s="91">
        <f>IFERROR(INDEX('Bendra įskaita (2025)'!K:K,MATCH(C94,'Bendra įskaita (2025)'!B:B,0),0),"")</f>
        <v>0</v>
      </c>
      <c r="T94" s="153">
        <f>IFERROR(INDEX('Bendra įskaita (2024)'!A:A,MATCH(C94,'Bendra įskaita (2024)'!B:B,0),0),"")</f>
        <v>83</v>
      </c>
      <c r="U94" s="154">
        <f>IFERROR(INDEX('Bendra įskaita (2024)'!L:L,MATCH(C94,'Bendra įskaita (2024)'!B:B,0),0),"")</f>
        <v>0</v>
      </c>
    </row>
    <row r="95" spans="1:21" ht="15" customHeight="1">
      <c r="A95" s="106">
        <v>50</v>
      </c>
      <c r="B95" s="157"/>
      <c r="C95" s="121" t="s">
        <v>114</v>
      </c>
      <c r="D95" s="132" t="str" cm="1">
        <f t="array" ref="D95">IFERROR(INDEX(Panevezys!P:P,MATCH(C95,Panevezys!E:E,0),0),"")</f>
        <v/>
      </c>
      <c r="E95" s="91" t="str" cm="1">
        <f t="array" ref="E95">IFERROR(INDEX(Kaisiadorys!Q:Q,MATCH(C95,Kaisiadorys!E:E,0),0),"")</f>
        <v/>
      </c>
      <c r="F95" s="94" t="str" cm="1">
        <f t="array" ref="F95">IFERROR(INDEX(Veisiejai!Q:Q,MATCH(C95,Veisiejai!E:E,0),0),"")</f>
        <v/>
      </c>
      <c r="G95" s="91" t="str" cm="1">
        <f t="array" ref="G95">IFERROR(INDEX(Gdanskas!P:P,MATCH(C95,Gdanskas!C:C,0),0),"")</f>
        <v/>
      </c>
      <c r="H95" s="85" t="str" cm="1">
        <f t="array" ref="H95">IFERROR(INDEX(Trakai!R:R,MATCH(C95,Trakai!E:E,0),0),"")</f>
        <v/>
      </c>
      <c r="I95" s="91" t="str" cm="1">
        <f t="array" ref="I95">IFERROR(INDEX(Jonava!Q:Q,MATCH(C95,Jonava!E:E,0),0),"")</f>
        <v/>
      </c>
      <c r="J95" s="85" t="str" cm="1">
        <f t="array" ref="J95">IFERROR(INDEX(Panevezys2!R:R,MATCH(C95,Panevezys2!E:E,0),0),"")</f>
        <v/>
      </c>
      <c r="K95" s="91" t="str">
        <f>IFERROR(INDEX(Skaudvile!Q:Q,MATCH(C95,Skaudvile!E:E,0),0),"")</f>
        <v/>
      </c>
      <c r="L95" s="85" t="str">
        <f>IFERROR(INDEX(Moletai!Q:Q,MATCH(C95,Moletai!E:E,0),0),"")</f>
        <v/>
      </c>
      <c r="M95" s="91"/>
      <c r="N95" s="85">
        <f>COUNTIF(D95:M95,"&gt;0")</f>
        <v>0</v>
      </c>
      <c r="O95" s="110">
        <f>SUM(D95:M95)</f>
        <v>0</v>
      </c>
      <c r="P95" s="86" t="e">
        <f>O95/N95</f>
        <v>#DIV/0!</v>
      </c>
      <c r="Q95" s="133" t="str" cm="1">
        <f t="array" ref="Q95">IFERROR(SUMPRODUCT(LARGE(D95:M95,{1;2;3})),"0")</f>
        <v>0</v>
      </c>
      <c r="R95" s="132">
        <f>IFERROR(INDEX('Bendra įskaita (2025)'!A:A,MATCH(C95,'Bendra įskaita (2025)'!B:B,0),0),"")</f>
        <v>51</v>
      </c>
      <c r="S95" s="91">
        <f>IFERROR(INDEX('Bendra įskaita (2025)'!K:K,MATCH(C95,'Bendra įskaita (2025)'!B:B,0),0),"")</f>
        <v>0</v>
      </c>
      <c r="T95" s="153">
        <f>IFERROR(INDEX('Bendra įskaita (2024)'!A:A,MATCH(C95,'Bendra įskaita (2024)'!B:B,0),0),"")</f>
        <v>85</v>
      </c>
      <c r="U95" s="154">
        <f>IFERROR(INDEX('Bendra įskaita (2024)'!L:L,MATCH(C95,'Bendra įskaita (2024)'!B:B,0),0),"")</f>
        <v>0</v>
      </c>
    </row>
    <row r="96" spans="1:21" ht="15" customHeight="1">
      <c r="A96" s="106">
        <v>50</v>
      </c>
      <c r="B96" s="157"/>
      <c r="C96" s="121" t="s">
        <v>115</v>
      </c>
      <c r="D96" s="132" t="str" cm="1">
        <f t="array" ref="D96">IFERROR(INDEX(Panevezys!P:P,MATCH(C96,Panevezys!E:E,0),0),"")</f>
        <v/>
      </c>
      <c r="E96" s="91" t="str" cm="1">
        <f t="array" ref="E96">IFERROR(INDEX(Kaisiadorys!Q:Q,MATCH(C96,Kaisiadorys!E:E,0),0),"")</f>
        <v/>
      </c>
      <c r="F96" s="94" t="str" cm="1">
        <f t="array" ref="F96">IFERROR(INDEX(Veisiejai!Q:Q,MATCH(C96,Veisiejai!E:E,0),0),"")</f>
        <v/>
      </c>
      <c r="G96" s="91" t="str" cm="1">
        <f t="array" ref="G96">IFERROR(INDEX(Gdanskas!P:P,MATCH(C96,Gdanskas!C:C,0),0),"")</f>
        <v/>
      </c>
      <c r="H96" s="85" t="str" cm="1">
        <f t="array" ref="H96">IFERROR(INDEX(Trakai!R:R,MATCH(C96,Trakai!E:E,0),0),"")</f>
        <v/>
      </c>
      <c r="I96" s="91" t="str" cm="1">
        <f t="array" ref="I96">IFERROR(INDEX(Jonava!Q:Q,MATCH(C96,Jonava!E:E,0),0),"")</f>
        <v/>
      </c>
      <c r="J96" s="85" t="str" cm="1">
        <f t="array" ref="J96">IFERROR(INDEX(Panevezys2!R:R,MATCH(C96,Panevezys2!E:E,0),0),"")</f>
        <v/>
      </c>
      <c r="K96" s="91" t="str">
        <f>IFERROR(INDEX(Skaudvile!Q:Q,MATCH(C96,Skaudvile!E:E,0),0),"")</f>
        <v/>
      </c>
      <c r="L96" s="85" t="str">
        <f>IFERROR(INDEX(Moletai!Q:Q,MATCH(C96,Moletai!E:E,0),0),"")</f>
        <v/>
      </c>
      <c r="M96" s="91"/>
      <c r="N96" s="85">
        <f>COUNTIF(D96:M96,"&gt;0")</f>
        <v>0</v>
      </c>
      <c r="O96" s="110">
        <f>SUM(D96:M96)</f>
        <v>0</v>
      </c>
      <c r="P96" s="86" t="e">
        <f>O96/N96</f>
        <v>#DIV/0!</v>
      </c>
      <c r="Q96" s="133" t="str" cm="1">
        <f t="array" ref="Q96">IFERROR(SUMPRODUCT(LARGE(D96:M96,{1;2;3})),"0")</f>
        <v>0</v>
      </c>
      <c r="R96" s="132">
        <f>IFERROR(INDEX('Bendra įskaita (2025)'!A:A,MATCH(C96,'Bendra įskaita (2025)'!B:B,0),0),"")</f>
        <v>51</v>
      </c>
      <c r="S96" s="91">
        <f>IFERROR(INDEX('Bendra įskaita (2025)'!K:K,MATCH(C96,'Bendra įskaita (2025)'!B:B,0),0),"")</f>
        <v>0</v>
      </c>
      <c r="T96" s="153">
        <f>IFERROR(INDEX('Bendra įskaita (2024)'!A:A,MATCH(C96,'Bendra įskaita (2024)'!B:B,0),0),"")</f>
        <v>87</v>
      </c>
      <c r="U96" s="154">
        <f>IFERROR(INDEX('Bendra įskaita (2024)'!L:L,MATCH(C96,'Bendra įskaita (2024)'!B:B,0),0),"")</f>
        <v>0</v>
      </c>
    </row>
    <row r="97" spans="1:21" ht="15" customHeight="1">
      <c r="A97" s="106">
        <v>50</v>
      </c>
      <c r="B97" s="157"/>
      <c r="C97" s="121" t="s">
        <v>116</v>
      </c>
      <c r="D97" s="132" t="str" cm="1">
        <f t="array" ref="D97">IFERROR(INDEX(Panevezys!P:P,MATCH(C97,Panevezys!E:E,0),0),"")</f>
        <v/>
      </c>
      <c r="E97" s="91" t="str" cm="1">
        <f t="array" ref="E97">IFERROR(INDEX(Kaisiadorys!Q:Q,MATCH(C97,Kaisiadorys!E:E,0),0),"")</f>
        <v/>
      </c>
      <c r="F97" s="94" t="str" cm="1">
        <f t="array" ref="F97">IFERROR(INDEX(Veisiejai!Q:Q,MATCH(C97,Veisiejai!E:E,0),0),"")</f>
        <v/>
      </c>
      <c r="G97" s="91" t="str" cm="1">
        <f t="array" ref="G97">IFERROR(INDEX(Gdanskas!P:P,MATCH(C97,Gdanskas!C:C,0),0),"")</f>
        <v/>
      </c>
      <c r="H97" s="85" t="str" cm="1">
        <f t="array" ref="H97">IFERROR(INDEX(Trakai!R:R,MATCH(C97,Trakai!E:E,0),0),"")</f>
        <v/>
      </c>
      <c r="I97" s="91" t="str" cm="1">
        <f t="array" ref="I97">IFERROR(INDEX(Jonava!Q:Q,MATCH(C97,Jonava!E:E,0),0),"")</f>
        <v/>
      </c>
      <c r="J97" s="85" t="str" cm="1">
        <f t="array" ref="J97">IFERROR(INDEX(Panevezys2!R:R,MATCH(C97,Panevezys2!E:E,0),0),"")</f>
        <v/>
      </c>
      <c r="K97" s="91" t="str">
        <f>IFERROR(INDEX(Skaudvile!Q:Q,MATCH(C97,Skaudvile!E:E,0),0),"")</f>
        <v/>
      </c>
      <c r="L97" s="85" t="str">
        <f>IFERROR(INDEX(Moletai!Q:Q,MATCH(C97,Moletai!E:E,0),0),"")</f>
        <v/>
      </c>
      <c r="M97" s="91"/>
      <c r="N97" s="85">
        <f>COUNTIF(D97:M97,"&gt;0")</f>
        <v>0</v>
      </c>
      <c r="O97" s="110">
        <f>SUM(D97:M97)</f>
        <v>0</v>
      </c>
      <c r="P97" s="86" t="e">
        <f>O97/N97</f>
        <v>#DIV/0!</v>
      </c>
      <c r="Q97" s="134" t="str" cm="1">
        <f t="array" ref="Q97">IFERROR(SUMPRODUCT(LARGE(D97:M97,{1;2;3})),"0")</f>
        <v>0</v>
      </c>
      <c r="R97" s="132">
        <f>IFERROR(INDEX('Bendra įskaita (2025)'!A:A,MATCH(C97,'Bendra įskaita (2025)'!B:B,0),0),"")</f>
        <v>51</v>
      </c>
      <c r="S97" s="91">
        <f>IFERROR(INDEX('Bendra įskaita (2025)'!K:K,MATCH(C97,'Bendra įskaita (2025)'!B:B,0),0),"")</f>
        <v>0</v>
      </c>
      <c r="T97" s="153">
        <f>IFERROR(INDEX('Bendra įskaita (2024)'!A:A,MATCH(C97,'Bendra įskaita (2024)'!B:B,0),0),"")</f>
        <v>88</v>
      </c>
      <c r="U97" s="154">
        <f>IFERROR(INDEX('Bendra įskaita (2024)'!L:L,MATCH(C97,'Bendra įskaita (2024)'!B:B,0),0),"")</f>
        <v>0</v>
      </c>
    </row>
    <row r="98" spans="1:21" ht="15" customHeight="1">
      <c r="A98" s="106">
        <v>50</v>
      </c>
      <c r="B98" s="157"/>
      <c r="C98" s="121" t="s">
        <v>117</v>
      </c>
      <c r="D98" s="132" t="str" cm="1">
        <f t="array" ref="D98">IFERROR(INDEX(Panevezys!P:P,MATCH(C98,Panevezys!E:E,0),0),"")</f>
        <v/>
      </c>
      <c r="E98" s="91" t="str" cm="1">
        <f t="array" ref="E98">IFERROR(INDEX(Kaisiadorys!Q:Q,MATCH(C98,Kaisiadorys!E:E,0),0),"")</f>
        <v/>
      </c>
      <c r="F98" s="94" t="str" cm="1">
        <f t="array" ref="F98">IFERROR(INDEX(Veisiejai!Q:Q,MATCH(C98,Veisiejai!E:E,0),0),"")</f>
        <v/>
      </c>
      <c r="G98" s="91" t="str" cm="1">
        <f t="array" ref="G98">IFERROR(INDEX(Gdanskas!P:P,MATCH(C98,Gdanskas!C:C,0),0),"")</f>
        <v/>
      </c>
      <c r="H98" s="85" t="str" cm="1">
        <f t="array" ref="H98">IFERROR(INDEX(Trakai!R:R,MATCH(C98,Trakai!E:E,0),0),"")</f>
        <v/>
      </c>
      <c r="I98" s="91" t="str" cm="1">
        <f t="array" ref="I98">IFERROR(INDEX(Jonava!Q:Q,MATCH(C98,Jonava!E:E,0),0),"")</f>
        <v/>
      </c>
      <c r="J98" s="85" t="str" cm="1">
        <f t="array" ref="J98">IFERROR(INDEX(Panevezys2!R:R,MATCH(C98,Panevezys2!E:E,0),0),"")</f>
        <v/>
      </c>
      <c r="K98" s="91" t="str">
        <f>IFERROR(INDEX(Skaudvile!Q:Q,MATCH(C98,Skaudvile!E:E,0),0),"")</f>
        <v/>
      </c>
      <c r="L98" s="85" t="str">
        <f>IFERROR(INDEX(Moletai!Q:Q,MATCH(C98,Moletai!E:E,0),0),"")</f>
        <v/>
      </c>
      <c r="M98" s="97"/>
      <c r="N98" s="85">
        <f>COUNTIF(D98:M98,"&gt;0")</f>
        <v>0</v>
      </c>
      <c r="O98" s="110">
        <f>SUM(D98:M98)</f>
        <v>0</v>
      </c>
      <c r="P98" s="86" t="e">
        <f>O98/N98</f>
        <v>#DIV/0!</v>
      </c>
      <c r="Q98" s="134" t="str" cm="1">
        <f t="array" ref="Q98">IFERROR(SUMPRODUCT(LARGE(D98:M98,{1;2;3})),"0")</f>
        <v>0</v>
      </c>
      <c r="R98" s="132">
        <f>IFERROR(INDEX('Bendra įskaita (2025)'!A:A,MATCH(C98,'Bendra įskaita (2025)'!B:B,0),0),"")</f>
        <v>51</v>
      </c>
      <c r="S98" s="91">
        <f>IFERROR(INDEX('Bendra įskaita (2025)'!K:K,MATCH(C98,'Bendra įskaita (2025)'!B:B,0),0),"")</f>
        <v>0</v>
      </c>
      <c r="T98" s="153">
        <f>IFERROR(INDEX('Bendra įskaita (2024)'!A:A,MATCH(C98,'Bendra įskaita (2024)'!B:B,0),0),"")</f>
        <v>89</v>
      </c>
      <c r="U98" s="154">
        <f>IFERROR(INDEX('Bendra įskaita (2024)'!L:L,MATCH(C98,'Bendra įskaita (2024)'!B:B,0),0),"")</f>
        <v>0</v>
      </c>
    </row>
    <row r="99" spans="1:21" ht="15" customHeight="1">
      <c r="A99" s="106">
        <v>50</v>
      </c>
      <c r="B99" s="157"/>
      <c r="C99" s="121" t="s">
        <v>118</v>
      </c>
      <c r="D99" s="132" t="str" cm="1">
        <f t="array" ref="D99">IFERROR(INDEX(Panevezys!P:P,MATCH(C99,Panevezys!E:E,0),0),"")</f>
        <v/>
      </c>
      <c r="E99" s="91" t="str" cm="1">
        <f t="array" ref="E99">IFERROR(INDEX(Kaisiadorys!Q:Q,MATCH(C99,Kaisiadorys!E:E,0),0),"")</f>
        <v/>
      </c>
      <c r="F99" s="94" t="str" cm="1">
        <f t="array" ref="F99">IFERROR(INDEX(Veisiejai!Q:Q,MATCH(C99,Veisiejai!E:E,0),0),"")</f>
        <v/>
      </c>
      <c r="G99" s="91" t="str" cm="1">
        <f t="array" ref="G99">IFERROR(INDEX(Gdanskas!P:P,MATCH(C99,Gdanskas!C:C,0),0),"")</f>
        <v/>
      </c>
      <c r="H99" s="85" t="str" cm="1">
        <f t="array" ref="H99">IFERROR(INDEX(Trakai!R:R,MATCH(C99,Trakai!E:E,0),0),"")</f>
        <v/>
      </c>
      <c r="I99" s="91" t="str" cm="1">
        <f t="array" ref="I99">IFERROR(INDEX(Jonava!Q:Q,MATCH(C99,Jonava!E:E,0),0),"")</f>
        <v/>
      </c>
      <c r="J99" s="85" t="str" cm="1">
        <f t="array" ref="J99">IFERROR(INDEX(Panevezys2!R:R,MATCH(C99,Panevezys2!E:E,0),0),"")</f>
        <v/>
      </c>
      <c r="K99" s="91" t="str">
        <f>IFERROR(INDEX(Skaudvile!Q:Q,MATCH(C99,Skaudvile!E:E,0),0),"")</f>
        <v/>
      </c>
      <c r="L99" s="85" t="str">
        <f>IFERROR(INDEX(Moletai!Q:Q,MATCH(C99,Moletai!E:E,0),0),"")</f>
        <v/>
      </c>
      <c r="M99" s="98"/>
      <c r="N99" s="85">
        <f>COUNTIF(D99:M99,"&gt;0")</f>
        <v>0</v>
      </c>
      <c r="O99" s="110">
        <f>SUM(D99:M99)</f>
        <v>0</v>
      </c>
      <c r="P99" s="86" t="e">
        <f>O99/N99</f>
        <v>#DIV/0!</v>
      </c>
      <c r="Q99" s="134" t="str" cm="1">
        <f t="array" ref="Q99">IFERROR(SUMPRODUCT(LARGE(D99:M99,{1;2;3})),"0")</f>
        <v>0</v>
      </c>
      <c r="R99" s="132">
        <f>IFERROR(INDEX('Bendra įskaita (2025)'!A:A,MATCH(C99,'Bendra įskaita (2025)'!B:B,0),0),"")</f>
        <v>51</v>
      </c>
      <c r="S99" s="91">
        <f>IFERROR(INDEX('Bendra įskaita (2025)'!K:K,MATCH(C99,'Bendra įskaita (2025)'!B:B,0),0),"")</f>
        <v>0</v>
      </c>
      <c r="T99" s="153">
        <f>IFERROR(INDEX('Bendra įskaita (2024)'!A:A,MATCH(C99,'Bendra įskaita (2024)'!B:B,0),0),"")</f>
        <v>91</v>
      </c>
      <c r="U99" s="154">
        <f>IFERROR(INDEX('Bendra įskaita (2024)'!L:L,MATCH(C99,'Bendra įskaita (2024)'!B:B,0),0),"")</f>
        <v>0</v>
      </c>
    </row>
    <row r="100" spans="1:21" ht="15" customHeight="1">
      <c r="A100" s="106">
        <v>50</v>
      </c>
      <c r="B100" s="157"/>
      <c r="C100" s="121" t="s">
        <v>119</v>
      </c>
      <c r="D100" s="132" t="str" cm="1">
        <f t="array" ref="D100">IFERROR(INDEX(Panevezys!P:P,MATCH(C100,Panevezys!E:E,0),0),"")</f>
        <v/>
      </c>
      <c r="E100" s="91" t="str" cm="1">
        <f t="array" ref="E100">IFERROR(INDEX(Kaisiadorys!Q:Q,MATCH(C100,Kaisiadorys!E:E,0),0),"")</f>
        <v/>
      </c>
      <c r="F100" s="94" t="str" cm="1">
        <f t="array" ref="F100">IFERROR(INDEX(Veisiejai!Q:Q,MATCH(C100,Veisiejai!E:E,0),0),"")</f>
        <v/>
      </c>
      <c r="G100" s="91" t="str" cm="1">
        <f t="array" ref="G100">IFERROR(INDEX(Gdanskas!P:P,MATCH(C100,Gdanskas!C:C,0),0),"")</f>
        <v/>
      </c>
      <c r="H100" s="85" t="str" cm="1">
        <f t="array" ref="H100">IFERROR(INDEX(Trakai!R:R,MATCH(C100,Trakai!E:E,0),0),"")</f>
        <v/>
      </c>
      <c r="I100" s="91" t="str" cm="1">
        <f t="array" ref="I100">IFERROR(INDEX(Jonava!Q:Q,MATCH(C100,Jonava!E:E,0),0),"")</f>
        <v/>
      </c>
      <c r="J100" s="85" t="str" cm="1">
        <f t="array" ref="J100">IFERROR(INDEX(Panevezys2!R:R,MATCH(C100,Panevezys2!E:E,0),0),"")</f>
        <v/>
      </c>
      <c r="K100" s="91" t="str">
        <f>IFERROR(INDEX(Skaudvile!Q:Q,MATCH(C100,Skaudvile!E:E,0),0),"")</f>
        <v/>
      </c>
      <c r="L100" s="85" t="str">
        <f>IFERROR(INDEX(Moletai!Q:Q,MATCH(C100,Moletai!E:E,0),0),"")</f>
        <v/>
      </c>
      <c r="M100" s="98"/>
      <c r="N100" s="85">
        <f>COUNTIF(D100:M100,"&gt;0")</f>
        <v>0</v>
      </c>
      <c r="O100" s="110">
        <f>SUM(D100:M100)</f>
        <v>0</v>
      </c>
      <c r="P100" s="86" t="e">
        <f>O100/N100</f>
        <v>#DIV/0!</v>
      </c>
      <c r="Q100" s="134" t="str" cm="1">
        <f t="array" ref="Q100">IFERROR(SUMPRODUCT(LARGE(D100:M100,{1;2;3})),"0")</f>
        <v>0</v>
      </c>
      <c r="R100" s="132">
        <f>IFERROR(INDEX('Bendra įskaita (2025)'!A:A,MATCH(C100,'Bendra įskaita (2025)'!B:B,0),0),"")</f>
        <v>51</v>
      </c>
      <c r="S100" s="91">
        <f>IFERROR(INDEX('Bendra įskaita (2025)'!K:K,MATCH(C100,'Bendra įskaita (2025)'!B:B,0),0),"")</f>
        <v>0</v>
      </c>
      <c r="T100" s="153">
        <f>IFERROR(INDEX('Bendra įskaita (2024)'!A:A,MATCH(C100,'Bendra įskaita (2024)'!B:B,0),0),"")</f>
        <v>92</v>
      </c>
      <c r="U100" s="154">
        <f>IFERROR(INDEX('Bendra įskaita (2024)'!L:L,MATCH(C100,'Bendra įskaita (2024)'!B:B,0),0),"")</f>
        <v>0</v>
      </c>
    </row>
    <row r="101" spans="1:21" ht="15" customHeight="1">
      <c r="A101" s="106">
        <v>50</v>
      </c>
      <c r="B101" s="158"/>
      <c r="C101" s="123" t="s">
        <v>120</v>
      </c>
      <c r="D101" s="135" t="str" cm="1">
        <f t="array" ref="D101">IFERROR(INDEX(Panevezys!P:P,MATCH(C101,Panevezys!E:E,0),0),"")</f>
        <v/>
      </c>
      <c r="E101" s="136" t="str" cm="1">
        <f t="array" ref="E101">IFERROR(INDEX(Kaisiadorys!Q:Q,MATCH(C101,Kaisiadorys!E:E,0),0),"")</f>
        <v/>
      </c>
      <c r="F101" s="137" t="str" cm="1">
        <f t="array" ref="F101">IFERROR(INDEX(Veisiejai!Q:Q,MATCH(C101,Veisiejai!E:E,0),0),"")</f>
        <v/>
      </c>
      <c r="G101" s="136" t="str" cm="1">
        <f t="array" ref="G101">IFERROR(INDEX(Gdanskas!P:P,MATCH(C101,Gdanskas!C:C,0),0),"")</f>
        <v/>
      </c>
      <c r="H101" s="138" t="str" cm="1">
        <f t="array" ref="H101">IFERROR(INDEX(Trakai!R:R,MATCH(C101,Trakai!E:E,0),0),"")</f>
        <v/>
      </c>
      <c r="I101" s="136" t="str" cm="1">
        <f t="array" ref="I101">IFERROR(INDEX(Jonava!Q:Q,MATCH(C101,Jonava!E:E,0),0),"")</f>
        <v/>
      </c>
      <c r="J101" s="138" t="str" cm="1">
        <f t="array" ref="J101">IFERROR(INDEX(Panevezys2!R:R,MATCH(C101,Panevezys2!E:E,0),0),"")</f>
        <v/>
      </c>
      <c r="K101" s="136" t="str">
        <f>IFERROR(INDEX(Skaudvile!Q:Q,MATCH(C101,Skaudvile!E:E,0),0),"")</f>
        <v/>
      </c>
      <c r="L101" s="138" t="str">
        <f>IFERROR(INDEX(Moletai!Q:Q,MATCH(C101,Moletai!E:E,0),0),"")</f>
        <v/>
      </c>
      <c r="M101" s="139"/>
      <c r="N101" s="138">
        <f>COUNTIF(D101:M101,"&gt;0")</f>
        <v>0</v>
      </c>
      <c r="O101" s="140">
        <f>SUM(D101:M101)</f>
        <v>0</v>
      </c>
      <c r="P101" s="141" t="e">
        <f>O101/N101</f>
        <v>#DIV/0!</v>
      </c>
      <c r="Q101" s="142" t="str" cm="1">
        <f t="array" ref="Q101">IFERROR(SUMPRODUCT(LARGE(D101:M101,{1;2;3})),"0")</f>
        <v>0</v>
      </c>
      <c r="R101" s="135">
        <f>IFERROR(INDEX('Bendra įskaita (2025)'!A:A,MATCH(C101,'Bendra įskaita (2025)'!B:B,0),0),"")</f>
        <v>51</v>
      </c>
      <c r="S101" s="136">
        <f>IFERROR(INDEX('Bendra įskaita (2025)'!K:K,MATCH(C101,'Bendra įskaita (2025)'!B:B,0),0),"")</f>
        <v>0</v>
      </c>
      <c r="T101" s="155">
        <f>IFERROR(INDEX('Bendra įskaita (2024)'!A:A,MATCH(C101,'Bendra įskaita (2024)'!B:B,0),0),"")</f>
        <v>93</v>
      </c>
      <c r="U101" s="156">
        <f>IFERROR(INDEX('Bendra įskaita (2024)'!L:L,MATCH(C101,'Bendra įskaita (2024)'!B:B,0),0),"")</f>
        <v>0</v>
      </c>
    </row>
    <row r="102" spans="1:21" ht="15" customHeight="1">
      <c r="A102" s="103"/>
      <c r="B102" s="159"/>
      <c r="C102" s="24"/>
      <c r="D102" s="19">
        <f ca="1">COUNT(D4:D103)</f>
        <v>11</v>
      </c>
      <c r="E102" s="19">
        <f ca="1">COUNT(E4:E103)</f>
        <v>22</v>
      </c>
      <c r="F102" s="19">
        <f>COUNT(F4:F51)</f>
        <v>15</v>
      </c>
      <c r="G102" s="19">
        <f>COUNT(G4:G51)</f>
        <v>17</v>
      </c>
      <c r="H102" s="19">
        <f t="shared" ref="H102:L102" si="6">COUNT(H4:H52)</f>
        <v>25</v>
      </c>
      <c r="I102" s="19">
        <f t="shared" si="6"/>
        <v>19</v>
      </c>
      <c r="J102" s="19">
        <f t="shared" si="6"/>
        <v>15</v>
      </c>
      <c r="K102" s="19">
        <f t="shared" si="6"/>
        <v>9</v>
      </c>
      <c r="L102" s="19">
        <f t="shared" si="6"/>
        <v>18</v>
      </c>
      <c r="M102" s="19">
        <f>COUNT(M4:M52)</f>
        <v>0</v>
      </c>
      <c r="N102" s="25">
        <f>COUNT(N4:N28)</f>
        <v>25</v>
      </c>
      <c r="O102" s="19">
        <f>COUNT(O4:O28)</f>
        <v>25</v>
      </c>
      <c r="P102" s="19">
        <f>COUNT(P4:P28)</f>
        <v>25</v>
      </c>
      <c r="Q102" s="26">
        <f>COUNT(Q4:Q28)</f>
        <v>25</v>
      </c>
    </row>
  </sheetData>
  <phoneticPr fontId="47" type="noConversion"/>
  <pageMargins left="0.7" right="0.7" top="0.75" bottom="0.75" header="0" footer="0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0361-8C26-4228-89A0-2BBA9E3323F1}">
  <sheetPr filterMode="1"/>
  <dimension ref="A1:Q60"/>
  <sheetViews>
    <sheetView topLeftCell="A42" workbookViewId="0">
      <selection activeCell="E56" sqref="E56"/>
    </sheetView>
  </sheetViews>
  <sheetFormatPr defaultColWidth="8.85546875" defaultRowHeight="14.45"/>
  <cols>
    <col min="3" max="5" width="25.140625" customWidth="1"/>
    <col min="6" max="6" width="15.42578125" customWidth="1"/>
    <col min="7" max="7" width="10.85546875" customWidth="1"/>
    <col min="14" max="14" width="10.28515625" customWidth="1"/>
  </cols>
  <sheetData>
    <row r="1" spans="1:17" ht="29.1">
      <c r="A1" s="58" t="s">
        <v>121</v>
      </c>
      <c r="B1" s="58" t="s">
        <v>122</v>
      </c>
      <c r="C1" s="58"/>
      <c r="D1" s="58" t="s">
        <v>123</v>
      </c>
      <c r="E1" s="88" t="s">
        <v>124</v>
      </c>
      <c r="F1" s="58" t="s">
        <v>125</v>
      </c>
      <c r="G1" s="58" t="s">
        <v>126</v>
      </c>
      <c r="H1" s="58" t="s">
        <v>127</v>
      </c>
      <c r="I1" s="58" t="s">
        <v>128</v>
      </c>
      <c r="J1" s="58" t="s">
        <v>129</v>
      </c>
      <c r="K1" s="58" t="s">
        <v>130</v>
      </c>
      <c r="L1" s="58" t="s">
        <v>131</v>
      </c>
      <c r="M1" s="58" t="s">
        <v>132</v>
      </c>
      <c r="N1" s="58" t="s">
        <v>133</v>
      </c>
      <c r="O1" s="58" t="s">
        <v>134</v>
      </c>
      <c r="Q1" s="8"/>
    </row>
    <row r="2" spans="1:17">
      <c r="A2" s="59">
        <v>1</v>
      </c>
      <c r="B2" s="59">
        <v>178</v>
      </c>
      <c r="C2" s="60" t="s">
        <v>135</v>
      </c>
      <c r="D2" s="59" t="s">
        <v>136</v>
      </c>
      <c r="E2" s="88" t="s">
        <v>137</v>
      </c>
      <c r="F2" s="59" t="s">
        <v>138</v>
      </c>
      <c r="G2" s="59" t="s">
        <v>139</v>
      </c>
      <c r="H2" s="59">
        <v>1</v>
      </c>
      <c r="I2" s="61">
        <v>7.5925925925925926E-3</v>
      </c>
      <c r="J2" s="61">
        <v>2.2106481481481483E-4</v>
      </c>
      <c r="K2" s="61">
        <v>1.9730324074074074E-2</v>
      </c>
      <c r="L2" s="61">
        <v>3.6226851851851855E-4</v>
      </c>
      <c r="M2" s="61">
        <v>1.1717592592592592E-2</v>
      </c>
      <c r="N2" s="61">
        <v>3.9625E-2</v>
      </c>
      <c r="O2" s="59"/>
      <c r="P2" s="8">
        <f>IFERROR(ROUND($N$2/N2*900,0),0)</f>
        <v>900</v>
      </c>
      <c r="Q2" s="8"/>
    </row>
    <row r="3" spans="1:17" hidden="1">
      <c r="A3" s="59">
        <v>2</v>
      </c>
      <c r="B3" s="59">
        <v>218</v>
      </c>
      <c r="C3" s="60" t="s">
        <v>140</v>
      </c>
      <c r="D3" s="59" t="s">
        <v>141</v>
      </c>
      <c r="E3" s="88" t="s">
        <v>142</v>
      </c>
      <c r="F3" s="59" t="s">
        <v>143</v>
      </c>
      <c r="G3" s="59" t="s">
        <v>144</v>
      </c>
      <c r="H3" s="59">
        <v>1</v>
      </c>
      <c r="I3" s="61">
        <v>6.076388888888889E-3</v>
      </c>
      <c r="J3" s="61">
        <v>1.9212962962962963E-4</v>
      </c>
      <c r="K3" s="61">
        <v>2.117476851851852E-2</v>
      </c>
      <c r="L3" s="61">
        <v>2.0138888888888886E-4</v>
      </c>
      <c r="M3" s="61">
        <v>1.339236111111111E-2</v>
      </c>
      <c r="N3" s="61">
        <v>4.103819444444444E-2</v>
      </c>
      <c r="O3" s="59" t="s">
        <v>145</v>
      </c>
      <c r="P3" s="8">
        <f t="shared" ref="P3:P59" si="0">IFERROR(ROUND($N$2/N3*900,0),0)</f>
        <v>869</v>
      </c>
      <c r="Q3" s="8"/>
    </row>
    <row r="4" spans="1:17" ht="29.1" hidden="1">
      <c r="A4" s="59">
        <v>3</v>
      </c>
      <c r="B4" s="59">
        <v>195</v>
      </c>
      <c r="C4" s="60" t="s">
        <v>135</v>
      </c>
      <c r="D4" s="59" t="s">
        <v>146</v>
      </c>
      <c r="E4" s="88" t="s">
        <v>147</v>
      </c>
      <c r="F4" s="59" t="s">
        <v>148</v>
      </c>
      <c r="G4" s="59" t="s">
        <v>149</v>
      </c>
      <c r="H4" s="59">
        <v>1</v>
      </c>
      <c r="I4" s="61">
        <v>6.8402777777777776E-3</v>
      </c>
      <c r="J4" s="61">
        <v>2.3032407407407406E-4</v>
      </c>
      <c r="K4" s="61">
        <v>2.0929398148148148E-2</v>
      </c>
      <c r="L4" s="61">
        <v>2.6851851851851852E-4</v>
      </c>
      <c r="M4" s="61">
        <v>1.3464120370370369E-2</v>
      </c>
      <c r="N4" s="61">
        <v>4.1733796296296297E-2</v>
      </c>
      <c r="O4" s="59" t="s">
        <v>150</v>
      </c>
      <c r="P4" s="8">
        <f t="shared" si="0"/>
        <v>855</v>
      </c>
      <c r="Q4" s="8"/>
    </row>
    <row r="5" spans="1:17" ht="29.1" hidden="1">
      <c r="A5" s="59">
        <v>4</v>
      </c>
      <c r="B5" s="59">
        <v>165</v>
      </c>
      <c r="C5" s="60" t="s">
        <v>135</v>
      </c>
      <c r="D5" s="59" t="s">
        <v>151</v>
      </c>
      <c r="E5" s="88" t="s">
        <v>152</v>
      </c>
      <c r="F5" s="59" t="s">
        <v>153</v>
      </c>
      <c r="G5" s="59" t="s">
        <v>154</v>
      </c>
      <c r="H5" s="59">
        <v>1</v>
      </c>
      <c r="I5" s="61">
        <v>7.5347222222222222E-3</v>
      </c>
      <c r="J5" s="61">
        <v>2.2453703703703703E-4</v>
      </c>
      <c r="K5" s="61">
        <v>2.1701388888888888E-2</v>
      </c>
      <c r="L5" s="61">
        <v>2.0601851851851852E-4</v>
      </c>
      <c r="M5" s="61">
        <v>1.2711805555555554E-2</v>
      </c>
      <c r="N5" s="61">
        <v>4.2379629629629628E-2</v>
      </c>
      <c r="O5" s="59" t="s">
        <v>155</v>
      </c>
      <c r="P5" s="8">
        <f t="shared" si="0"/>
        <v>842</v>
      </c>
    </row>
    <row r="6" spans="1:17" ht="29.1" hidden="1">
      <c r="A6" s="59">
        <v>5</v>
      </c>
      <c r="B6" s="59">
        <v>198</v>
      </c>
      <c r="C6" s="60" t="s">
        <v>135</v>
      </c>
      <c r="D6" s="59" t="s">
        <v>156</v>
      </c>
      <c r="E6" s="88" t="s">
        <v>157</v>
      </c>
      <c r="F6" s="59" t="s">
        <v>158</v>
      </c>
      <c r="G6" s="59" t="s">
        <v>159</v>
      </c>
      <c r="H6" s="59">
        <v>1</v>
      </c>
      <c r="I6" s="61">
        <v>7.2453703703703708E-3</v>
      </c>
      <c r="J6" s="61">
        <v>1.7245370370370372E-4</v>
      </c>
      <c r="K6" s="61">
        <v>2.1994212962962962E-2</v>
      </c>
      <c r="L6" s="61">
        <v>2.0138888888888886E-4</v>
      </c>
      <c r="M6" s="61">
        <v>1.2997685185185185E-2</v>
      </c>
      <c r="N6" s="61">
        <v>4.261342592592593E-2</v>
      </c>
      <c r="O6" s="59" t="s">
        <v>160</v>
      </c>
      <c r="P6" s="8">
        <f t="shared" si="0"/>
        <v>837</v>
      </c>
    </row>
    <row r="7" spans="1:17" hidden="1">
      <c r="A7" s="59">
        <v>6</v>
      </c>
      <c r="B7" s="59">
        <v>217</v>
      </c>
      <c r="C7" s="60" t="s">
        <v>140</v>
      </c>
      <c r="D7" s="59" t="s">
        <v>161</v>
      </c>
      <c r="E7" s="88" t="s">
        <v>162</v>
      </c>
      <c r="F7" s="59" t="s">
        <v>143</v>
      </c>
      <c r="G7" s="59" t="s">
        <v>163</v>
      </c>
      <c r="H7" s="59">
        <v>1</v>
      </c>
      <c r="I7" s="61">
        <v>7.0717592592592594E-3</v>
      </c>
      <c r="J7" s="61">
        <v>2.3148148148148149E-4</v>
      </c>
      <c r="K7" s="61">
        <v>2.2144675925925925E-2</v>
      </c>
      <c r="L7" s="61">
        <v>3.0671296296296295E-4</v>
      </c>
      <c r="M7" s="61">
        <v>1.3186342592592592E-2</v>
      </c>
      <c r="N7" s="61">
        <v>4.2943287037037037E-2</v>
      </c>
      <c r="O7" s="59" t="s">
        <v>164</v>
      </c>
      <c r="P7" s="8">
        <f t="shared" si="0"/>
        <v>830</v>
      </c>
    </row>
    <row r="8" spans="1:17">
      <c r="A8" s="59">
        <v>7</v>
      </c>
      <c r="B8" s="59">
        <v>190</v>
      </c>
      <c r="C8" s="60" t="s">
        <v>135</v>
      </c>
      <c r="D8" s="59" t="s">
        <v>165</v>
      </c>
      <c r="E8" s="88" t="s">
        <v>166</v>
      </c>
      <c r="F8" s="59" t="s">
        <v>138</v>
      </c>
      <c r="G8" s="59" t="s">
        <v>149</v>
      </c>
      <c r="H8" s="59">
        <v>2</v>
      </c>
      <c r="I8" s="61">
        <v>7.8125E-3</v>
      </c>
      <c r="J8" s="61">
        <v>2.5347222222222221E-4</v>
      </c>
      <c r="K8" s="61">
        <v>2.1334490740740741E-2</v>
      </c>
      <c r="L8" s="61">
        <v>2.488425925925926E-4</v>
      </c>
      <c r="M8" s="61">
        <v>1.34375E-2</v>
      </c>
      <c r="N8" s="61">
        <v>4.3087962962962967E-2</v>
      </c>
      <c r="O8" s="59" t="s">
        <v>167</v>
      </c>
      <c r="P8" s="8">
        <f t="shared" si="0"/>
        <v>828</v>
      </c>
    </row>
    <row r="9" spans="1:17">
      <c r="A9" s="59">
        <v>8</v>
      </c>
      <c r="B9" s="59">
        <v>179</v>
      </c>
      <c r="C9" s="60" t="s">
        <v>135</v>
      </c>
      <c r="D9" s="59" t="s">
        <v>168</v>
      </c>
      <c r="E9" s="88" t="s">
        <v>169</v>
      </c>
      <c r="F9" s="59" t="s">
        <v>138</v>
      </c>
      <c r="G9" s="59" t="s">
        <v>149</v>
      </c>
      <c r="H9" s="59">
        <v>3</v>
      </c>
      <c r="I9" s="61">
        <v>8.1712962962962963E-3</v>
      </c>
      <c r="J9" s="61">
        <v>2.3842592592592595E-4</v>
      </c>
      <c r="K9" s="61">
        <v>2.1020833333333332E-2</v>
      </c>
      <c r="L9" s="61">
        <v>2.2569444444444443E-4</v>
      </c>
      <c r="M9" s="61">
        <v>1.3924768518518517E-2</v>
      </c>
      <c r="N9" s="61">
        <v>4.3582175925925927E-2</v>
      </c>
      <c r="O9" s="59" t="s">
        <v>170</v>
      </c>
      <c r="P9" s="8">
        <f t="shared" si="0"/>
        <v>818</v>
      </c>
    </row>
    <row r="10" spans="1:17" hidden="1">
      <c r="A10" s="59">
        <v>9</v>
      </c>
      <c r="B10" s="59">
        <v>199</v>
      </c>
      <c r="C10" s="60" t="s">
        <v>135</v>
      </c>
      <c r="D10" s="59" t="s">
        <v>171</v>
      </c>
      <c r="E10" s="88" t="s">
        <v>172</v>
      </c>
      <c r="F10" s="59" t="s">
        <v>173</v>
      </c>
      <c r="G10" s="59" t="s">
        <v>144</v>
      </c>
      <c r="H10" s="59">
        <v>2</v>
      </c>
      <c r="I10" s="61">
        <v>6.6898148148148151E-3</v>
      </c>
      <c r="J10" s="61">
        <v>1.6898148148148149E-4</v>
      </c>
      <c r="K10" s="61">
        <v>2.1078703703703704E-2</v>
      </c>
      <c r="L10" s="61">
        <v>2.0717592592592592E-4</v>
      </c>
      <c r="M10" s="61">
        <v>1.5746527777777779E-2</v>
      </c>
      <c r="N10" s="61">
        <v>4.3892361111111111E-2</v>
      </c>
      <c r="O10" s="59" t="s">
        <v>174</v>
      </c>
      <c r="P10" s="8">
        <f t="shared" si="0"/>
        <v>812</v>
      </c>
    </row>
    <row r="11" spans="1:17" ht="29.1" hidden="1">
      <c r="A11" s="59">
        <v>10</v>
      </c>
      <c r="B11" s="59">
        <v>166</v>
      </c>
      <c r="C11" s="60" t="s">
        <v>135</v>
      </c>
      <c r="D11" s="59" t="s">
        <v>175</v>
      </c>
      <c r="E11" s="88" t="s">
        <v>176</v>
      </c>
      <c r="F11" s="59" t="s">
        <v>153</v>
      </c>
      <c r="G11" s="59" t="s">
        <v>139</v>
      </c>
      <c r="H11" s="59">
        <v>2</v>
      </c>
      <c r="I11" s="61">
        <v>6.7592592592592591E-3</v>
      </c>
      <c r="J11" s="61">
        <v>2.0486111111111109E-4</v>
      </c>
      <c r="K11" s="61">
        <v>2.2717592592592591E-2</v>
      </c>
      <c r="L11" s="61">
        <v>2.7430555555555552E-4</v>
      </c>
      <c r="M11" s="61">
        <v>1.4034722222222221E-2</v>
      </c>
      <c r="N11" s="61">
        <v>4.3993055555555556E-2</v>
      </c>
      <c r="O11" s="59" t="s">
        <v>177</v>
      </c>
      <c r="P11" s="8">
        <f t="shared" si="0"/>
        <v>811</v>
      </c>
    </row>
    <row r="12" spans="1:17" ht="29.1" hidden="1">
      <c r="A12" s="59">
        <v>11</v>
      </c>
      <c r="B12" s="59">
        <v>176</v>
      </c>
      <c r="C12" s="60" t="s">
        <v>135</v>
      </c>
      <c r="D12" s="59" t="s">
        <v>178</v>
      </c>
      <c r="E12" s="88" t="s">
        <v>179</v>
      </c>
      <c r="F12" s="59" t="s">
        <v>158</v>
      </c>
      <c r="G12" s="59" t="s">
        <v>154</v>
      </c>
      <c r="H12" s="59">
        <v>2</v>
      </c>
      <c r="I12" s="61">
        <v>6.7245370370370367E-3</v>
      </c>
      <c r="J12" s="61">
        <v>2.1874999999999998E-4</v>
      </c>
      <c r="K12" s="61">
        <v>2.2508101851851852E-2</v>
      </c>
      <c r="L12" s="61">
        <v>2.3611111111111109E-4</v>
      </c>
      <c r="M12" s="61">
        <v>1.4398148148148148E-2</v>
      </c>
      <c r="N12" s="61">
        <v>4.4087962962962961E-2</v>
      </c>
      <c r="O12" s="59" t="s">
        <v>180</v>
      </c>
      <c r="P12" s="8">
        <f t="shared" si="0"/>
        <v>809</v>
      </c>
    </row>
    <row r="13" spans="1:17" hidden="1">
      <c r="A13" s="59">
        <v>12</v>
      </c>
      <c r="B13" s="59">
        <v>181</v>
      </c>
      <c r="C13" s="60" t="s">
        <v>135</v>
      </c>
      <c r="D13" s="59" t="s">
        <v>181</v>
      </c>
      <c r="E13" s="88" t="s">
        <v>182</v>
      </c>
      <c r="F13" s="59"/>
      <c r="G13" s="59" t="s">
        <v>149</v>
      </c>
      <c r="H13" s="59">
        <v>4</v>
      </c>
      <c r="I13" s="61">
        <v>8.2754629629629636E-3</v>
      </c>
      <c r="J13" s="61">
        <v>2.4189814814814812E-4</v>
      </c>
      <c r="K13" s="61">
        <v>2.141898148148148E-2</v>
      </c>
      <c r="L13" s="61">
        <v>2.9976851851851849E-4</v>
      </c>
      <c r="M13" s="61">
        <v>1.392013888888889E-2</v>
      </c>
      <c r="N13" s="61">
        <v>4.4157407407407402E-2</v>
      </c>
      <c r="O13" s="59" t="s">
        <v>183</v>
      </c>
      <c r="P13" s="8">
        <f t="shared" si="0"/>
        <v>808</v>
      </c>
    </row>
    <row r="14" spans="1:17" ht="29.1" hidden="1">
      <c r="A14" s="59">
        <v>13</v>
      </c>
      <c r="B14" s="59">
        <v>172</v>
      </c>
      <c r="C14" s="60" t="s">
        <v>135</v>
      </c>
      <c r="D14" s="59" t="s">
        <v>184</v>
      </c>
      <c r="E14" s="88" t="s">
        <v>185</v>
      </c>
      <c r="F14" s="59" t="s">
        <v>148</v>
      </c>
      <c r="G14" s="59" t="s">
        <v>154</v>
      </c>
      <c r="H14" s="59">
        <v>3</v>
      </c>
      <c r="I14" s="61">
        <v>8.4027777777777781E-3</v>
      </c>
      <c r="J14" s="61">
        <v>2.3379629629629629E-4</v>
      </c>
      <c r="K14" s="61">
        <v>2.1260416666666667E-2</v>
      </c>
      <c r="L14" s="61">
        <v>4.2939814814814815E-4</v>
      </c>
      <c r="M14" s="61">
        <v>1.3895833333333333E-2</v>
      </c>
      <c r="N14" s="61">
        <v>4.4223379629629633E-2</v>
      </c>
      <c r="O14" s="59" t="s">
        <v>186</v>
      </c>
      <c r="P14" s="8">
        <f t="shared" si="0"/>
        <v>806</v>
      </c>
    </row>
    <row r="15" spans="1:17" hidden="1">
      <c r="A15" s="59">
        <v>14</v>
      </c>
      <c r="B15" s="59">
        <v>215</v>
      </c>
      <c r="C15" s="60" t="s">
        <v>135</v>
      </c>
      <c r="D15" s="59" t="s">
        <v>187</v>
      </c>
      <c r="E15" s="88" t="s">
        <v>188</v>
      </c>
      <c r="F15" s="59" t="s">
        <v>189</v>
      </c>
      <c r="G15" s="59" t="s">
        <v>149</v>
      </c>
      <c r="H15" s="59">
        <v>5</v>
      </c>
      <c r="I15" s="61">
        <v>7.8703703703703696E-3</v>
      </c>
      <c r="J15" s="61">
        <v>2.175925925925926E-4</v>
      </c>
      <c r="K15" s="61">
        <v>2.1346064814814814E-2</v>
      </c>
      <c r="L15" s="61">
        <v>2.6851851851851852E-4</v>
      </c>
      <c r="M15" s="61">
        <v>1.4799768518518519E-2</v>
      </c>
      <c r="N15" s="61">
        <v>4.4503472222222222E-2</v>
      </c>
      <c r="O15" s="59" t="s">
        <v>190</v>
      </c>
      <c r="P15" s="8">
        <f t="shared" si="0"/>
        <v>801</v>
      </c>
    </row>
    <row r="16" spans="1:17">
      <c r="A16" s="59">
        <v>15</v>
      </c>
      <c r="B16" s="59">
        <v>191</v>
      </c>
      <c r="C16" s="60" t="s">
        <v>135</v>
      </c>
      <c r="D16" s="59" t="s">
        <v>191</v>
      </c>
      <c r="E16" s="88" t="s">
        <v>192</v>
      </c>
      <c r="F16" s="59" t="s">
        <v>138</v>
      </c>
      <c r="G16" s="59" t="s">
        <v>154</v>
      </c>
      <c r="H16" s="59">
        <v>4</v>
      </c>
      <c r="I16" s="61">
        <v>8.6921296296296295E-3</v>
      </c>
      <c r="J16" s="61">
        <v>2.7083333333333332E-4</v>
      </c>
      <c r="K16" s="61">
        <v>2.2195601851851852E-2</v>
      </c>
      <c r="L16" s="61">
        <v>3.5879629629629629E-4</v>
      </c>
      <c r="M16" s="61">
        <v>1.3480324074074075E-2</v>
      </c>
      <c r="N16" s="61">
        <v>4.4999999999999998E-2</v>
      </c>
      <c r="O16" s="59" t="s">
        <v>193</v>
      </c>
      <c r="P16" s="8">
        <f t="shared" si="0"/>
        <v>793</v>
      </c>
    </row>
    <row r="17" spans="1:16" hidden="1">
      <c r="A17" s="59">
        <v>16</v>
      </c>
      <c r="B17" s="59">
        <v>205</v>
      </c>
      <c r="C17" s="60" t="s">
        <v>135</v>
      </c>
      <c r="D17" s="59" t="s">
        <v>194</v>
      </c>
      <c r="E17" s="88" t="s">
        <v>195</v>
      </c>
      <c r="F17" s="59"/>
      <c r="G17" s="59" t="s">
        <v>139</v>
      </c>
      <c r="H17" s="59">
        <v>3</v>
      </c>
      <c r="I17" s="61">
        <v>8.6921296296296295E-3</v>
      </c>
      <c r="J17" s="61">
        <v>2.5231481481481481E-4</v>
      </c>
      <c r="K17" s="61">
        <v>2.2434027777777778E-2</v>
      </c>
      <c r="L17" s="61">
        <v>3.8425925925925927E-4</v>
      </c>
      <c r="M17" s="61">
        <v>1.3774305555555555E-2</v>
      </c>
      <c r="N17" s="61">
        <v>4.5538194444444444E-2</v>
      </c>
      <c r="O17" s="59" t="s">
        <v>196</v>
      </c>
      <c r="P17" s="8">
        <f t="shared" si="0"/>
        <v>783</v>
      </c>
    </row>
    <row r="18" spans="1:16" ht="29.1" hidden="1">
      <c r="A18" s="59">
        <v>17</v>
      </c>
      <c r="B18" s="59">
        <v>192</v>
      </c>
      <c r="C18" s="60" t="s">
        <v>135</v>
      </c>
      <c r="D18" s="59" t="s">
        <v>197</v>
      </c>
      <c r="E18" s="88" t="s">
        <v>198</v>
      </c>
      <c r="F18" s="59" t="s">
        <v>199</v>
      </c>
      <c r="G18" s="59" t="s">
        <v>139</v>
      </c>
      <c r="H18" s="59">
        <v>4</v>
      </c>
      <c r="I18" s="61">
        <v>9.2129629629629627E-3</v>
      </c>
      <c r="J18" s="61">
        <v>2.5115740740740741E-4</v>
      </c>
      <c r="K18" s="61">
        <v>2.1888888888888888E-2</v>
      </c>
      <c r="L18" s="61">
        <v>3.6111111111111109E-4</v>
      </c>
      <c r="M18" s="61">
        <v>1.3912037037037037E-2</v>
      </c>
      <c r="N18" s="61">
        <v>4.5627314814814815E-2</v>
      </c>
      <c r="O18" s="59" t="s">
        <v>200</v>
      </c>
      <c r="P18" s="8">
        <f t="shared" si="0"/>
        <v>782</v>
      </c>
    </row>
    <row r="19" spans="1:16" ht="29.1" hidden="1">
      <c r="A19" s="59">
        <v>18</v>
      </c>
      <c r="B19" s="59">
        <v>180</v>
      </c>
      <c r="C19" s="60" t="s">
        <v>135</v>
      </c>
      <c r="D19" s="59" t="s">
        <v>201</v>
      </c>
      <c r="E19" s="88" t="s">
        <v>202</v>
      </c>
      <c r="F19" s="59" t="s">
        <v>203</v>
      </c>
      <c r="G19" s="59" t="s">
        <v>149</v>
      </c>
      <c r="H19" s="59">
        <v>6</v>
      </c>
      <c r="I19" s="61">
        <v>9.479166666666667E-3</v>
      </c>
      <c r="J19" s="61">
        <v>3.4143518518518518E-4</v>
      </c>
      <c r="K19" s="61">
        <v>2.2149305555555557E-2</v>
      </c>
      <c r="L19" s="61">
        <v>4.9652777777777781E-4</v>
      </c>
      <c r="M19" s="61">
        <v>1.3381944444444445E-2</v>
      </c>
      <c r="N19" s="61">
        <v>4.5849537037037036E-2</v>
      </c>
      <c r="O19" s="59" t="s">
        <v>204</v>
      </c>
      <c r="P19" s="8">
        <f t="shared" si="0"/>
        <v>778</v>
      </c>
    </row>
    <row r="20" spans="1:16" hidden="1">
      <c r="A20" s="59">
        <v>19</v>
      </c>
      <c r="B20" s="59">
        <v>212</v>
      </c>
      <c r="C20" s="60" t="s">
        <v>135</v>
      </c>
      <c r="D20" s="59" t="s">
        <v>205</v>
      </c>
      <c r="E20" s="88" t="s">
        <v>206</v>
      </c>
      <c r="F20" s="59"/>
      <c r="G20" s="59" t="s">
        <v>139</v>
      </c>
      <c r="H20" s="59">
        <v>5</v>
      </c>
      <c r="I20" s="61">
        <v>8.773148148148148E-3</v>
      </c>
      <c r="J20" s="61">
        <v>2.3726851851851852E-4</v>
      </c>
      <c r="K20" s="61">
        <v>2.2425925925925926E-2</v>
      </c>
      <c r="L20" s="61">
        <v>4.270833333333333E-4</v>
      </c>
      <c r="M20" s="61">
        <v>1.4092592592592592E-2</v>
      </c>
      <c r="N20" s="61">
        <v>4.5957175925925922E-2</v>
      </c>
      <c r="O20" s="59" t="s">
        <v>207</v>
      </c>
      <c r="P20" s="8">
        <f t="shared" si="0"/>
        <v>776</v>
      </c>
    </row>
    <row r="21" spans="1:16" ht="29.1" hidden="1">
      <c r="A21" s="59">
        <v>20</v>
      </c>
      <c r="B21" s="59">
        <v>171</v>
      </c>
      <c r="C21" s="60" t="s">
        <v>135</v>
      </c>
      <c r="D21" s="59" t="s">
        <v>208</v>
      </c>
      <c r="E21" s="88" t="s">
        <v>209</v>
      </c>
      <c r="F21" s="59" t="s">
        <v>199</v>
      </c>
      <c r="G21" s="59" t="s">
        <v>139</v>
      </c>
      <c r="H21" s="59">
        <v>6</v>
      </c>
      <c r="I21" s="61">
        <v>8.8888888888888889E-3</v>
      </c>
      <c r="J21" s="61">
        <v>2.4537037037037035E-4</v>
      </c>
      <c r="K21" s="61">
        <v>2.2261574074074076E-2</v>
      </c>
      <c r="L21" s="61">
        <v>4.5717592592592592E-4</v>
      </c>
      <c r="M21" s="61">
        <v>1.4266203703703703E-2</v>
      </c>
      <c r="N21" s="61">
        <v>4.6120370370370374E-2</v>
      </c>
      <c r="O21" s="59" t="s">
        <v>210</v>
      </c>
      <c r="P21" s="8">
        <f t="shared" si="0"/>
        <v>773</v>
      </c>
    </row>
    <row r="22" spans="1:16" hidden="1">
      <c r="A22" s="59">
        <v>21</v>
      </c>
      <c r="B22" s="59">
        <v>173</v>
      </c>
      <c r="C22" s="60" t="s">
        <v>140</v>
      </c>
      <c r="D22" s="59" t="s">
        <v>211</v>
      </c>
      <c r="E22" s="88" t="s">
        <v>212</v>
      </c>
      <c r="F22" s="59" t="s">
        <v>143</v>
      </c>
      <c r="G22" s="59" t="s">
        <v>144</v>
      </c>
      <c r="H22" s="59">
        <v>3</v>
      </c>
      <c r="I22" s="61">
        <v>7.5578703703703702E-3</v>
      </c>
      <c r="J22" s="61">
        <v>2.7314814814814818E-4</v>
      </c>
      <c r="K22" s="61">
        <v>2.3363425925925926E-2</v>
      </c>
      <c r="L22" s="61">
        <v>6.2384259259259261E-4</v>
      </c>
      <c r="M22" s="61">
        <v>1.4512731481481482E-2</v>
      </c>
      <c r="N22" s="61">
        <v>4.6332175925925922E-2</v>
      </c>
      <c r="O22" s="59" t="s">
        <v>213</v>
      </c>
      <c r="P22" s="8">
        <f t="shared" si="0"/>
        <v>770</v>
      </c>
    </row>
    <row r="23" spans="1:16" hidden="1">
      <c r="A23" s="59">
        <v>22</v>
      </c>
      <c r="B23" s="59">
        <v>211</v>
      </c>
      <c r="C23" s="60" t="s">
        <v>135</v>
      </c>
      <c r="D23" s="59" t="s">
        <v>214</v>
      </c>
      <c r="E23" s="88" t="s">
        <v>215</v>
      </c>
      <c r="F23" s="59"/>
      <c r="G23" s="59" t="s">
        <v>163</v>
      </c>
      <c r="H23" s="59">
        <v>2</v>
      </c>
      <c r="I23" s="61">
        <v>8.611111111111111E-3</v>
      </c>
      <c r="J23" s="61">
        <v>2.8009259259259258E-4</v>
      </c>
      <c r="K23" s="61">
        <v>2.2298611111111109E-2</v>
      </c>
      <c r="L23" s="61">
        <v>4.0046296296296298E-4</v>
      </c>
      <c r="M23" s="61">
        <v>1.4781249999999999E-2</v>
      </c>
      <c r="N23" s="61">
        <v>4.6372685185185183E-2</v>
      </c>
      <c r="O23" s="59" t="s">
        <v>216</v>
      </c>
      <c r="P23" s="8">
        <f t="shared" si="0"/>
        <v>769</v>
      </c>
    </row>
    <row r="24" spans="1:16" hidden="1">
      <c r="A24" s="59">
        <v>23</v>
      </c>
      <c r="B24" s="59">
        <v>208</v>
      </c>
      <c r="C24" s="60" t="s">
        <v>135</v>
      </c>
      <c r="D24" s="59" t="s">
        <v>217</v>
      </c>
      <c r="E24" s="88" t="s">
        <v>218</v>
      </c>
      <c r="F24" s="59" t="s">
        <v>219</v>
      </c>
      <c r="G24" s="59" t="s">
        <v>154</v>
      </c>
      <c r="H24" s="59">
        <v>5</v>
      </c>
      <c r="I24" s="61">
        <v>9.0624999999999994E-3</v>
      </c>
      <c r="J24" s="61">
        <v>2.1874999999999998E-4</v>
      </c>
      <c r="K24" s="61">
        <v>2.208912037037037E-2</v>
      </c>
      <c r="L24" s="61">
        <v>3.1828703703703706E-4</v>
      </c>
      <c r="M24" s="61">
        <v>1.4778935185185187E-2</v>
      </c>
      <c r="N24" s="61">
        <v>4.6468750000000003E-2</v>
      </c>
      <c r="O24" s="59" t="s">
        <v>220</v>
      </c>
      <c r="P24" s="8">
        <f t="shared" si="0"/>
        <v>767</v>
      </c>
    </row>
    <row r="25" spans="1:16" ht="29.1" hidden="1">
      <c r="A25" s="59">
        <v>24</v>
      </c>
      <c r="B25" s="59">
        <v>204</v>
      </c>
      <c r="C25" s="60" t="s">
        <v>135</v>
      </c>
      <c r="D25" s="59" t="s">
        <v>221</v>
      </c>
      <c r="E25" s="88" t="s">
        <v>222</v>
      </c>
      <c r="F25" s="59" t="s">
        <v>199</v>
      </c>
      <c r="G25" s="59" t="s">
        <v>139</v>
      </c>
      <c r="H25" s="59">
        <v>7</v>
      </c>
      <c r="I25" s="61">
        <v>8.9583333333333338E-3</v>
      </c>
      <c r="J25" s="61">
        <v>2.3263888888888892E-4</v>
      </c>
      <c r="K25" s="61">
        <v>2.2149305555555557E-2</v>
      </c>
      <c r="L25" s="61">
        <v>2.7546296296296298E-4</v>
      </c>
      <c r="M25" s="61">
        <v>1.5393518518518518E-2</v>
      </c>
      <c r="N25" s="61">
        <v>4.7011574074074074E-2</v>
      </c>
      <c r="O25" s="59" t="s">
        <v>223</v>
      </c>
      <c r="P25" s="8">
        <f t="shared" si="0"/>
        <v>759</v>
      </c>
    </row>
    <row r="26" spans="1:16">
      <c r="A26" s="59">
        <v>25</v>
      </c>
      <c r="B26" s="59">
        <v>202</v>
      </c>
      <c r="C26" s="60" t="s">
        <v>135</v>
      </c>
      <c r="D26" s="59" t="s">
        <v>224</v>
      </c>
      <c r="E26" s="88" t="s">
        <v>225</v>
      </c>
      <c r="F26" s="59" t="s">
        <v>138</v>
      </c>
      <c r="G26" s="59" t="s">
        <v>149</v>
      </c>
      <c r="H26" s="59">
        <v>7</v>
      </c>
      <c r="I26" s="61">
        <v>9.3865740740740732E-3</v>
      </c>
      <c r="J26" s="61">
        <v>2.8240740740740738E-4</v>
      </c>
      <c r="K26" s="61">
        <v>2.231597222222222E-2</v>
      </c>
      <c r="L26" s="61">
        <v>4.9305555555555561E-4</v>
      </c>
      <c r="M26" s="61">
        <v>1.4572916666666666E-2</v>
      </c>
      <c r="N26" s="61">
        <v>4.7052083333333335E-2</v>
      </c>
      <c r="O26" s="59" t="s">
        <v>226</v>
      </c>
      <c r="P26" s="8">
        <f t="shared" si="0"/>
        <v>758</v>
      </c>
    </row>
    <row r="27" spans="1:16" ht="29.1" hidden="1">
      <c r="A27" s="59">
        <v>26</v>
      </c>
      <c r="B27" s="59">
        <v>187</v>
      </c>
      <c r="C27" s="60" t="s">
        <v>135</v>
      </c>
      <c r="D27" s="59" t="s">
        <v>227</v>
      </c>
      <c r="E27" s="88" t="s">
        <v>228</v>
      </c>
      <c r="F27" s="59" t="s">
        <v>199</v>
      </c>
      <c r="G27" s="59" t="s">
        <v>159</v>
      </c>
      <c r="H27" s="59">
        <v>2</v>
      </c>
      <c r="I27" s="61">
        <v>8.9236111111111113E-3</v>
      </c>
      <c r="J27" s="61">
        <v>2.8009259259259258E-4</v>
      </c>
      <c r="K27" s="61">
        <v>2.2770833333333334E-2</v>
      </c>
      <c r="L27" s="61">
        <v>5.4050925925925924E-4</v>
      </c>
      <c r="M27" s="61">
        <v>1.459837962962963E-2</v>
      </c>
      <c r="N27" s="61">
        <v>4.7114583333333328E-2</v>
      </c>
      <c r="O27" s="59" t="s">
        <v>229</v>
      </c>
      <c r="P27" s="8">
        <f t="shared" si="0"/>
        <v>757</v>
      </c>
    </row>
    <row r="28" spans="1:16">
      <c r="A28" s="59">
        <v>27</v>
      </c>
      <c r="B28" s="59">
        <v>167</v>
      </c>
      <c r="C28" s="60" t="s">
        <v>135</v>
      </c>
      <c r="D28" s="59" t="s">
        <v>230</v>
      </c>
      <c r="E28" s="88" t="s">
        <v>231</v>
      </c>
      <c r="F28" s="59" t="s">
        <v>138</v>
      </c>
      <c r="G28" s="59" t="s">
        <v>154</v>
      </c>
      <c r="H28" s="59">
        <v>6</v>
      </c>
      <c r="I28" s="61">
        <v>9.618055555555555E-3</v>
      </c>
      <c r="J28" s="61">
        <v>2.2106481481481483E-4</v>
      </c>
      <c r="K28" s="61">
        <v>2.2046296296296296E-2</v>
      </c>
      <c r="L28" s="61">
        <v>3.8657407407407407E-4</v>
      </c>
      <c r="M28" s="61">
        <v>1.4920138888888887E-2</v>
      </c>
      <c r="N28" s="61">
        <v>4.7193287037037034E-2</v>
      </c>
      <c r="O28" s="59" t="s">
        <v>232</v>
      </c>
      <c r="P28" s="8">
        <f t="shared" si="0"/>
        <v>756</v>
      </c>
    </row>
    <row r="29" spans="1:16" ht="29.1" hidden="1">
      <c r="A29" s="59">
        <v>28</v>
      </c>
      <c r="B29" s="59">
        <v>194</v>
      </c>
      <c r="C29" s="60" t="s">
        <v>135</v>
      </c>
      <c r="D29" s="59" t="s">
        <v>233</v>
      </c>
      <c r="E29" s="88" t="s">
        <v>234</v>
      </c>
      <c r="F29" s="59" t="s">
        <v>199</v>
      </c>
      <c r="G29" s="59" t="s">
        <v>159</v>
      </c>
      <c r="H29" s="59">
        <v>3</v>
      </c>
      <c r="I29" s="61">
        <v>8.819444444444444E-3</v>
      </c>
      <c r="J29" s="61">
        <v>2.4074074074074075E-4</v>
      </c>
      <c r="K29" s="61">
        <v>2.2656249999999999E-2</v>
      </c>
      <c r="L29" s="61">
        <v>4.259259259259259E-4</v>
      </c>
      <c r="M29" s="61">
        <v>1.5368055555555555E-2</v>
      </c>
      <c r="N29" s="61">
        <v>4.7511574074074074E-2</v>
      </c>
      <c r="O29" s="59" t="s">
        <v>235</v>
      </c>
      <c r="P29" s="8">
        <f t="shared" si="0"/>
        <v>751</v>
      </c>
    </row>
    <row r="30" spans="1:16" hidden="1">
      <c r="A30" s="59">
        <v>29</v>
      </c>
      <c r="B30" s="59">
        <v>210</v>
      </c>
      <c r="C30" s="60" t="s">
        <v>135</v>
      </c>
      <c r="D30" s="59" t="s">
        <v>236</v>
      </c>
      <c r="E30" s="88" t="s">
        <v>237</v>
      </c>
      <c r="F30" s="59"/>
      <c r="G30" s="59" t="s">
        <v>238</v>
      </c>
      <c r="H30" s="59">
        <v>1</v>
      </c>
      <c r="I30" s="61">
        <v>9.3865740740740732E-3</v>
      </c>
      <c r="J30" s="61">
        <v>2.9282407407407409E-4</v>
      </c>
      <c r="K30" s="61">
        <v>2.2327546296296297E-2</v>
      </c>
      <c r="L30" s="61">
        <v>8.7962962962962962E-4</v>
      </c>
      <c r="M30" s="61">
        <v>1.5148148148148148E-2</v>
      </c>
      <c r="N30" s="61">
        <v>4.803587962962963E-2</v>
      </c>
      <c r="O30" s="59" t="s">
        <v>239</v>
      </c>
      <c r="P30" s="8">
        <f t="shared" si="0"/>
        <v>742</v>
      </c>
    </row>
    <row r="31" spans="1:16">
      <c r="A31" s="59">
        <v>30</v>
      </c>
      <c r="B31" s="59">
        <v>185</v>
      </c>
      <c r="C31" s="60" t="s">
        <v>135</v>
      </c>
      <c r="D31" s="59" t="s">
        <v>240</v>
      </c>
      <c r="E31" s="88" t="s">
        <v>241</v>
      </c>
      <c r="F31" s="59" t="s">
        <v>138</v>
      </c>
      <c r="G31" s="59" t="s">
        <v>242</v>
      </c>
      <c r="H31" s="59">
        <v>1</v>
      </c>
      <c r="I31" s="61">
        <v>8.1944444444444452E-3</v>
      </c>
      <c r="J31" s="61">
        <v>3.2523148148148152E-4</v>
      </c>
      <c r="K31" s="61">
        <v>2.3292824074074073E-2</v>
      </c>
      <c r="L31" s="61">
        <v>4.2013888888888884E-4</v>
      </c>
      <c r="M31" s="61">
        <v>1.5810185185185184E-2</v>
      </c>
      <c r="N31" s="61">
        <v>4.8043981481481479E-2</v>
      </c>
      <c r="O31" s="59" t="s">
        <v>243</v>
      </c>
      <c r="P31" s="8">
        <f t="shared" si="0"/>
        <v>742</v>
      </c>
    </row>
    <row r="32" spans="1:16" ht="29.1" hidden="1">
      <c r="A32" s="59">
        <v>31</v>
      </c>
      <c r="B32" s="59">
        <v>174</v>
      </c>
      <c r="C32" s="60" t="s">
        <v>135</v>
      </c>
      <c r="D32" s="59" t="s">
        <v>244</v>
      </c>
      <c r="E32" s="88" t="s">
        <v>245</v>
      </c>
      <c r="F32" s="59" t="s">
        <v>158</v>
      </c>
      <c r="G32" s="59" t="s">
        <v>159</v>
      </c>
      <c r="H32" s="59">
        <v>4</v>
      </c>
      <c r="I32" s="61">
        <v>9.7337962962962959E-3</v>
      </c>
      <c r="J32" s="61">
        <v>2.6736111111111112E-4</v>
      </c>
      <c r="K32" s="61">
        <v>2.3336805555555555E-2</v>
      </c>
      <c r="L32" s="61">
        <v>4.907407407407407E-4</v>
      </c>
      <c r="M32" s="61">
        <v>1.4931712962962963E-2</v>
      </c>
      <c r="N32" s="61">
        <v>4.8762731481481483E-2</v>
      </c>
      <c r="O32" s="59" t="s">
        <v>246</v>
      </c>
      <c r="P32" s="8">
        <f t="shared" si="0"/>
        <v>731</v>
      </c>
    </row>
    <row r="33" spans="1:16" ht="29.1" hidden="1">
      <c r="A33" s="59">
        <v>32</v>
      </c>
      <c r="B33" s="59">
        <v>200</v>
      </c>
      <c r="C33" s="60" t="s">
        <v>135</v>
      </c>
      <c r="D33" s="59" t="s">
        <v>247</v>
      </c>
      <c r="E33" s="88" t="s">
        <v>248</v>
      </c>
      <c r="F33" s="59" t="s">
        <v>199</v>
      </c>
      <c r="G33" s="59" t="s">
        <v>154</v>
      </c>
      <c r="H33" s="59">
        <v>7</v>
      </c>
      <c r="I33" s="61">
        <v>8.472222222222223E-3</v>
      </c>
      <c r="J33" s="61">
        <v>2.8819444444444444E-4</v>
      </c>
      <c r="K33" s="61">
        <v>2.4572916666666667E-2</v>
      </c>
      <c r="L33" s="61">
        <v>4.6643518518518513E-4</v>
      </c>
      <c r="M33" s="61">
        <v>1.5355324074074075E-2</v>
      </c>
      <c r="N33" s="61">
        <v>4.9158564814814815E-2</v>
      </c>
      <c r="O33" s="59" t="s">
        <v>249</v>
      </c>
      <c r="P33" s="8">
        <f t="shared" si="0"/>
        <v>725</v>
      </c>
    </row>
    <row r="34" spans="1:16" hidden="1">
      <c r="A34" s="59">
        <v>33</v>
      </c>
      <c r="B34" s="59">
        <v>163</v>
      </c>
      <c r="C34" s="60" t="s">
        <v>135</v>
      </c>
      <c r="D34" s="59" t="s">
        <v>250</v>
      </c>
      <c r="E34" s="88" t="s">
        <v>251</v>
      </c>
      <c r="F34" s="59" t="s">
        <v>252</v>
      </c>
      <c r="G34" s="59" t="s">
        <v>139</v>
      </c>
      <c r="H34" s="59">
        <v>8</v>
      </c>
      <c r="I34" s="61">
        <v>1.1388888888888889E-2</v>
      </c>
      <c r="J34" s="61">
        <v>2.8009259259259258E-4</v>
      </c>
      <c r="K34" s="61">
        <v>2.3912037037037037E-2</v>
      </c>
      <c r="L34" s="61">
        <v>4.259259259259259E-4</v>
      </c>
      <c r="M34" s="61">
        <v>1.3217592592592593E-2</v>
      </c>
      <c r="N34" s="61">
        <v>4.9225694444444447E-2</v>
      </c>
      <c r="O34" s="59" t="s">
        <v>253</v>
      </c>
      <c r="P34" s="8">
        <f t="shared" si="0"/>
        <v>724</v>
      </c>
    </row>
    <row r="35" spans="1:16" ht="29.1" hidden="1">
      <c r="A35" s="59">
        <v>34</v>
      </c>
      <c r="B35" s="59">
        <v>216</v>
      </c>
      <c r="C35" s="60" t="s">
        <v>135</v>
      </c>
      <c r="D35" s="59" t="s">
        <v>254</v>
      </c>
      <c r="E35" s="88" t="s">
        <v>255</v>
      </c>
      <c r="F35" s="59" t="s">
        <v>199</v>
      </c>
      <c r="G35" s="59" t="s">
        <v>139</v>
      </c>
      <c r="H35" s="59">
        <v>9</v>
      </c>
      <c r="I35" s="61">
        <v>1.0451388888888889E-2</v>
      </c>
      <c r="J35" s="61">
        <v>2.5694444444444446E-4</v>
      </c>
      <c r="K35" s="61">
        <v>2.31875E-2</v>
      </c>
      <c r="L35" s="61">
        <v>3.7384259259259255E-4</v>
      </c>
      <c r="M35" s="61">
        <v>1.5165509259259259E-2</v>
      </c>
      <c r="N35" s="61">
        <v>4.9437499999999995E-2</v>
      </c>
      <c r="O35" s="59" t="s">
        <v>256</v>
      </c>
      <c r="P35" s="8">
        <f t="shared" si="0"/>
        <v>721</v>
      </c>
    </row>
    <row r="36" spans="1:16" hidden="1">
      <c r="A36" s="59">
        <v>35</v>
      </c>
      <c r="B36" s="59">
        <v>169</v>
      </c>
      <c r="C36" s="60" t="s">
        <v>135</v>
      </c>
      <c r="D36" s="59" t="s">
        <v>257</v>
      </c>
      <c r="E36" s="88" t="s">
        <v>258</v>
      </c>
      <c r="F36" s="59" t="s">
        <v>259</v>
      </c>
      <c r="G36" s="59" t="s">
        <v>238</v>
      </c>
      <c r="H36" s="59">
        <v>2</v>
      </c>
      <c r="I36" s="61">
        <v>1.0011574074074074E-2</v>
      </c>
      <c r="J36" s="61">
        <v>3.1250000000000001E-4</v>
      </c>
      <c r="K36" s="61">
        <v>2.4359953703703703E-2</v>
      </c>
      <c r="L36" s="61">
        <v>4.6643518518518513E-4</v>
      </c>
      <c r="M36" s="61">
        <v>1.4568287037037038E-2</v>
      </c>
      <c r="N36" s="61">
        <v>4.9719907407407407E-2</v>
      </c>
      <c r="O36" s="59" t="s">
        <v>260</v>
      </c>
      <c r="P36" s="8">
        <f t="shared" si="0"/>
        <v>717</v>
      </c>
    </row>
    <row r="37" spans="1:16" ht="29.1" hidden="1">
      <c r="A37" s="59">
        <v>36</v>
      </c>
      <c r="B37" s="59">
        <v>160</v>
      </c>
      <c r="C37" s="60" t="s">
        <v>135</v>
      </c>
      <c r="D37" s="59" t="s">
        <v>261</v>
      </c>
      <c r="E37" s="88" t="s">
        <v>262</v>
      </c>
      <c r="F37" s="59" t="s">
        <v>199</v>
      </c>
      <c r="G37" s="59" t="s">
        <v>163</v>
      </c>
      <c r="H37" s="59">
        <v>3</v>
      </c>
      <c r="I37" s="61">
        <v>8.3217592592592596E-3</v>
      </c>
      <c r="J37" s="61">
        <v>3.2060185185185186E-4</v>
      </c>
      <c r="K37" s="61">
        <v>2.5449074074074075E-2</v>
      </c>
      <c r="L37" s="61">
        <v>8.1365740740740736E-4</v>
      </c>
      <c r="M37" s="61">
        <v>1.5070601851851851E-2</v>
      </c>
      <c r="N37" s="61">
        <v>4.9978009259259264E-2</v>
      </c>
      <c r="O37" s="59" t="s">
        <v>263</v>
      </c>
      <c r="P37" s="8">
        <f t="shared" si="0"/>
        <v>714</v>
      </c>
    </row>
    <row r="38" spans="1:16" ht="29.1" hidden="1">
      <c r="A38" s="59">
        <v>37</v>
      </c>
      <c r="B38" s="59">
        <v>175</v>
      </c>
      <c r="C38" s="60" t="s">
        <v>135</v>
      </c>
      <c r="D38" s="59" t="s">
        <v>264</v>
      </c>
      <c r="E38" s="88" t="s">
        <v>265</v>
      </c>
      <c r="F38" s="59" t="s">
        <v>199</v>
      </c>
      <c r="G38" s="59" t="s">
        <v>149</v>
      </c>
      <c r="H38" s="59">
        <v>8</v>
      </c>
      <c r="I38" s="61">
        <v>9.6759259259259264E-3</v>
      </c>
      <c r="J38" s="61">
        <v>2.2453703703703703E-4</v>
      </c>
      <c r="K38" s="61">
        <v>2.3354166666666665E-2</v>
      </c>
      <c r="L38" s="61">
        <v>3.6921296296296295E-4</v>
      </c>
      <c r="M38" s="61">
        <v>1.663310185185185E-2</v>
      </c>
      <c r="N38" s="61">
        <v>5.0258101851851852E-2</v>
      </c>
      <c r="O38" s="59" t="s">
        <v>266</v>
      </c>
      <c r="P38" s="8">
        <f t="shared" si="0"/>
        <v>710</v>
      </c>
    </row>
    <row r="39" spans="1:16" ht="29.1" hidden="1">
      <c r="A39" s="59">
        <v>38</v>
      </c>
      <c r="B39" s="59">
        <v>161</v>
      </c>
      <c r="C39" s="60" t="s">
        <v>135</v>
      </c>
      <c r="D39" s="59" t="s">
        <v>267</v>
      </c>
      <c r="E39" s="88" t="s">
        <v>268</v>
      </c>
      <c r="F39" s="59" t="s">
        <v>199</v>
      </c>
      <c r="G39" s="59" t="s">
        <v>139</v>
      </c>
      <c r="H39" s="59">
        <v>10</v>
      </c>
      <c r="I39" s="61">
        <v>9.3634259259259261E-3</v>
      </c>
      <c r="J39" s="61">
        <v>3.3333333333333332E-4</v>
      </c>
      <c r="K39" s="61">
        <v>2.3592592592592592E-2</v>
      </c>
      <c r="L39" s="61">
        <v>5.5324074074074075E-4</v>
      </c>
      <c r="M39" s="61">
        <v>1.6665509259259262E-2</v>
      </c>
      <c r="N39" s="61">
        <v>5.0510416666666669E-2</v>
      </c>
      <c r="O39" s="59" t="s">
        <v>269</v>
      </c>
      <c r="P39" s="8">
        <f t="shared" si="0"/>
        <v>706</v>
      </c>
    </row>
    <row r="40" spans="1:16" hidden="1">
      <c r="A40" s="59">
        <v>39</v>
      </c>
      <c r="B40" s="59">
        <v>162</v>
      </c>
      <c r="C40" s="60" t="s">
        <v>135</v>
      </c>
      <c r="D40" s="59" t="s">
        <v>270</v>
      </c>
      <c r="E40" s="88" t="s">
        <v>271</v>
      </c>
      <c r="F40" s="59" t="s">
        <v>272</v>
      </c>
      <c r="G40" s="59" t="s">
        <v>149</v>
      </c>
      <c r="H40" s="59">
        <v>9</v>
      </c>
      <c r="I40" s="61">
        <v>1.0787037037037038E-2</v>
      </c>
      <c r="J40" s="61">
        <v>3.0671296296296295E-4</v>
      </c>
      <c r="K40" s="61">
        <v>2.3543981481481482E-2</v>
      </c>
      <c r="L40" s="61">
        <v>3.8078703703703701E-4</v>
      </c>
      <c r="M40" s="61">
        <v>1.573263888888889E-2</v>
      </c>
      <c r="N40" s="61">
        <v>5.0753472222222228E-2</v>
      </c>
      <c r="O40" s="59" t="s">
        <v>273</v>
      </c>
      <c r="P40" s="8">
        <f t="shared" si="0"/>
        <v>703</v>
      </c>
    </row>
    <row r="41" spans="1:16">
      <c r="A41" s="59">
        <v>40</v>
      </c>
      <c r="B41" s="59">
        <v>189</v>
      </c>
      <c r="C41" s="60" t="s">
        <v>135</v>
      </c>
      <c r="D41" s="59" t="s">
        <v>274</v>
      </c>
      <c r="E41" s="88" t="s">
        <v>275</v>
      </c>
      <c r="F41" s="59" t="s">
        <v>138</v>
      </c>
      <c r="G41" s="59" t="s">
        <v>242</v>
      </c>
      <c r="H41" s="59">
        <v>2</v>
      </c>
      <c r="I41" s="61">
        <v>9.6874999999999999E-3</v>
      </c>
      <c r="J41" s="61">
        <v>2.5231481481481481E-4</v>
      </c>
      <c r="K41" s="61">
        <v>2.518634259259259E-2</v>
      </c>
      <c r="L41" s="61">
        <v>3.7500000000000001E-4</v>
      </c>
      <c r="M41" s="61">
        <v>1.5413194444444445E-2</v>
      </c>
      <c r="N41" s="61">
        <v>5.0915509259259265E-2</v>
      </c>
      <c r="O41" s="59" t="s">
        <v>276</v>
      </c>
      <c r="P41" s="8">
        <f t="shared" si="0"/>
        <v>700</v>
      </c>
    </row>
    <row r="42" spans="1:16" ht="29.1" hidden="1">
      <c r="A42" s="59">
        <v>41</v>
      </c>
      <c r="B42" s="59">
        <v>207</v>
      </c>
      <c r="C42" s="60" t="s">
        <v>135</v>
      </c>
      <c r="D42" s="59" t="s">
        <v>277</v>
      </c>
      <c r="E42" s="88" t="s">
        <v>278</v>
      </c>
      <c r="F42" s="59" t="s">
        <v>199</v>
      </c>
      <c r="G42" s="59" t="s">
        <v>159</v>
      </c>
      <c r="H42" s="59">
        <v>5</v>
      </c>
      <c r="I42" s="61">
        <v>1.0567129629629629E-2</v>
      </c>
      <c r="J42" s="61">
        <v>2.8009259259259258E-4</v>
      </c>
      <c r="K42" s="61">
        <v>2.4061342592592593E-2</v>
      </c>
      <c r="L42" s="61">
        <v>7.8009259259259264E-4</v>
      </c>
      <c r="M42" s="61">
        <v>1.5777777777777779E-2</v>
      </c>
      <c r="N42" s="61">
        <v>5.1469907407407409E-2</v>
      </c>
      <c r="O42" s="59" t="s">
        <v>279</v>
      </c>
      <c r="P42" s="8">
        <f t="shared" si="0"/>
        <v>693</v>
      </c>
    </row>
    <row r="43" spans="1:16" ht="29.1" hidden="1">
      <c r="A43" s="59">
        <v>42</v>
      </c>
      <c r="B43" s="59">
        <v>203</v>
      </c>
      <c r="C43" s="60" t="s">
        <v>135</v>
      </c>
      <c r="D43" s="59" t="s">
        <v>280</v>
      </c>
      <c r="E43" s="88" t="s">
        <v>281</v>
      </c>
      <c r="F43" s="59" t="s">
        <v>199</v>
      </c>
      <c r="G43" s="59" t="s">
        <v>163</v>
      </c>
      <c r="H43" s="59">
        <v>4</v>
      </c>
      <c r="I43" s="61">
        <v>1.0902777777777779E-2</v>
      </c>
      <c r="J43" s="61">
        <v>2.9398148148148149E-4</v>
      </c>
      <c r="K43" s="61">
        <v>2.2721064814814815E-2</v>
      </c>
      <c r="L43" s="61">
        <v>4.2939814814814815E-4</v>
      </c>
      <c r="M43" s="61">
        <v>1.8003472222222223E-2</v>
      </c>
      <c r="N43" s="61">
        <v>5.2351851851851851E-2</v>
      </c>
      <c r="O43" s="59" t="s">
        <v>282</v>
      </c>
      <c r="P43" s="8">
        <f t="shared" si="0"/>
        <v>681</v>
      </c>
    </row>
    <row r="44" spans="1:16" ht="29.1" hidden="1">
      <c r="A44" s="59">
        <v>43</v>
      </c>
      <c r="B44" s="59">
        <v>164</v>
      </c>
      <c r="C44" s="60" t="s">
        <v>135</v>
      </c>
      <c r="D44" s="59" t="s">
        <v>283</v>
      </c>
      <c r="E44" s="88" t="s">
        <v>284</v>
      </c>
      <c r="F44" s="59" t="s">
        <v>199</v>
      </c>
      <c r="G44" s="59" t="s">
        <v>139</v>
      </c>
      <c r="H44" s="59">
        <v>11</v>
      </c>
      <c r="I44" s="61">
        <v>1.0208333333333333E-2</v>
      </c>
      <c r="J44" s="61">
        <v>2.488425925925926E-4</v>
      </c>
      <c r="K44" s="61">
        <v>2.5162037037037038E-2</v>
      </c>
      <c r="L44" s="61">
        <v>4.3865740740740741E-4</v>
      </c>
      <c r="M44" s="61">
        <v>1.6552083333333332E-2</v>
      </c>
      <c r="N44" s="61">
        <v>5.2611111111111115E-2</v>
      </c>
      <c r="O44" s="59" t="s">
        <v>285</v>
      </c>
      <c r="P44" s="8">
        <f t="shared" si="0"/>
        <v>678</v>
      </c>
    </row>
    <row r="45" spans="1:16" ht="15">
      <c r="A45" s="59">
        <v>49</v>
      </c>
      <c r="B45" s="59">
        <v>47</v>
      </c>
      <c r="C45" s="60" t="s">
        <v>286</v>
      </c>
      <c r="D45" s="59" t="s">
        <v>287</v>
      </c>
      <c r="E45" s="88" t="s">
        <v>37</v>
      </c>
      <c r="F45" s="59" t="s">
        <v>288</v>
      </c>
      <c r="H45" s="59">
        <v>1</v>
      </c>
      <c r="I45" s="61">
        <v>8.3680555555555557E-3</v>
      </c>
      <c r="J45" s="61">
        <v>2.9976851851851849E-4</v>
      </c>
      <c r="K45" s="61">
        <v>2.6434027777777779E-2</v>
      </c>
      <c r="L45" s="61">
        <v>4.5254629629629632E-4</v>
      </c>
      <c r="M45" s="61">
        <v>1.7138888888888888E-2</v>
      </c>
      <c r="N45" s="61">
        <v>5.2696759259259263E-2</v>
      </c>
      <c r="O45" s="61" t="s">
        <v>289</v>
      </c>
      <c r="P45" s="8">
        <f t="shared" si="0"/>
        <v>677</v>
      </c>
    </row>
    <row r="46" spans="1:16" hidden="1">
      <c r="A46" s="59">
        <v>44</v>
      </c>
      <c r="B46" s="59">
        <v>201</v>
      </c>
      <c r="C46" s="60" t="s">
        <v>135</v>
      </c>
      <c r="D46" s="59" t="s">
        <v>290</v>
      </c>
      <c r="E46" s="88" t="s">
        <v>291</v>
      </c>
      <c r="F46" s="59"/>
      <c r="G46" s="59" t="s">
        <v>154</v>
      </c>
      <c r="H46" s="59">
        <v>8</v>
      </c>
      <c r="I46" s="61">
        <v>1.1747685185185186E-2</v>
      </c>
      <c r="J46" s="61">
        <v>2.8935185185185184E-4</v>
      </c>
      <c r="K46" s="61">
        <v>2.5771990740740738E-2</v>
      </c>
      <c r="L46" s="61">
        <v>2.8819444444444444E-4</v>
      </c>
      <c r="M46" s="61">
        <v>1.4907407407407407E-2</v>
      </c>
      <c r="N46" s="61">
        <v>5.3005787037037032E-2</v>
      </c>
      <c r="O46" s="59" t="s">
        <v>292</v>
      </c>
      <c r="P46" s="8">
        <f t="shared" si="0"/>
        <v>673</v>
      </c>
    </row>
    <row r="47" spans="1:16" ht="29.1" hidden="1">
      <c r="A47" s="59">
        <v>45</v>
      </c>
      <c r="B47" s="59">
        <v>182</v>
      </c>
      <c r="C47" s="60" t="s">
        <v>135</v>
      </c>
      <c r="D47" s="59" t="s">
        <v>293</v>
      </c>
      <c r="E47" s="88" t="s">
        <v>294</v>
      </c>
      <c r="F47" s="59" t="s">
        <v>199</v>
      </c>
      <c r="G47" s="59" t="s">
        <v>139</v>
      </c>
      <c r="H47" s="59">
        <v>12</v>
      </c>
      <c r="I47" s="61">
        <v>1.0833333333333334E-2</v>
      </c>
      <c r="J47" s="61">
        <v>2.3379629629629629E-4</v>
      </c>
      <c r="K47" s="61">
        <v>2.4542824074074075E-2</v>
      </c>
      <c r="L47" s="61">
        <v>5.3356481481481484E-4</v>
      </c>
      <c r="M47" s="61">
        <v>1.6929398148148148E-2</v>
      </c>
      <c r="N47" s="61">
        <v>5.307523148148148E-2</v>
      </c>
      <c r="O47" s="59" t="s">
        <v>295</v>
      </c>
      <c r="P47" s="8">
        <f t="shared" si="0"/>
        <v>672</v>
      </c>
    </row>
    <row r="48" spans="1:16" ht="29.1" hidden="1">
      <c r="A48" s="59">
        <v>46</v>
      </c>
      <c r="B48" s="59">
        <v>197</v>
      </c>
      <c r="C48" s="60" t="s">
        <v>135</v>
      </c>
      <c r="D48" s="59" t="s">
        <v>296</v>
      </c>
      <c r="E48" s="88" t="s">
        <v>297</v>
      </c>
      <c r="F48" s="59" t="s">
        <v>199</v>
      </c>
      <c r="G48" s="59" t="s">
        <v>242</v>
      </c>
      <c r="H48" s="59">
        <v>3</v>
      </c>
      <c r="I48" s="61">
        <v>9.6759259259259264E-3</v>
      </c>
      <c r="J48" s="61">
        <v>2.5925925925925926E-4</v>
      </c>
      <c r="K48" s="61">
        <v>2.3372685185185187E-2</v>
      </c>
      <c r="L48" s="61">
        <v>5.3587962962962964E-4</v>
      </c>
      <c r="M48" s="61">
        <v>1.9353009259259257E-2</v>
      </c>
      <c r="N48" s="61">
        <v>5.3197916666666671E-2</v>
      </c>
      <c r="O48" s="59" t="s">
        <v>298</v>
      </c>
      <c r="P48" s="8">
        <f t="shared" si="0"/>
        <v>670</v>
      </c>
    </row>
    <row r="49" spans="1:16">
      <c r="A49" s="59">
        <v>47</v>
      </c>
      <c r="B49" s="59">
        <v>168</v>
      </c>
      <c r="C49" s="60" t="s">
        <v>135</v>
      </c>
      <c r="D49" s="59" t="s">
        <v>299</v>
      </c>
      <c r="E49" s="88" t="s">
        <v>300</v>
      </c>
      <c r="F49" s="59" t="s">
        <v>138</v>
      </c>
      <c r="G49" s="59" t="s">
        <v>242</v>
      </c>
      <c r="H49" s="59">
        <v>4</v>
      </c>
      <c r="I49" s="61">
        <v>1.1145833333333334E-2</v>
      </c>
      <c r="J49" s="61">
        <v>3.5416666666666669E-4</v>
      </c>
      <c r="K49" s="61">
        <v>2.6465277777777775E-2</v>
      </c>
      <c r="L49" s="61">
        <v>8.7152777777777771E-4</v>
      </c>
      <c r="M49" s="61">
        <v>1.524074074074074E-2</v>
      </c>
      <c r="N49" s="61">
        <v>5.4079861111111113E-2</v>
      </c>
      <c r="O49" s="59" t="s">
        <v>301</v>
      </c>
      <c r="P49" s="8">
        <f t="shared" si="0"/>
        <v>659</v>
      </c>
    </row>
    <row r="50" spans="1:16">
      <c r="A50" s="59">
        <v>48</v>
      </c>
      <c r="B50" s="59">
        <v>214</v>
      </c>
      <c r="C50" s="60" t="s">
        <v>135</v>
      </c>
      <c r="D50" s="59" t="s">
        <v>302</v>
      </c>
      <c r="E50" s="88" t="s">
        <v>303</v>
      </c>
      <c r="F50" s="59" t="s">
        <v>138</v>
      </c>
      <c r="G50" s="59" t="s">
        <v>238</v>
      </c>
      <c r="H50" s="59">
        <v>3</v>
      </c>
      <c r="I50" s="61">
        <v>9.2939814814814812E-3</v>
      </c>
      <c r="J50" s="61">
        <v>3.2291666666666666E-4</v>
      </c>
      <c r="K50" s="61">
        <v>2.7201388888888886E-2</v>
      </c>
      <c r="L50" s="61">
        <v>3.7500000000000001E-4</v>
      </c>
      <c r="M50" s="61">
        <v>1.7416666666666667E-2</v>
      </c>
      <c r="N50" s="61">
        <v>5.4612268518518518E-2</v>
      </c>
      <c r="O50" s="59" t="s">
        <v>304</v>
      </c>
      <c r="P50" s="8">
        <f t="shared" si="0"/>
        <v>653</v>
      </c>
    </row>
    <row r="51" spans="1:16" hidden="1">
      <c r="A51" s="59">
        <v>49</v>
      </c>
      <c r="B51" s="59">
        <v>209</v>
      </c>
      <c r="C51" s="60" t="s">
        <v>135</v>
      </c>
      <c r="D51" s="59" t="s">
        <v>305</v>
      </c>
      <c r="E51" s="88" t="s">
        <v>306</v>
      </c>
      <c r="F51" s="59"/>
      <c r="G51" s="59" t="s">
        <v>159</v>
      </c>
      <c r="H51" s="59">
        <v>6</v>
      </c>
      <c r="I51" s="61">
        <v>1.0231481481481482E-2</v>
      </c>
      <c r="J51" s="61">
        <v>2.9629629629629629E-4</v>
      </c>
      <c r="K51" s="61">
        <v>2.6798611111111113E-2</v>
      </c>
      <c r="L51" s="61">
        <v>7.4421296296296291E-4</v>
      </c>
      <c r="M51" s="61">
        <v>1.6800925925925924E-2</v>
      </c>
      <c r="N51" s="61">
        <v>5.4871527777777776E-2</v>
      </c>
      <c r="O51" s="59" t="s">
        <v>307</v>
      </c>
      <c r="P51" s="8">
        <f t="shared" si="0"/>
        <v>650</v>
      </c>
    </row>
    <row r="52" spans="1:16" hidden="1">
      <c r="A52" s="59">
        <v>50</v>
      </c>
      <c r="B52" s="59">
        <v>170</v>
      </c>
      <c r="C52" s="60" t="s">
        <v>135</v>
      </c>
      <c r="D52" s="59" t="s">
        <v>308</v>
      </c>
      <c r="E52" s="88" t="s">
        <v>309</v>
      </c>
      <c r="F52" s="59" t="s">
        <v>310</v>
      </c>
      <c r="G52" s="59" t="s">
        <v>242</v>
      </c>
      <c r="H52" s="59">
        <v>5</v>
      </c>
      <c r="I52" s="61">
        <v>1.0243055555555556E-2</v>
      </c>
      <c r="J52" s="61">
        <v>2.7893518518518518E-4</v>
      </c>
      <c r="K52" s="61">
        <v>2.6284722222222223E-2</v>
      </c>
      <c r="L52" s="61">
        <v>7.7430555555555564E-4</v>
      </c>
      <c r="M52" s="61">
        <v>1.758912037037037E-2</v>
      </c>
      <c r="N52" s="61">
        <v>5.5172453703703703E-2</v>
      </c>
      <c r="O52" s="59" t="s">
        <v>311</v>
      </c>
      <c r="P52" s="8">
        <f t="shared" si="0"/>
        <v>646</v>
      </c>
    </row>
    <row r="53" spans="1:16">
      <c r="A53" s="59">
        <v>51</v>
      </c>
      <c r="B53" s="59">
        <v>188</v>
      </c>
      <c r="C53" s="60" t="s">
        <v>135</v>
      </c>
      <c r="D53" s="59" t="s">
        <v>312</v>
      </c>
      <c r="E53" s="88" t="s">
        <v>313</v>
      </c>
      <c r="F53" s="59" t="s">
        <v>138</v>
      </c>
      <c r="G53" s="59" t="s">
        <v>154</v>
      </c>
      <c r="H53" s="59">
        <v>9</v>
      </c>
      <c r="I53" s="61">
        <v>1.1261574074074075E-2</v>
      </c>
      <c r="J53" s="61">
        <v>2.8703703703703703E-4</v>
      </c>
      <c r="K53" s="61">
        <v>2.4858796296296299E-2</v>
      </c>
      <c r="L53" s="61">
        <v>4.2361111111111115E-4</v>
      </c>
      <c r="M53" s="61">
        <v>1.8420138888888889E-2</v>
      </c>
      <c r="N53" s="61">
        <v>5.5252314814814817E-2</v>
      </c>
      <c r="O53" s="59" t="s">
        <v>314</v>
      </c>
      <c r="P53" s="8">
        <f t="shared" si="0"/>
        <v>645</v>
      </c>
    </row>
    <row r="54" spans="1:16" ht="29.1" hidden="1">
      <c r="A54" s="59">
        <v>52</v>
      </c>
      <c r="B54" s="59">
        <v>184</v>
      </c>
      <c r="C54" s="60" t="s">
        <v>135</v>
      </c>
      <c r="D54" s="59" t="s">
        <v>315</v>
      </c>
      <c r="E54" s="88" t="s">
        <v>316</v>
      </c>
      <c r="F54" s="59" t="s">
        <v>199</v>
      </c>
      <c r="G54" s="59" t="s">
        <v>242</v>
      </c>
      <c r="H54" s="59">
        <v>6</v>
      </c>
      <c r="I54" s="61">
        <v>1.0925925925925926E-2</v>
      </c>
      <c r="J54" s="61">
        <v>3.1250000000000001E-4</v>
      </c>
      <c r="K54" s="61">
        <v>2.7052083333333334E-2</v>
      </c>
      <c r="L54" s="61">
        <v>3.6226851851851855E-4</v>
      </c>
      <c r="M54" s="61">
        <v>1.7173611111111112E-2</v>
      </c>
      <c r="N54" s="61">
        <v>5.5827546296296299E-2</v>
      </c>
      <c r="O54" s="59" t="s">
        <v>317</v>
      </c>
      <c r="P54" s="8">
        <f t="shared" si="0"/>
        <v>639</v>
      </c>
    </row>
    <row r="55" spans="1:16" ht="15">
      <c r="A55" s="59">
        <v>62</v>
      </c>
      <c r="B55" s="59">
        <v>51</v>
      </c>
      <c r="C55" s="60" t="s">
        <v>286</v>
      </c>
      <c r="D55" s="59" t="s">
        <v>318</v>
      </c>
      <c r="E55" t="s">
        <v>46</v>
      </c>
      <c r="F55" s="88" t="s">
        <v>319</v>
      </c>
      <c r="G55" s="59" t="s">
        <v>288</v>
      </c>
      <c r="H55" s="59">
        <v>4</v>
      </c>
      <c r="I55" s="61">
        <v>1.1261574074074075E-2</v>
      </c>
      <c r="J55" s="61">
        <v>3.1365740740740741E-4</v>
      </c>
      <c r="K55" s="61">
        <v>2.5784722222222223E-2</v>
      </c>
      <c r="L55" s="61">
        <v>5.2546296296296293E-4</v>
      </c>
      <c r="M55" s="61">
        <v>1.8733796296296294E-2</v>
      </c>
      <c r="N55" s="61">
        <v>5.6621527777777785E-2</v>
      </c>
      <c r="O55" s="61" t="s">
        <v>320</v>
      </c>
      <c r="P55" s="8">
        <f t="shared" si="0"/>
        <v>630</v>
      </c>
    </row>
    <row r="56" spans="1:16" hidden="1">
      <c r="A56" s="59">
        <v>53</v>
      </c>
      <c r="B56" s="59">
        <v>183</v>
      </c>
      <c r="C56" s="60" t="s">
        <v>135</v>
      </c>
      <c r="D56" s="59" t="s">
        <v>321</v>
      </c>
      <c r="E56" s="88" t="s">
        <v>322</v>
      </c>
      <c r="F56" s="59"/>
      <c r="G56" s="59" t="s">
        <v>139</v>
      </c>
      <c r="H56" s="59">
        <v>13</v>
      </c>
      <c r="I56" s="61">
        <v>1.2673611111111111E-2</v>
      </c>
      <c r="J56" s="61">
        <v>2.8472222222222223E-4</v>
      </c>
      <c r="K56" s="61">
        <v>2.6790509259259257E-2</v>
      </c>
      <c r="L56" s="61">
        <v>3.9467592592592592E-4</v>
      </c>
      <c r="M56" s="61">
        <v>1.6547453703703703E-2</v>
      </c>
      <c r="N56" s="61">
        <v>5.6692129629629627E-2</v>
      </c>
      <c r="O56" s="59" t="s">
        <v>323</v>
      </c>
      <c r="P56" s="8">
        <f t="shared" si="0"/>
        <v>629</v>
      </c>
    </row>
    <row r="57" spans="1:16" hidden="1">
      <c r="A57" s="59">
        <v>54</v>
      </c>
      <c r="B57" s="59">
        <v>196</v>
      </c>
      <c r="C57" s="60" t="s">
        <v>140</v>
      </c>
      <c r="D57" s="59" t="s">
        <v>324</v>
      </c>
      <c r="E57" s="88" t="s">
        <v>325</v>
      </c>
      <c r="F57" s="59" t="s">
        <v>143</v>
      </c>
      <c r="G57" s="59" t="s">
        <v>149</v>
      </c>
      <c r="H57" s="59">
        <v>10</v>
      </c>
      <c r="I57" s="61">
        <v>8.1828703703703699E-3</v>
      </c>
      <c r="J57" s="61">
        <v>3.2407407407407406E-4</v>
      </c>
      <c r="K57" s="61">
        <v>2.7008101851851853E-2</v>
      </c>
      <c r="L57" s="61">
        <v>5.6365740740740747E-4</v>
      </c>
      <c r="M57" s="61">
        <v>2.1037037037037035E-2</v>
      </c>
      <c r="N57" s="61">
        <v>5.7116898148148146E-2</v>
      </c>
      <c r="O57" s="59" t="s">
        <v>326</v>
      </c>
      <c r="P57" s="8">
        <f t="shared" si="0"/>
        <v>624</v>
      </c>
    </row>
    <row r="58" spans="1:16" hidden="1">
      <c r="A58" s="59">
        <v>55</v>
      </c>
      <c r="B58" s="59">
        <v>193</v>
      </c>
      <c r="C58" s="60" t="s">
        <v>135</v>
      </c>
      <c r="D58" s="59" t="s">
        <v>327</v>
      </c>
      <c r="E58" s="88" t="s">
        <v>328</v>
      </c>
      <c r="F58" s="59"/>
      <c r="G58" s="59" t="s">
        <v>139</v>
      </c>
      <c r="H58" s="59">
        <v>14</v>
      </c>
      <c r="I58" s="61">
        <v>1.0891203703703703E-2</v>
      </c>
      <c r="J58" s="61">
        <v>3.2060185185185186E-4</v>
      </c>
      <c r="K58" s="61">
        <v>2.7141203703703702E-2</v>
      </c>
      <c r="L58" s="61">
        <v>5.7407407407407407E-4</v>
      </c>
      <c r="M58" s="61">
        <v>1.9290509259259261E-2</v>
      </c>
      <c r="N58" s="61">
        <v>5.8218750000000007E-2</v>
      </c>
      <c r="O58" s="59" t="s">
        <v>329</v>
      </c>
      <c r="P58" s="8">
        <f t="shared" si="0"/>
        <v>613</v>
      </c>
    </row>
    <row r="59" spans="1:16" hidden="1">
      <c r="A59" s="59">
        <v>56</v>
      </c>
      <c r="B59" s="59">
        <v>206</v>
      </c>
      <c r="C59" s="60" t="s">
        <v>135</v>
      </c>
      <c r="D59" s="59" t="s">
        <v>330</v>
      </c>
      <c r="E59" s="88" t="s">
        <v>331</v>
      </c>
      <c r="F59" s="59" t="s">
        <v>173</v>
      </c>
      <c r="G59" s="59" t="s">
        <v>242</v>
      </c>
      <c r="H59" s="59">
        <v>7</v>
      </c>
      <c r="I59" s="61">
        <v>9.7685185185185184E-3</v>
      </c>
      <c r="J59" s="61">
        <v>2.4189814814814812E-4</v>
      </c>
      <c r="K59" s="61">
        <v>3.1688657407407408E-2</v>
      </c>
      <c r="L59" s="61">
        <v>5.8912037037037038E-4</v>
      </c>
      <c r="M59" s="61">
        <v>2.0310185185185185E-2</v>
      </c>
      <c r="N59" s="61">
        <v>6.2599537037037037E-2</v>
      </c>
      <c r="O59" s="59" t="s">
        <v>332</v>
      </c>
      <c r="P59" s="8">
        <f t="shared" si="0"/>
        <v>570</v>
      </c>
    </row>
    <row r="60" spans="1:16">
      <c r="A60" s="28"/>
      <c r="B60" s="28"/>
      <c r="C60" s="28"/>
      <c r="D60" s="28"/>
      <c r="E60" s="28"/>
      <c r="F60" s="28"/>
      <c r="G60" s="28"/>
      <c r="H60" s="29"/>
      <c r="I60" s="30"/>
      <c r="J60" s="30"/>
      <c r="K60" s="28"/>
      <c r="L60" s="28"/>
      <c r="M60" s="28"/>
      <c r="N60" s="28"/>
      <c r="O60" s="28"/>
    </row>
  </sheetData>
  <autoFilter ref="A1:P59" xr:uid="{391E0361-8C26-4228-89A0-2BBA9E3323F1}">
    <filterColumn colId="5">
      <filters>
        <filter val="TRItona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37"/>
  <sheetViews>
    <sheetView topLeftCell="A192" zoomScale="110" zoomScaleNormal="110" workbookViewId="0">
      <selection activeCell="E208" sqref="E208"/>
    </sheetView>
  </sheetViews>
  <sheetFormatPr defaultColWidth="14.42578125" defaultRowHeight="15" customHeight="1"/>
  <cols>
    <col min="1" max="1" width="12.7109375" bestFit="1" customWidth="1"/>
    <col min="2" max="2" width="17.28515625" bestFit="1" customWidth="1"/>
    <col min="3" max="3" width="29.42578125" bestFit="1" customWidth="1"/>
    <col min="4" max="6" width="29.42578125" customWidth="1"/>
    <col min="7" max="7" width="29.28515625" bestFit="1" customWidth="1"/>
    <col min="8" max="8" width="10.140625" bestFit="1" customWidth="1"/>
    <col min="9" max="9" width="7" style="10" bestFit="1" customWidth="1"/>
    <col min="10" max="10" width="12.42578125" style="10" bestFit="1" customWidth="1"/>
    <col min="11" max="11" width="7" style="10" bestFit="1" customWidth="1"/>
    <col min="12" max="12" width="8.85546875" bestFit="1" customWidth="1"/>
    <col min="13" max="13" width="7" style="10" bestFit="1" customWidth="1"/>
    <col min="14" max="14" width="18.140625" bestFit="1" customWidth="1"/>
    <col min="15" max="15" width="7" style="10" bestFit="1" customWidth="1"/>
    <col min="16" max="16" width="8.85546875" bestFit="1" customWidth="1"/>
    <col min="17" max="17" width="11.42578125" style="10" bestFit="1" customWidth="1"/>
    <col min="18" max="18" width="9.140625" style="9" bestFit="1" customWidth="1"/>
    <col min="19" max="19" width="8.7109375" customWidth="1"/>
    <col min="20" max="20" width="20" customWidth="1"/>
  </cols>
  <sheetData>
    <row r="1" spans="1:20" ht="15" customHeight="1">
      <c r="A1" s="58" t="s">
        <v>121</v>
      </c>
      <c r="B1" s="58" t="s">
        <v>122</v>
      </c>
      <c r="C1" s="58"/>
      <c r="D1" s="58" t="s">
        <v>123</v>
      </c>
      <c r="E1" s="59" t="s">
        <v>124</v>
      </c>
      <c r="F1" s="58" t="s">
        <v>125</v>
      </c>
      <c r="G1" s="58" t="s">
        <v>333</v>
      </c>
      <c r="H1" s="58" t="s">
        <v>126</v>
      </c>
      <c r="I1" s="58" t="s">
        <v>127</v>
      </c>
      <c r="J1" s="58" t="s">
        <v>334</v>
      </c>
      <c r="K1" s="58" t="s">
        <v>129</v>
      </c>
      <c r="L1" s="58" t="s">
        <v>335</v>
      </c>
      <c r="M1" s="58" t="s">
        <v>131</v>
      </c>
      <c r="N1" s="58" t="s">
        <v>336</v>
      </c>
      <c r="O1" s="58" t="s">
        <v>133</v>
      </c>
      <c r="P1" s="58" t="s">
        <v>134</v>
      </c>
      <c r="S1" s="8"/>
      <c r="T1" s="8"/>
    </row>
    <row r="2" spans="1:20" ht="15" customHeight="1">
      <c r="A2" s="59">
        <v>1</v>
      </c>
      <c r="B2" s="59">
        <v>20</v>
      </c>
      <c r="C2" s="60" t="s">
        <v>135</v>
      </c>
      <c r="D2" s="59" t="s">
        <v>337</v>
      </c>
      <c r="E2" s="59" t="s">
        <v>338</v>
      </c>
      <c r="F2" s="59" t="s">
        <v>339</v>
      </c>
      <c r="G2" s="59" t="s">
        <v>340</v>
      </c>
      <c r="H2" s="59" t="s">
        <v>341</v>
      </c>
      <c r="I2" s="59">
        <v>1</v>
      </c>
      <c r="J2" s="61">
        <v>1.6918981481481479E-2</v>
      </c>
      <c r="K2" s="61">
        <v>8.2407407407407408E-4</v>
      </c>
      <c r="L2" s="61">
        <v>4.2225694444444448E-2</v>
      </c>
      <c r="M2" s="61">
        <v>5.6481481481481476E-4</v>
      </c>
      <c r="N2" s="61">
        <v>2.56400462962963E-2</v>
      </c>
      <c r="O2" s="61">
        <v>8.6175925925925934E-2</v>
      </c>
      <c r="P2" s="59"/>
      <c r="Q2" s="8">
        <f>IFERROR(ROUND($O$2/O2*1000,0),0)</f>
        <v>1000</v>
      </c>
      <c r="S2" s="8"/>
      <c r="T2" s="8"/>
    </row>
    <row r="3" spans="1:20" ht="15" customHeight="1">
      <c r="A3" s="59">
        <v>2</v>
      </c>
      <c r="B3" s="59">
        <v>90</v>
      </c>
      <c r="C3" s="60" t="s">
        <v>135</v>
      </c>
      <c r="D3" s="59" t="s">
        <v>342</v>
      </c>
      <c r="E3" s="59" t="s">
        <v>343</v>
      </c>
      <c r="F3" s="59" t="s">
        <v>173</v>
      </c>
      <c r="G3" s="59" t="s">
        <v>340</v>
      </c>
      <c r="H3" s="59" t="s">
        <v>344</v>
      </c>
      <c r="I3" s="59">
        <v>1</v>
      </c>
      <c r="J3" s="61">
        <v>1.7445601851851851E-2</v>
      </c>
      <c r="K3" s="61">
        <v>1.0543981481481481E-3</v>
      </c>
      <c r="L3" s="61">
        <v>4.449074074074074E-2</v>
      </c>
      <c r="M3" s="61">
        <v>7.2106481481481479E-4</v>
      </c>
      <c r="N3" s="61">
        <v>2.5530092592592594E-2</v>
      </c>
      <c r="O3" s="61">
        <v>8.9245370370370378E-2</v>
      </c>
      <c r="P3" s="59" t="s">
        <v>345</v>
      </c>
      <c r="Q3" s="8">
        <f t="shared" ref="Q3:Q66" si="0">IFERROR(ROUND($O$2/O3*1000,0),0)</f>
        <v>966</v>
      </c>
      <c r="S3" s="8"/>
      <c r="T3" s="8"/>
    </row>
    <row r="4" spans="1:20" ht="15" customHeight="1">
      <c r="A4" s="59">
        <v>3</v>
      </c>
      <c r="B4" s="59">
        <v>67</v>
      </c>
      <c r="C4" s="60" t="s">
        <v>135</v>
      </c>
      <c r="D4" s="59" t="s">
        <v>346</v>
      </c>
      <c r="E4" s="59" t="s">
        <v>347</v>
      </c>
      <c r="F4" s="59" t="s">
        <v>138</v>
      </c>
      <c r="G4" s="59" t="s">
        <v>340</v>
      </c>
      <c r="H4" s="59" t="s">
        <v>348</v>
      </c>
      <c r="I4" s="59">
        <v>1</v>
      </c>
      <c r="J4" s="61">
        <v>1.7306712962962961E-2</v>
      </c>
      <c r="K4" s="61">
        <v>7.8587962962962964E-4</v>
      </c>
      <c r="L4" s="61">
        <v>4.6113425925925926E-2</v>
      </c>
      <c r="M4" s="61">
        <v>5.9606481481481479E-4</v>
      </c>
      <c r="N4" s="61">
        <v>2.4658564814814814E-2</v>
      </c>
      <c r="O4" s="61">
        <v>8.9462962962962966E-2</v>
      </c>
      <c r="P4" s="59" t="s">
        <v>349</v>
      </c>
      <c r="Q4" s="8">
        <f t="shared" si="0"/>
        <v>963</v>
      </c>
      <c r="S4" s="8"/>
      <c r="T4" s="8"/>
    </row>
    <row r="5" spans="1:20" ht="15" customHeight="1">
      <c r="A5" s="59">
        <v>4</v>
      </c>
      <c r="B5" s="59">
        <v>136</v>
      </c>
      <c r="C5" s="60" t="s">
        <v>135</v>
      </c>
      <c r="D5" s="59" t="s">
        <v>350</v>
      </c>
      <c r="E5" s="59" t="s">
        <v>351</v>
      </c>
      <c r="F5" s="59"/>
      <c r="G5" s="59" t="s">
        <v>340</v>
      </c>
      <c r="H5" s="59" t="s">
        <v>352</v>
      </c>
      <c r="I5" s="59">
        <v>1</v>
      </c>
      <c r="J5" s="61">
        <v>1.866550925925926E-2</v>
      </c>
      <c r="K5" s="61">
        <v>8.2638888888888898E-4</v>
      </c>
      <c r="L5" s="61">
        <v>4.5850694444444444E-2</v>
      </c>
      <c r="M5" s="61">
        <v>4.7337962962962964E-4</v>
      </c>
      <c r="N5" s="61">
        <v>2.5042824074074072E-2</v>
      </c>
      <c r="O5" s="61">
        <v>9.0861111111111101E-2</v>
      </c>
      <c r="P5" s="59" t="s">
        <v>353</v>
      </c>
      <c r="Q5" s="8">
        <f t="shared" si="0"/>
        <v>948</v>
      </c>
      <c r="S5" s="8"/>
      <c r="T5" s="8"/>
    </row>
    <row r="6" spans="1:20" ht="15" customHeight="1">
      <c r="A6" s="59">
        <v>5</v>
      </c>
      <c r="B6" s="59">
        <v>74</v>
      </c>
      <c r="C6" s="60" t="s">
        <v>135</v>
      </c>
      <c r="D6" s="59" t="s">
        <v>354</v>
      </c>
      <c r="E6" s="59" t="s">
        <v>355</v>
      </c>
      <c r="F6" s="59" t="s">
        <v>356</v>
      </c>
      <c r="G6" s="59" t="s">
        <v>340</v>
      </c>
      <c r="H6" s="59" t="s">
        <v>357</v>
      </c>
      <c r="I6" s="59">
        <v>1</v>
      </c>
      <c r="J6" s="61">
        <v>1.7414351851851851E-2</v>
      </c>
      <c r="K6" s="61">
        <v>8.8541666666666662E-4</v>
      </c>
      <c r="L6" s="61">
        <v>4.7334490740740739E-2</v>
      </c>
      <c r="M6" s="61">
        <v>5.8333333333333327E-4</v>
      </c>
      <c r="N6" s="61">
        <v>2.6107638888888885E-2</v>
      </c>
      <c r="O6" s="61">
        <v>9.2327546296296303E-2</v>
      </c>
      <c r="P6" s="59" t="s">
        <v>358</v>
      </c>
      <c r="Q6" s="8">
        <f t="shared" si="0"/>
        <v>933</v>
      </c>
      <c r="S6" s="8"/>
      <c r="T6" s="8"/>
    </row>
    <row r="7" spans="1:20" ht="15" customHeight="1">
      <c r="A7" s="59">
        <v>6</v>
      </c>
      <c r="B7" s="59">
        <v>35</v>
      </c>
      <c r="C7" s="60" t="s">
        <v>135</v>
      </c>
      <c r="D7" s="59" t="s">
        <v>359</v>
      </c>
      <c r="E7" s="59" t="s">
        <v>360</v>
      </c>
      <c r="F7" s="59" t="s">
        <v>138</v>
      </c>
      <c r="G7" s="59" t="s">
        <v>340</v>
      </c>
      <c r="H7" s="59" t="s">
        <v>344</v>
      </c>
      <c r="I7" s="59">
        <v>2</v>
      </c>
      <c r="J7" s="61">
        <v>1.8428240740740742E-2</v>
      </c>
      <c r="K7" s="61">
        <v>7.5925925925925922E-4</v>
      </c>
      <c r="L7" s="61">
        <v>4.8483796296296296E-2</v>
      </c>
      <c r="M7" s="61">
        <v>3.8078703703703701E-4</v>
      </c>
      <c r="N7" s="61">
        <v>2.4550925925925924E-2</v>
      </c>
      <c r="O7" s="61">
        <v>9.2604166666666668E-2</v>
      </c>
      <c r="P7" s="59" t="s">
        <v>361</v>
      </c>
      <c r="Q7" s="8">
        <f t="shared" si="0"/>
        <v>931</v>
      </c>
      <c r="S7" s="8"/>
      <c r="T7" s="8"/>
    </row>
    <row r="8" spans="1:20" ht="15" customHeight="1">
      <c r="A8" s="59">
        <v>7</v>
      </c>
      <c r="B8" s="59">
        <v>112</v>
      </c>
      <c r="C8" s="60" t="s">
        <v>135</v>
      </c>
      <c r="D8" s="59" t="s">
        <v>362</v>
      </c>
      <c r="E8" s="59" t="s">
        <v>363</v>
      </c>
      <c r="F8" s="59" t="s">
        <v>252</v>
      </c>
      <c r="G8" s="59" t="s">
        <v>340</v>
      </c>
      <c r="H8" s="59" t="s">
        <v>341</v>
      </c>
      <c r="I8" s="59">
        <v>2</v>
      </c>
      <c r="J8" s="61">
        <v>1.7721064814814814E-2</v>
      </c>
      <c r="K8" s="61">
        <v>8.1134259259259256E-4</v>
      </c>
      <c r="L8" s="61">
        <v>4.823726851851852E-2</v>
      </c>
      <c r="M8" s="61">
        <v>3.5416666666666669E-4</v>
      </c>
      <c r="N8" s="61">
        <v>2.5891203703703704E-2</v>
      </c>
      <c r="O8" s="61">
        <v>9.3018518518518514E-2</v>
      </c>
      <c r="P8" s="59" t="s">
        <v>364</v>
      </c>
      <c r="Q8" s="8">
        <f t="shared" si="0"/>
        <v>926</v>
      </c>
      <c r="S8" s="8"/>
      <c r="T8" s="8"/>
    </row>
    <row r="9" spans="1:20" ht="15" customHeight="1">
      <c r="A9" s="59">
        <v>8</v>
      </c>
      <c r="B9" s="59">
        <v>100</v>
      </c>
      <c r="C9" s="60" t="s">
        <v>135</v>
      </c>
      <c r="D9" s="59" t="s">
        <v>365</v>
      </c>
      <c r="E9" s="59" t="s">
        <v>366</v>
      </c>
      <c r="F9" s="59" t="s">
        <v>367</v>
      </c>
      <c r="G9" s="59" t="s">
        <v>340</v>
      </c>
      <c r="H9" s="59" t="s">
        <v>357</v>
      </c>
      <c r="I9" s="59">
        <v>2</v>
      </c>
      <c r="J9" s="61">
        <v>1.8160879629629628E-2</v>
      </c>
      <c r="K9" s="61">
        <v>1.2002314814814816E-3</v>
      </c>
      <c r="L9" s="61">
        <v>4.6304398148148143E-2</v>
      </c>
      <c r="M9" s="61">
        <v>8.6458333333333341E-4</v>
      </c>
      <c r="N9" s="61">
        <v>2.6577546296296297E-2</v>
      </c>
      <c r="O9" s="61">
        <v>9.3109953703703702E-2</v>
      </c>
      <c r="P9" s="59" t="s">
        <v>368</v>
      </c>
      <c r="Q9" s="8">
        <f t="shared" si="0"/>
        <v>926</v>
      </c>
      <c r="S9" s="8"/>
      <c r="T9" s="8"/>
    </row>
    <row r="10" spans="1:20" ht="15" customHeight="1">
      <c r="A10" s="59">
        <v>9</v>
      </c>
      <c r="B10" s="59">
        <v>93</v>
      </c>
      <c r="C10" s="60" t="s">
        <v>135</v>
      </c>
      <c r="D10" s="59" t="s">
        <v>369</v>
      </c>
      <c r="E10" s="59" t="s">
        <v>370</v>
      </c>
      <c r="F10" s="59" t="s">
        <v>199</v>
      </c>
      <c r="G10" s="59" t="s">
        <v>340</v>
      </c>
      <c r="H10" s="59" t="s">
        <v>348</v>
      </c>
      <c r="I10" s="59">
        <v>2</v>
      </c>
      <c r="J10" s="61">
        <v>1.8082175925925925E-2</v>
      </c>
      <c r="K10" s="61">
        <v>1.2326388888888888E-3</v>
      </c>
      <c r="L10" s="61">
        <v>4.7432870370370368E-2</v>
      </c>
      <c r="M10" s="61">
        <v>6.2037037037037041E-4</v>
      </c>
      <c r="N10" s="61">
        <v>2.6427083333333337E-2</v>
      </c>
      <c r="O10" s="61">
        <v>9.3797453703703709E-2</v>
      </c>
      <c r="P10" s="59" t="s">
        <v>371</v>
      </c>
      <c r="Q10" s="8">
        <f t="shared" si="0"/>
        <v>919</v>
      </c>
      <c r="S10" s="8"/>
      <c r="T10" s="8"/>
    </row>
    <row r="11" spans="1:20" ht="15" customHeight="1">
      <c r="A11" s="59">
        <v>10</v>
      </c>
      <c r="B11" s="59">
        <v>92</v>
      </c>
      <c r="C11" s="60" t="s">
        <v>135</v>
      </c>
      <c r="D11" s="59" t="s">
        <v>372</v>
      </c>
      <c r="E11" s="59" t="s">
        <v>373</v>
      </c>
      <c r="F11" s="59"/>
      <c r="G11" s="59" t="s">
        <v>340</v>
      </c>
      <c r="H11" s="59" t="s">
        <v>348</v>
      </c>
      <c r="I11" s="59">
        <v>3</v>
      </c>
      <c r="J11" s="61">
        <v>2.0493055555555556E-2</v>
      </c>
      <c r="K11" s="61">
        <v>8.9351851851851853E-4</v>
      </c>
      <c r="L11" s="61">
        <v>4.6171296296296294E-2</v>
      </c>
      <c r="M11" s="61">
        <v>6.3078703703703702E-4</v>
      </c>
      <c r="N11" s="61">
        <v>2.7771990740740739E-2</v>
      </c>
      <c r="O11" s="61">
        <v>9.5956018518518524E-2</v>
      </c>
      <c r="P11" s="59" t="s">
        <v>374</v>
      </c>
      <c r="Q11" s="8">
        <f t="shared" si="0"/>
        <v>898</v>
      </c>
      <c r="S11" s="8"/>
      <c r="T11" s="8"/>
    </row>
    <row r="12" spans="1:20" ht="15" customHeight="1">
      <c r="A12" s="59">
        <v>11</v>
      </c>
      <c r="B12" s="59">
        <v>63</v>
      </c>
      <c r="C12" s="60" t="s">
        <v>135</v>
      </c>
      <c r="D12" s="59" t="s">
        <v>375</v>
      </c>
      <c r="E12" s="59" t="s">
        <v>376</v>
      </c>
      <c r="F12" s="59" t="s">
        <v>189</v>
      </c>
      <c r="G12" s="59" t="s">
        <v>340</v>
      </c>
      <c r="H12" s="59" t="s">
        <v>352</v>
      </c>
      <c r="I12" s="59">
        <v>2</v>
      </c>
      <c r="J12" s="61">
        <v>1.8306712962962962E-2</v>
      </c>
      <c r="K12" s="61">
        <v>6.6666666666666664E-4</v>
      </c>
      <c r="L12" s="61">
        <v>5.0975694444444448E-2</v>
      </c>
      <c r="M12" s="61">
        <v>5.9606481481481479E-4</v>
      </c>
      <c r="N12" s="61">
        <v>2.7614583333333335E-2</v>
      </c>
      <c r="O12" s="61">
        <v>9.8160879629629633E-2</v>
      </c>
      <c r="P12" s="59" t="s">
        <v>377</v>
      </c>
      <c r="Q12" s="8">
        <f t="shared" si="0"/>
        <v>878</v>
      </c>
      <c r="S12" s="8"/>
      <c r="T12" s="8"/>
    </row>
    <row r="13" spans="1:20" ht="15" customHeight="1">
      <c r="A13" s="59">
        <v>12</v>
      </c>
      <c r="B13" s="59">
        <v>348</v>
      </c>
      <c r="C13" s="60" t="s">
        <v>135</v>
      </c>
      <c r="D13" s="59" t="s">
        <v>378</v>
      </c>
      <c r="E13" s="59" t="s">
        <v>379</v>
      </c>
      <c r="F13" s="59"/>
      <c r="G13" s="59" t="s">
        <v>340</v>
      </c>
      <c r="H13" s="59" t="s">
        <v>344</v>
      </c>
      <c r="I13" s="59">
        <v>3</v>
      </c>
      <c r="J13" s="61">
        <v>2.1156250000000001E-2</v>
      </c>
      <c r="K13" s="61">
        <v>1.929398148148148E-3</v>
      </c>
      <c r="L13" s="61">
        <v>4.7877314814814817E-2</v>
      </c>
      <c r="M13" s="61">
        <v>6.7245370370370375E-4</v>
      </c>
      <c r="N13" s="61">
        <v>2.6791666666666668E-2</v>
      </c>
      <c r="O13" s="61">
        <v>9.8430555555555549E-2</v>
      </c>
      <c r="P13" s="59" t="s">
        <v>380</v>
      </c>
      <c r="Q13" s="8">
        <f t="shared" si="0"/>
        <v>875</v>
      </c>
      <c r="S13" s="8"/>
      <c r="T13" s="8"/>
    </row>
    <row r="14" spans="1:20" ht="15" customHeight="1">
      <c r="A14" s="59">
        <v>13</v>
      </c>
      <c r="B14" s="59">
        <v>66</v>
      </c>
      <c r="C14" s="60" t="s">
        <v>135</v>
      </c>
      <c r="D14" s="59" t="s">
        <v>381</v>
      </c>
      <c r="E14" s="59" t="s">
        <v>382</v>
      </c>
      <c r="F14" s="59" t="s">
        <v>138</v>
      </c>
      <c r="G14" s="59" t="s">
        <v>340</v>
      </c>
      <c r="H14" s="59" t="s">
        <v>341</v>
      </c>
      <c r="I14" s="59">
        <v>3</v>
      </c>
      <c r="J14" s="61">
        <v>2.0618055555555556E-2</v>
      </c>
      <c r="K14" s="61">
        <v>1.4178240740740742E-3</v>
      </c>
      <c r="L14" s="61">
        <v>4.763310185185185E-2</v>
      </c>
      <c r="M14" s="61">
        <v>5.0694444444444441E-4</v>
      </c>
      <c r="N14" s="61">
        <v>2.8545138888888891E-2</v>
      </c>
      <c r="O14" s="61">
        <v>9.872337962962964E-2</v>
      </c>
      <c r="P14" s="59" t="s">
        <v>383</v>
      </c>
      <c r="Q14" s="8">
        <f t="shared" si="0"/>
        <v>873</v>
      </c>
      <c r="S14" s="8"/>
      <c r="T14" s="8"/>
    </row>
    <row r="15" spans="1:20" ht="15" customHeight="1">
      <c r="A15" s="59">
        <v>14</v>
      </c>
      <c r="B15" s="59">
        <v>97</v>
      </c>
      <c r="C15" s="60" t="s">
        <v>135</v>
      </c>
      <c r="D15" s="59" t="s">
        <v>384</v>
      </c>
      <c r="E15" s="59" t="s">
        <v>262</v>
      </c>
      <c r="F15" s="59"/>
      <c r="G15" s="59" t="s">
        <v>340</v>
      </c>
      <c r="H15" s="59" t="s">
        <v>344</v>
      </c>
      <c r="I15" s="59">
        <v>4</v>
      </c>
      <c r="J15" s="61">
        <v>2.1778935185185186E-2</v>
      </c>
      <c r="K15" s="61">
        <v>1.9375E-3</v>
      </c>
      <c r="L15" s="61">
        <v>4.9114583333333336E-2</v>
      </c>
      <c r="M15" s="61">
        <v>7.5578703703703702E-4</v>
      </c>
      <c r="N15" s="61">
        <v>2.5138888888888888E-2</v>
      </c>
      <c r="O15" s="61">
        <v>9.8728009259259258E-2</v>
      </c>
      <c r="P15" s="59" t="s">
        <v>385</v>
      </c>
      <c r="Q15" s="8">
        <f t="shared" si="0"/>
        <v>873</v>
      </c>
      <c r="S15" s="8"/>
      <c r="T15" s="8"/>
    </row>
    <row r="16" spans="1:20" ht="15" customHeight="1">
      <c r="A16" s="59">
        <v>15</v>
      </c>
      <c r="B16" s="59">
        <v>29</v>
      </c>
      <c r="C16" s="60" t="s">
        <v>135</v>
      </c>
      <c r="D16" s="59" t="s">
        <v>386</v>
      </c>
      <c r="E16" s="59" t="s">
        <v>387</v>
      </c>
      <c r="F16" s="59"/>
      <c r="G16" s="59" t="s">
        <v>340</v>
      </c>
      <c r="H16" s="59" t="s">
        <v>344</v>
      </c>
      <c r="I16" s="59">
        <v>5</v>
      </c>
      <c r="J16" s="61">
        <v>1.9690972222222221E-2</v>
      </c>
      <c r="K16" s="61">
        <v>1.0497685185185185E-3</v>
      </c>
      <c r="L16" s="61">
        <v>4.8991898148148146E-2</v>
      </c>
      <c r="M16" s="61">
        <v>3.4027777777777778E-4</v>
      </c>
      <c r="N16" s="61">
        <v>2.8752314814814814E-2</v>
      </c>
      <c r="O16" s="61">
        <v>9.8826388888888894E-2</v>
      </c>
      <c r="P16" s="59" t="s">
        <v>388</v>
      </c>
      <c r="Q16" s="8">
        <f t="shared" si="0"/>
        <v>872</v>
      </c>
      <c r="S16" s="8"/>
      <c r="T16" s="8"/>
    </row>
    <row r="17" spans="1:20" ht="15" customHeight="1">
      <c r="A17" s="59">
        <v>16</v>
      </c>
      <c r="B17" s="59">
        <v>131</v>
      </c>
      <c r="C17" s="60" t="s">
        <v>135</v>
      </c>
      <c r="D17" s="59" t="s">
        <v>389</v>
      </c>
      <c r="E17" s="59" t="s">
        <v>390</v>
      </c>
      <c r="F17" s="59" t="s">
        <v>391</v>
      </c>
      <c r="G17" s="59" t="s">
        <v>340</v>
      </c>
      <c r="H17" s="59" t="s">
        <v>344</v>
      </c>
      <c r="I17" s="59">
        <v>6</v>
      </c>
      <c r="J17" s="61">
        <v>1.9855324074074074E-2</v>
      </c>
      <c r="K17" s="61">
        <v>7.314814814814815E-4</v>
      </c>
      <c r="L17" s="61">
        <v>4.9228009259259263E-2</v>
      </c>
      <c r="M17" s="61">
        <v>7.2337962962962959E-4</v>
      </c>
      <c r="N17" s="61">
        <v>2.8410879629629626E-2</v>
      </c>
      <c r="O17" s="61">
        <v>9.895138888888888E-2</v>
      </c>
      <c r="P17" s="59" t="s">
        <v>392</v>
      </c>
      <c r="Q17" s="8">
        <f t="shared" si="0"/>
        <v>871</v>
      </c>
      <c r="S17" s="8"/>
      <c r="T17" s="8"/>
    </row>
    <row r="18" spans="1:20" ht="15" customHeight="1">
      <c r="A18" s="59">
        <v>17</v>
      </c>
      <c r="B18" s="59">
        <v>54</v>
      </c>
      <c r="C18" s="60" t="s">
        <v>135</v>
      </c>
      <c r="D18" s="59" t="s">
        <v>181</v>
      </c>
      <c r="E18" s="59" t="s">
        <v>182</v>
      </c>
      <c r="F18" s="59"/>
      <c r="G18" s="59" t="s">
        <v>340</v>
      </c>
      <c r="H18" s="59" t="s">
        <v>341</v>
      </c>
      <c r="I18" s="59">
        <v>4</v>
      </c>
      <c r="J18" s="61">
        <v>1.876736111111111E-2</v>
      </c>
      <c r="K18" s="61">
        <v>8.8888888888888882E-4</v>
      </c>
      <c r="L18" s="61">
        <v>5.0175925925925922E-2</v>
      </c>
      <c r="M18" s="61">
        <v>7.7314814814814813E-4</v>
      </c>
      <c r="N18" s="61">
        <v>2.8725694444444446E-2</v>
      </c>
      <c r="O18" s="61">
        <v>9.9334490740740744E-2</v>
      </c>
      <c r="P18" s="59" t="s">
        <v>393</v>
      </c>
      <c r="Q18" s="8">
        <f t="shared" si="0"/>
        <v>868</v>
      </c>
      <c r="S18" s="8"/>
      <c r="T18" s="8"/>
    </row>
    <row r="19" spans="1:20" ht="15" customHeight="1">
      <c r="A19" s="59">
        <v>18</v>
      </c>
      <c r="B19" s="59">
        <v>28</v>
      </c>
      <c r="C19" s="60" t="s">
        <v>135</v>
      </c>
      <c r="D19" s="59" t="s">
        <v>208</v>
      </c>
      <c r="E19" s="59" t="s">
        <v>209</v>
      </c>
      <c r="F19" s="59" t="s">
        <v>199</v>
      </c>
      <c r="G19" s="59" t="s">
        <v>340</v>
      </c>
      <c r="H19" s="59" t="s">
        <v>348</v>
      </c>
      <c r="I19" s="59">
        <v>4</v>
      </c>
      <c r="J19" s="61">
        <v>2.0508101851851854E-2</v>
      </c>
      <c r="K19" s="61">
        <v>1.0358796296296297E-3</v>
      </c>
      <c r="L19" s="61">
        <v>4.9371527777777778E-2</v>
      </c>
      <c r="M19" s="61">
        <v>5.3356481481481484E-4</v>
      </c>
      <c r="N19" s="61">
        <v>2.805671296296296E-2</v>
      </c>
      <c r="O19" s="61">
        <v>9.9508101851851855E-2</v>
      </c>
      <c r="P19" s="59" t="s">
        <v>394</v>
      </c>
      <c r="Q19" s="8">
        <f t="shared" si="0"/>
        <v>866</v>
      </c>
      <c r="S19" s="8"/>
      <c r="T19" s="8"/>
    </row>
    <row r="20" spans="1:20" ht="15" customHeight="1">
      <c r="A20" s="59">
        <v>19</v>
      </c>
      <c r="B20" s="59">
        <v>132</v>
      </c>
      <c r="C20" s="60" t="s">
        <v>135</v>
      </c>
      <c r="D20" s="59" t="s">
        <v>187</v>
      </c>
      <c r="E20" s="59" t="s">
        <v>188</v>
      </c>
      <c r="F20" s="59" t="s">
        <v>189</v>
      </c>
      <c r="G20" s="59" t="s">
        <v>340</v>
      </c>
      <c r="H20" s="59" t="s">
        <v>341</v>
      </c>
      <c r="I20" s="59">
        <v>5</v>
      </c>
      <c r="J20" s="61">
        <v>1.8768518518518518E-2</v>
      </c>
      <c r="K20" s="61">
        <v>1.3449074074074075E-3</v>
      </c>
      <c r="L20" s="61">
        <v>4.9162037037037039E-2</v>
      </c>
      <c r="M20" s="61">
        <v>4.2824074074074075E-4</v>
      </c>
      <c r="N20" s="61">
        <v>2.9849537037037036E-2</v>
      </c>
      <c r="O20" s="61">
        <v>9.9555555555555564E-2</v>
      </c>
      <c r="P20" s="59" t="s">
        <v>292</v>
      </c>
      <c r="Q20" s="8">
        <f t="shared" si="0"/>
        <v>866</v>
      </c>
      <c r="S20" s="8"/>
      <c r="T20" s="8"/>
    </row>
    <row r="21" spans="1:20" ht="15" customHeight="1">
      <c r="A21" s="59">
        <v>20</v>
      </c>
      <c r="B21" s="59">
        <v>34</v>
      </c>
      <c r="C21" s="60" t="s">
        <v>135</v>
      </c>
      <c r="D21" s="59" t="s">
        <v>395</v>
      </c>
      <c r="E21" s="59" t="s">
        <v>396</v>
      </c>
      <c r="F21" s="59" t="s">
        <v>138</v>
      </c>
      <c r="G21" s="59" t="s">
        <v>340</v>
      </c>
      <c r="H21" s="59" t="s">
        <v>357</v>
      </c>
      <c r="I21" s="59">
        <v>3</v>
      </c>
      <c r="J21" s="61">
        <v>2.0039351851851853E-2</v>
      </c>
      <c r="K21" s="61">
        <v>1.1030092592592593E-3</v>
      </c>
      <c r="L21" s="61">
        <v>5.0094907407407407E-2</v>
      </c>
      <c r="M21" s="61">
        <v>4.0856481481481478E-4</v>
      </c>
      <c r="N21" s="61">
        <v>2.8267361111111115E-2</v>
      </c>
      <c r="O21" s="61">
        <v>9.9914351851851851E-2</v>
      </c>
      <c r="P21" s="59" t="s">
        <v>397</v>
      </c>
      <c r="Q21" s="8">
        <f t="shared" si="0"/>
        <v>862</v>
      </c>
      <c r="S21" s="8"/>
      <c r="T21" s="8"/>
    </row>
    <row r="22" spans="1:20" ht="15" customHeight="1">
      <c r="A22" s="59">
        <v>21</v>
      </c>
      <c r="B22" s="59">
        <v>14</v>
      </c>
      <c r="C22" s="60" t="s">
        <v>135</v>
      </c>
      <c r="D22" s="59" t="s">
        <v>175</v>
      </c>
      <c r="E22" s="59" t="s">
        <v>176</v>
      </c>
      <c r="F22" s="59" t="s">
        <v>153</v>
      </c>
      <c r="G22" s="59" t="s">
        <v>340</v>
      </c>
      <c r="H22" s="59" t="s">
        <v>348</v>
      </c>
      <c r="I22" s="59">
        <v>5</v>
      </c>
      <c r="J22" s="61">
        <v>1.6766203703703703E-2</v>
      </c>
      <c r="K22" s="61">
        <v>6.7592592592592596E-4</v>
      </c>
      <c r="L22" s="61">
        <v>5.1467592592592593E-2</v>
      </c>
      <c r="M22" s="61">
        <v>5.9606481481481479E-4</v>
      </c>
      <c r="N22" s="61">
        <v>3.064236111111111E-2</v>
      </c>
      <c r="O22" s="61">
        <v>0.10015162037037037</v>
      </c>
      <c r="P22" s="59" t="s">
        <v>398</v>
      </c>
      <c r="Q22" s="8">
        <f t="shared" si="0"/>
        <v>860</v>
      </c>
      <c r="S22" s="8"/>
      <c r="T22" s="8"/>
    </row>
    <row r="23" spans="1:20" ht="15" customHeight="1">
      <c r="A23" s="59">
        <v>22</v>
      </c>
      <c r="B23" s="59">
        <v>18</v>
      </c>
      <c r="C23" s="60" t="s">
        <v>135</v>
      </c>
      <c r="D23" s="59" t="s">
        <v>399</v>
      </c>
      <c r="E23" s="59" t="s">
        <v>400</v>
      </c>
      <c r="F23" s="59"/>
      <c r="G23" s="59" t="s">
        <v>340</v>
      </c>
      <c r="H23" s="59" t="s">
        <v>352</v>
      </c>
      <c r="I23" s="59">
        <v>3</v>
      </c>
      <c r="J23" s="61">
        <v>2.3042824074074077E-2</v>
      </c>
      <c r="K23" s="61">
        <v>1.6087962962962963E-3</v>
      </c>
      <c r="L23" s="61">
        <v>4.8369212962962968E-2</v>
      </c>
      <c r="M23" s="61">
        <v>6.064814814814815E-4</v>
      </c>
      <c r="N23" s="61">
        <v>2.7056712962962959E-2</v>
      </c>
      <c r="O23" s="61">
        <v>0.10068634259259258</v>
      </c>
      <c r="P23" s="59" t="s">
        <v>401</v>
      </c>
      <c r="Q23" s="8">
        <f t="shared" si="0"/>
        <v>856</v>
      </c>
      <c r="S23" s="8"/>
      <c r="T23" s="8"/>
    </row>
    <row r="24" spans="1:20" ht="15" customHeight="1">
      <c r="A24" s="59">
        <v>23</v>
      </c>
      <c r="B24" s="59">
        <v>4</v>
      </c>
      <c r="C24" s="59"/>
      <c r="D24" s="59" t="s">
        <v>402</v>
      </c>
      <c r="E24" s="59" t="s">
        <v>403</v>
      </c>
      <c r="F24" s="59" t="s">
        <v>199</v>
      </c>
      <c r="G24" s="59" t="s">
        <v>340</v>
      </c>
      <c r="H24" s="59" t="s">
        <v>348</v>
      </c>
      <c r="I24" s="59">
        <v>6</v>
      </c>
      <c r="J24" s="61">
        <v>2.2230324074074076E-2</v>
      </c>
      <c r="K24" s="61">
        <v>1.2766203703703702E-3</v>
      </c>
      <c r="L24" s="61">
        <v>4.9946759259259253E-2</v>
      </c>
      <c r="M24" s="61">
        <v>5.3587962962962964E-4</v>
      </c>
      <c r="N24" s="61">
        <v>2.7442129629629629E-2</v>
      </c>
      <c r="O24" s="61">
        <v>0.10143402777777777</v>
      </c>
      <c r="P24" s="59" t="s">
        <v>404</v>
      </c>
      <c r="Q24" s="8">
        <f t="shared" si="0"/>
        <v>850</v>
      </c>
      <c r="S24" s="8"/>
      <c r="T24" s="8"/>
    </row>
    <row r="25" spans="1:20" ht="15" customHeight="1">
      <c r="A25" s="59">
        <v>24</v>
      </c>
      <c r="B25" s="59">
        <v>107</v>
      </c>
      <c r="C25" s="60" t="s">
        <v>135</v>
      </c>
      <c r="D25" s="59" t="s">
        <v>221</v>
      </c>
      <c r="E25" s="59" t="s">
        <v>222</v>
      </c>
      <c r="F25" s="59" t="s">
        <v>199</v>
      </c>
      <c r="G25" s="59" t="s">
        <v>340</v>
      </c>
      <c r="H25" s="59" t="s">
        <v>348</v>
      </c>
      <c r="I25" s="59">
        <v>7</v>
      </c>
      <c r="J25" s="61">
        <v>2.1615740740740741E-2</v>
      </c>
      <c r="K25" s="61">
        <v>8.6111111111111121E-4</v>
      </c>
      <c r="L25" s="61">
        <v>4.8524305555555557E-2</v>
      </c>
      <c r="M25" s="61">
        <v>3.9236111111111107E-4</v>
      </c>
      <c r="N25" s="61">
        <v>3.0692129629629632E-2</v>
      </c>
      <c r="O25" s="61">
        <v>0.10208912037037036</v>
      </c>
      <c r="P25" s="59" t="s">
        <v>405</v>
      </c>
      <c r="Q25" s="8">
        <f t="shared" si="0"/>
        <v>844</v>
      </c>
      <c r="S25" s="8"/>
      <c r="T25" s="8"/>
    </row>
    <row r="26" spans="1:20" ht="15" customHeight="1">
      <c r="A26" s="59">
        <v>25</v>
      </c>
      <c r="B26" s="59">
        <v>51</v>
      </c>
      <c r="C26" s="60" t="s">
        <v>135</v>
      </c>
      <c r="D26" s="59" t="s">
        <v>406</v>
      </c>
      <c r="E26" s="59" t="s">
        <v>407</v>
      </c>
      <c r="F26" s="59"/>
      <c r="G26" s="59" t="s">
        <v>340</v>
      </c>
      <c r="H26" s="59" t="s">
        <v>352</v>
      </c>
      <c r="I26" s="59">
        <v>4</v>
      </c>
      <c r="J26" s="61">
        <v>2.1372685185185186E-2</v>
      </c>
      <c r="K26" s="61">
        <v>1.6944444444444446E-3</v>
      </c>
      <c r="L26" s="61">
        <v>4.786342592592592E-2</v>
      </c>
      <c r="M26" s="61">
        <v>1.199074074074074E-3</v>
      </c>
      <c r="N26" s="61">
        <v>3.0652777777777779E-2</v>
      </c>
      <c r="O26" s="61">
        <v>0.10278472222222222</v>
      </c>
      <c r="P26" s="59" t="s">
        <v>408</v>
      </c>
      <c r="Q26" s="8">
        <f t="shared" si="0"/>
        <v>838</v>
      </c>
      <c r="S26" s="8"/>
      <c r="T26" s="8"/>
    </row>
    <row r="27" spans="1:20" ht="15" customHeight="1">
      <c r="A27" s="59">
        <v>26</v>
      </c>
      <c r="B27" s="59">
        <v>126</v>
      </c>
      <c r="C27" s="60" t="s">
        <v>135</v>
      </c>
      <c r="D27" s="59" t="s">
        <v>409</v>
      </c>
      <c r="E27" s="59" t="s">
        <v>410</v>
      </c>
      <c r="F27" s="59" t="s">
        <v>138</v>
      </c>
      <c r="G27" s="59" t="s">
        <v>340</v>
      </c>
      <c r="H27" s="59" t="s">
        <v>341</v>
      </c>
      <c r="I27" s="59">
        <v>6</v>
      </c>
      <c r="J27" s="61">
        <v>2.0192129629629629E-2</v>
      </c>
      <c r="K27" s="61">
        <v>1.8020833333333333E-3</v>
      </c>
      <c r="L27" s="61">
        <v>4.8627314814814811E-2</v>
      </c>
      <c r="M27" s="61">
        <v>4.849537037037037E-4</v>
      </c>
      <c r="N27" s="61">
        <v>3.1881944444444442E-2</v>
      </c>
      <c r="O27" s="61">
        <v>0.10298958333333333</v>
      </c>
      <c r="P27" s="59" t="s">
        <v>411</v>
      </c>
      <c r="Q27" s="8">
        <f t="shared" si="0"/>
        <v>837</v>
      </c>
      <c r="S27" s="8"/>
      <c r="T27" s="8"/>
    </row>
    <row r="28" spans="1:20" ht="15" customHeight="1">
      <c r="A28" s="59">
        <v>27</v>
      </c>
      <c r="B28" s="59">
        <v>105</v>
      </c>
      <c r="C28" s="60" t="s">
        <v>135</v>
      </c>
      <c r="D28" s="59" t="s">
        <v>224</v>
      </c>
      <c r="E28" s="59" t="s">
        <v>225</v>
      </c>
      <c r="F28" s="59" t="s">
        <v>138</v>
      </c>
      <c r="G28" s="59" t="s">
        <v>340</v>
      </c>
      <c r="H28" s="59" t="s">
        <v>341</v>
      </c>
      <c r="I28" s="59">
        <v>7</v>
      </c>
      <c r="J28" s="61">
        <v>2.1064814814814814E-2</v>
      </c>
      <c r="K28" s="61">
        <v>1.2731481481481483E-3</v>
      </c>
      <c r="L28" s="61">
        <v>5.0763888888888886E-2</v>
      </c>
      <c r="M28" s="61">
        <v>7.8125000000000004E-4</v>
      </c>
      <c r="N28" s="61">
        <v>2.9166666666666667E-2</v>
      </c>
      <c r="O28" s="61">
        <v>0.10305208333333334</v>
      </c>
      <c r="P28" s="59" t="s">
        <v>412</v>
      </c>
      <c r="Q28" s="8">
        <f t="shared" si="0"/>
        <v>836</v>
      </c>
      <c r="S28" s="8"/>
      <c r="T28" s="8"/>
    </row>
    <row r="29" spans="1:20" ht="15" customHeight="1">
      <c r="A29" s="59">
        <v>28</v>
      </c>
      <c r="B29" s="59">
        <v>25</v>
      </c>
      <c r="C29" s="60" t="s">
        <v>135</v>
      </c>
      <c r="D29" s="59" t="s">
        <v>413</v>
      </c>
      <c r="E29" s="59" t="s">
        <v>414</v>
      </c>
      <c r="F29" s="59" t="s">
        <v>199</v>
      </c>
      <c r="G29" s="59" t="s">
        <v>340</v>
      </c>
      <c r="H29" s="59" t="s">
        <v>344</v>
      </c>
      <c r="I29" s="59">
        <v>7</v>
      </c>
      <c r="J29" s="61">
        <v>2.0265046296296298E-2</v>
      </c>
      <c r="K29" s="61">
        <v>1.1435185185185185E-3</v>
      </c>
      <c r="L29" s="61">
        <v>5.1826388888888894E-2</v>
      </c>
      <c r="M29" s="61">
        <v>4.4675925925925927E-4</v>
      </c>
      <c r="N29" s="61">
        <v>2.9944444444444444E-2</v>
      </c>
      <c r="O29" s="61">
        <v>0.10362731481481481</v>
      </c>
      <c r="P29" s="59" t="s">
        <v>415</v>
      </c>
      <c r="Q29" s="8">
        <f t="shared" si="0"/>
        <v>832</v>
      </c>
      <c r="S29" s="8"/>
      <c r="T29" s="8"/>
    </row>
    <row r="30" spans="1:20" ht="15" customHeight="1">
      <c r="A30" s="59">
        <v>29</v>
      </c>
      <c r="B30" s="59">
        <v>118</v>
      </c>
      <c r="C30" s="60" t="s">
        <v>416</v>
      </c>
      <c r="D30" s="59" t="s">
        <v>417</v>
      </c>
      <c r="E30" s="59" t="s">
        <v>418</v>
      </c>
      <c r="F30" s="59"/>
      <c r="G30" s="59" t="s">
        <v>340</v>
      </c>
      <c r="H30" s="59" t="s">
        <v>344</v>
      </c>
      <c r="I30" s="59">
        <v>8</v>
      </c>
      <c r="J30" s="61">
        <v>2.2283564814814815E-2</v>
      </c>
      <c r="K30" s="61">
        <v>2.6053240740740741E-3</v>
      </c>
      <c r="L30" s="61">
        <v>5.1491898148148141E-2</v>
      </c>
      <c r="M30" s="61">
        <v>7.6620370370370373E-4</v>
      </c>
      <c r="N30" s="61">
        <v>2.6677083333333334E-2</v>
      </c>
      <c r="O30" s="61">
        <v>0.1038275462962963</v>
      </c>
      <c r="P30" s="59" t="s">
        <v>419</v>
      </c>
      <c r="Q30" s="8">
        <f t="shared" si="0"/>
        <v>830</v>
      </c>
      <c r="S30" s="8"/>
      <c r="T30" s="8"/>
    </row>
    <row r="31" spans="1:20" ht="15" customHeight="1">
      <c r="A31" s="59">
        <v>30</v>
      </c>
      <c r="B31" s="59">
        <v>64</v>
      </c>
      <c r="C31" s="60" t="s">
        <v>135</v>
      </c>
      <c r="D31" s="59" t="s">
        <v>240</v>
      </c>
      <c r="E31" s="59" t="s">
        <v>241</v>
      </c>
      <c r="F31" s="59" t="s">
        <v>138</v>
      </c>
      <c r="G31" s="59" t="s">
        <v>340</v>
      </c>
      <c r="H31" s="59" t="s">
        <v>420</v>
      </c>
      <c r="I31" s="59">
        <v>1</v>
      </c>
      <c r="J31" s="61">
        <v>1.8327546296296297E-2</v>
      </c>
      <c r="K31" s="61">
        <v>1.9965277777777776E-3</v>
      </c>
      <c r="L31" s="61">
        <v>5.1115740740740739E-2</v>
      </c>
      <c r="M31" s="61">
        <v>5.7523148148148147E-4</v>
      </c>
      <c r="N31" s="61">
        <v>3.2114583333333328E-2</v>
      </c>
      <c r="O31" s="61">
        <v>0.10413194444444444</v>
      </c>
      <c r="P31" s="59" t="s">
        <v>421</v>
      </c>
      <c r="Q31" s="8">
        <f t="shared" si="0"/>
        <v>828</v>
      </c>
      <c r="S31" s="8"/>
      <c r="T31" s="8"/>
    </row>
    <row r="32" spans="1:20" ht="15" customHeight="1">
      <c r="A32" s="59">
        <v>31</v>
      </c>
      <c r="B32" s="59">
        <v>115</v>
      </c>
      <c r="C32" s="60" t="s">
        <v>135</v>
      </c>
      <c r="D32" s="59" t="s">
        <v>422</v>
      </c>
      <c r="E32" s="59" t="s">
        <v>423</v>
      </c>
      <c r="F32" s="59"/>
      <c r="G32" s="59" t="s">
        <v>340</v>
      </c>
      <c r="H32" s="59" t="s">
        <v>357</v>
      </c>
      <c r="I32" s="59">
        <v>4</v>
      </c>
      <c r="J32" s="61">
        <v>2.1074074074074075E-2</v>
      </c>
      <c r="K32" s="61">
        <v>1.425925925925926E-3</v>
      </c>
      <c r="L32" s="61">
        <v>5.1083333333333335E-2</v>
      </c>
      <c r="M32" s="61">
        <v>7.349537037037037E-4</v>
      </c>
      <c r="N32" s="61">
        <v>2.9932870370370367E-2</v>
      </c>
      <c r="O32" s="61">
        <v>0.10425347222222223</v>
      </c>
      <c r="P32" s="59" t="s">
        <v>424</v>
      </c>
      <c r="Q32" s="8">
        <f t="shared" si="0"/>
        <v>827</v>
      </c>
      <c r="S32" s="8"/>
      <c r="T32" s="8"/>
    </row>
    <row r="33" spans="1:20" ht="15" customHeight="1">
      <c r="A33" s="59">
        <v>32</v>
      </c>
      <c r="B33" s="59">
        <v>9</v>
      </c>
      <c r="C33" s="60" t="s">
        <v>135</v>
      </c>
      <c r="D33" s="59" t="s">
        <v>425</v>
      </c>
      <c r="E33" s="59" t="s">
        <v>426</v>
      </c>
      <c r="F33" s="59"/>
      <c r="G33" s="59" t="s">
        <v>340</v>
      </c>
      <c r="H33" s="59" t="s">
        <v>348</v>
      </c>
      <c r="I33" s="59">
        <v>8</v>
      </c>
      <c r="J33" s="61">
        <v>2.3583333333333331E-2</v>
      </c>
      <c r="K33" s="61">
        <v>1.2812500000000001E-3</v>
      </c>
      <c r="L33" s="61">
        <v>5.072453703703704E-2</v>
      </c>
      <c r="M33" s="61">
        <v>9.3981481481481487E-4</v>
      </c>
      <c r="N33" s="61">
        <v>2.7793981481481482E-2</v>
      </c>
      <c r="O33" s="61">
        <v>0.10432407407407408</v>
      </c>
      <c r="P33" s="59" t="s">
        <v>427</v>
      </c>
      <c r="Q33" s="8">
        <f t="shared" si="0"/>
        <v>826</v>
      </c>
      <c r="S33" s="8"/>
      <c r="T33" s="8"/>
    </row>
    <row r="34" spans="1:20" ht="15" customHeight="1">
      <c r="A34" s="59">
        <v>33</v>
      </c>
      <c r="B34" s="59">
        <v>120</v>
      </c>
      <c r="C34" s="60" t="s">
        <v>135</v>
      </c>
      <c r="D34" s="59" t="s">
        <v>214</v>
      </c>
      <c r="E34" s="59" t="s">
        <v>215</v>
      </c>
      <c r="F34" s="59"/>
      <c r="G34" s="59" t="s">
        <v>340</v>
      </c>
      <c r="H34" s="59" t="s">
        <v>357</v>
      </c>
      <c r="I34" s="59">
        <v>5</v>
      </c>
      <c r="J34" s="61">
        <v>1.959375E-2</v>
      </c>
      <c r="K34" s="61">
        <v>1.8888888888888887E-3</v>
      </c>
      <c r="L34" s="61">
        <v>5.2084490740740744E-2</v>
      </c>
      <c r="M34" s="61">
        <v>6.6782407407407415E-4</v>
      </c>
      <c r="N34" s="61">
        <v>3.0216435185185183E-2</v>
      </c>
      <c r="O34" s="61">
        <v>0.1044525462962963</v>
      </c>
      <c r="P34" s="59" t="s">
        <v>428</v>
      </c>
      <c r="Q34" s="8">
        <f t="shared" si="0"/>
        <v>825</v>
      </c>
      <c r="S34" s="8"/>
      <c r="T34" s="8"/>
    </row>
    <row r="35" spans="1:20" ht="15" customHeight="1">
      <c r="A35" s="59">
        <v>34</v>
      </c>
      <c r="B35" s="59">
        <v>110</v>
      </c>
      <c r="C35" s="60" t="s">
        <v>135</v>
      </c>
      <c r="D35" s="59" t="s">
        <v>429</v>
      </c>
      <c r="E35" s="59" t="s">
        <v>430</v>
      </c>
      <c r="F35" s="59" t="s">
        <v>189</v>
      </c>
      <c r="G35" s="59" t="s">
        <v>340</v>
      </c>
      <c r="H35" s="59" t="s">
        <v>348</v>
      </c>
      <c r="I35" s="59">
        <v>9</v>
      </c>
      <c r="J35" s="61">
        <v>2.186226851851852E-2</v>
      </c>
      <c r="K35" s="61">
        <v>1.4166666666666668E-3</v>
      </c>
      <c r="L35" s="61">
        <v>5.0320601851851852E-2</v>
      </c>
      <c r="M35" s="61">
        <v>1.1956018518518518E-3</v>
      </c>
      <c r="N35" s="61">
        <v>3.0354166666666665E-2</v>
      </c>
      <c r="O35" s="61">
        <v>0.10515046296296296</v>
      </c>
      <c r="P35" s="59" t="s">
        <v>431</v>
      </c>
      <c r="Q35" s="8">
        <f t="shared" si="0"/>
        <v>820</v>
      </c>
      <c r="S35" s="8"/>
      <c r="T35" s="8"/>
    </row>
    <row r="36" spans="1:20" ht="15" customHeight="1">
      <c r="A36" s="59">
        <v>35</v>
      </c>
      <c r="B36" s="59">
        <v>70</v>
      </c>
      <c r="C36" s="60" t="s">
        <v>135</v>
      </c>
      <c r="D36" s="59" t="s">
        <v>432</v>
      </c>
      <c r="E36" s="59" t="s">
        <v>433</v>
      </c>
      <c r="F36" s="59" t="s">
        <v>434</v>
      </c>
      <c r="G36" s="59" t="s">
        <v>340</v>
      </c>
      <c r="H36" s="59" t="s">
        <v>352</v>
      </c>
      <c r="I36" s="59">
        <v>5</v>
      </c>
      <c r="J36" s="61">
        <v>2.3278935185185184E-2</v>
      </c>
      <c r="K36" s="61">
        <v>7.9050925925925925E-4</v>
      </c>
      <c r="L36" s="61">
        <v>5.2381944444444446E-2</v>
      </c>
      <c r="M36" s="61">
        <v>9.780092592592592E-4</v>
      </c>
      <c r="N36" s="61">
        <v>2.8135416666666666E-2</v>
      </c>
      <c r="O36" s="61">
        <v>0.10556828703703704</v>
      </c>
      <c r="P36" s="59" t="s">
        <v>435</v>
      </c>
      <c r="Q36" s="8">
        <f t="shared" si="0"/>
        <v>816</v>
      </c>
    </row>
    <row r="37" spans="1:20" ht="15" customHeight="1">
      <c r="A37" s="59">
        <v>36</v>
      </c>
      <c r="B37" s="59">
        <v>32</v>
      </c>
      <c r="C37" s="60" t="s">
        <v>135</v>
      </c>
      <c r="D37" s="59" t="s">
        <v>436</v>
      </c>
      <c r="E37" s="59" t="s">
        <v>437</v>
      </c>
      <c r="F37" s="59" t="s">
        <v>173</v>
      </c>
      <c r="G37" s="59" t="s">
        <v>340</v>
      </c>
      <c r="H37" s="59" t="s">
        <v>341</v>
      </c>
      <c r="I37" s="59">
        <v>8</v>
      </c>
      <c r="J37" s="61">
        <v>2.1195601851851851E-2</v>
      </c>
      <c r="K37" s="61">
        <v>1.3506944444444445E-3</v>
      </c>
      <c r="L37" s="61">
        <v>5.1041666666666666E-2</v>
      </c>
      <c r="M37" s="61">
        <v>3.4143518518518518E-4</v>
      </c>
      <c r="N37" s="61">
        <v>3.1726851851851846E-2</v>
      </c>
      <c r="O37" s="61">
        <v>0.10565740740740739</v>
      </c>
      <c r="P37" s="59" t="s">
        <v>438</v>
      </c>
      <c r="Q37" s="8">
        <f t="shared" si="0"/>
        <v>816</v>
      </c>
    </row>
    <row r="38" spans="1:20" ht="15" customHeight="1">
      <c r="A38" s="59">
        <v>37</v>
      </c>
      <c r="B38" s="59">
        <v>101</v>
      </c>
      <c r="C38" s="60" t="s">
        <v>135</v>
      </c>
      <c r="D38" s="59" t="s">
        <v>439</v>
      </c>
      <c r="E38" s="59" t="s">
        <v>440</v>
      </c>
      <c r="F38" s="59" t="s">
        <v>367</v>
      </c>
      <c r="G38" s="59" t="s">
        <v>340</v>
      </c>
      <c r="H38" s="59" t="s">
        <v>357</v>
      </c>
      <c r="I38" s="59">
        <v>6</v>
      </c>
      <c r="J38" s="61">
        <v>2.1678240740740741E-2</v>
      </c>
      <c r="K38" s="61">
        <v>1.8449074074074075E-3</v>
      </c>
      <c r="L38" s="61">
        <v>5.2461805555555553E-2</v>
      </c>
      <c r="M38" s="61">
        <v>1.1041666666666667E-3</v>
      </c>
      <c r="N38" s="61">
        <v>2.8745370370370369E-2</v>
      </c>
      <c r="O38" s="61">
        <v>0.10583680555555555</v>
      </c>
      <c r="P38" s="59" t="s">
        <v>441</v>
      </c>
      <c r="Q38" s="8">
        <f t="shared" si="0"/>
        <v>814</v>
      </c>
    </row>
    <row r="39" spans="1:20" ht="15" customHeight="1">
      <c r="A39" s="59">
        <v>38</v>
      </c>
      <c r="B39" s="59">
        <v>52</v>
      </c>
      <c r="C39" s="60" t="s">
        <v>135</v>
      </c>
      <c r="D39" s="59" t="s">
        <v>442</v>
      </c>
      <c r="E39" s="59" t="s">
        <v>443</v>
      </c>
      <c r="F39" s="59"/>
      <c r="G39" s="59" t="s">
        <v>340</v>
      </c>
      <c r="H39" s="59" t="s">
        <v>352</v>
      </c>
      <c r="I39" s="59">
        <v>6</v>
      </c>
      <c r="J39" s="61">
        <v>2.153240740740741E-2</v>
      </c>
      <c r="K39" s="61">
        <v>1.8275462962962963E-3</v>
      </c>
      <c r="L39" s="61">
        <v>5.1444444444444445E-2</v>
      </c>
      <c r="M39" s="61">
        <v>1.244212962962963E-3</v>
      </c>
      <c r="N39" s="61">
        <v>3.0054398148148146E-2</v>
      </c>
      <c r="O39" s="61">
        <v>0.10610416666666667</v>
      </c>
      <c r="P39" s="59" t="s">
        <v>444</v>
      </c>
      <c r="Q39" s="8">
        <f t="shared" si="0"/>
        <v>812</v>
      </c>
    </row>
    <row r="40" spans="1:20" ht="15" customHeight="1">
      <c r="A40" s="59">
        <v>39</v>
      </c>
      <c r="B40" s="59">
        <v>26</v>
      </c>
      <c r="C40" s="60" t="s">
        <v>135</v>
      </c>
      <c r="D40" s="59" t="s">
        <v>445</v>
      </c>
      <c r="E40" s="59" t="s">
        <v>446</v>
      </c>
      <c r="F40" s="59" t="s">
        <v>189</v>
      </c>
      <c r="G40" s="59" t="s">
        <v>340</v>
      </c>
      <c r="H40" s="59" t="s">
        <v>352</v>
      </c>
      <c r="I40" s="59">
        <v>7</v>
      </c>
      <c r="J40" s="61">
        <v>2.0493055555555556E-2</v>
      </c>
      <c r="K40" s="61">
        <v>1.3715277777777777E-3</v>
      </c>
      <c r="L40" s="61">
        <v>4.9414351851851848E-2</v>
      </c>
      <c r="M40" s="61">
        <v>6.6782407407407415E-4</v>
      </c>
      <c r="N40" s="61">
        <v>3.4305555555555554E-2</v>
      </c>
      <c r="O40" s="61">
        <v>0.10625462962962963</v>
      </c>
      <c r="P40" s="59" t="s">
        <v>447</v>
      </c>
      <c r="Q40" s="8">
        <f t="shared" si="0"/>
        <v>811</v>
      </c>
    </row>
    <row r="41" spans="1:20" ht="15" customHeight="1">
      <c r="A41" s="59">
        <v>40</v>
      </c>
      <c r="B41" s="59">
        <v>117</v>
      </c>
      <c r="C41" s="60" t="s">
        <v>135</v>
      </c>
      <c r="D41" s="59" t="s">
        <v>236</v>
      </c>
      <c r="E41" s="59" t="s">
        <v>237</v>
      </c>
      <c r="F41" s="59"/>
      <c r="G41" s="59" t="s">
        <v>340</v>
      </c>
      <c r="H41" s="59" t="s">
        <v>448</v>
      </c>
      <c r="I41" s="59">
        <v>1</v>
      </c>
      <c r="J41" s="61">
        <v>2.1499999999999998E-2</v>
      </c>
      <c r="K41" s="61">
        <v>1.6284722222222221E-3</v>
      </c>
      <c r="L41" s="61">
        <v>5.0562500000000003E-2</v>
      </c>
      <c r="M41" s="61">
        <v>1.1539351851851851E-3</v>
      </c>
      <c r="N41" s="61">
        <v>3.2569444444444443E-2</v>
      </c>
      <c r="O41" s="61">
        <v>0.10741666666666666</v>
      </c>
      <c r="P41" s="59" t="s">
        <v>449</v>
      </c>
      <c r="Q41" s="8">
        <f t="shared" si="0"/>
        <v>802</v>
      </c>
    </row>
    <row r="42" spans="1:20" ht="15" customHeight="1">
      <c r="A42" s="59">
        <v>41</v>
      </c>
      <c r="B42" s="59">
        <v>349</v>
      </c>
      <c r="C42" s="60" t="s">
        <v>135</v>
      </c>
      <c r="D42" s="59" t="s">
        <v>450</v>
      </c>
      <c r="E42" s="59" t="s">
        <v>451</v>
      </c>
      <c r="F42" s="59"/>
      <c r="G42" s="59" t="s">
        <v>340</v>
      </c>
      <c r="H42" s="59" t="s">
        <v>344</v>
      </c>
      <c r="I42" s="59">
        <v>9</v>
      </c>
      <c r="J42" s="61">
        <v>2.2431712962962962E-2</v>
      </c>
      <c r="K42" s="61">
        <v>1.2627314814814814E-3</v>
      </c>
      <c r="L42" s="61">
        <v>5.0736111111111114E-2</v>
      </c>
      <c r="M42" s="61">
        <v>6.3888888888888893E-4</v>
      </c>
      <c r="N42" s="61">
        <v>3.2620370370370369E-2</v>
      </c>
      <c r="O42" s="61">
        <v>0.10769097222222222</v>
      </c>
      <c r="P42" s="59" t="s">
        <v>452</v>
      </c>
      <c r="Q42" s="8">
        <f t="shared" si="0"/>
        <v>800</v>
      </c>
    </row>
    <row r="43" spans="1:20" ht="15" customHeight="1">
      <c r="A43" s="59">
        <v>42</v>
      </c>
      <c r="B43" s="59">
        <v>86</v>
      </c>
      <c r="C43" s="60" t="s">
        <v>135</v>
      </c>
      <c r="D43" s="59" t="s">
        <v>233</v>
      </c>
      <c r="E43" s="59" t="s">
        <v>234</v>
      </c>
      <c r="F43" s="59" t="s">
        <v>199</v>
      </c>
      <c r="G43" s="59" t="s">
        <v>340</v>
      </c>
      <c r="H43" s="59" t="s">
        <v>352</v>
      </c>
      <c r="I43" s="59">
        <v>8</v>
      </c>
      <c r="J43" s="61">
        <v>2.1122685185185185E-2</v>
      </c>
      <c r="K43" s="61">
        <v>1.6018518518518519E-3</v>
      </c>
      <c r="L43" s="61">
        <v>5.2481481481481476E-2</v>
      </c>
      <c r="M43" s="61">
        <v>6.6087962962962964E-4</v>
      </c>
      <c r="N43" s="61">
        <v>3.1972222222222221E-2</v>
      </c>
      <c r="O43" s="61">
        <v>0.10784143518518519</v>
      </c>
      <c r="P43" s="59" t="s">
        <v>453</v>
      </c>
      <c r="Q43" s="8">
        <f t="shared" si="0"/>
        <v>799</v>
      </c>
    </row>
    <row r="44" spans="1:20" ht="15" customHeight="1">
      <c r="A44" s="59">
        <v>43</v>
      </c>
      <c r="B44" s="59">
        <v>121</v>
      </c>
      <c r="C44" s="60" t="s">
        <v>135</v>
      </c>
      <c r="D44" s="59" t="s">
        <v>454</v>
      </c>
      <c r="E44" s="59" t="s">
        <v>455</v>
      </c>
      <c r="F44" s="59"/>
      <c r="G44" s="59" t="s">
        <v>340</v>
      </c>
      <c r="H44" s="59" t="s">
        <v>344</v>
      </c>
      <c r="I44" s="59">
        <v>10</v>
      </c>
      <c r="J44" s="61">
        <v>2.1962962962962962E-2</v>
      </c>
      <c r="K44" s="61">
        <v>1.431712962962963E-3</v>
      </c>
      <c r="L44" s="61">
        <v>5.3462962962962962E-2</v>
      </c>
      <c r="M44" s="61">
        <v>6.6666666666666664E-4</v>
      </c>
      <c r="N44" s="61">
        <v>3.042361111111111E-2</v>
      </c>
      <c r="O44" s="61">
        <v>0.10795023148148147</v>
      </c>
      <c r="P44" s="59" t="s">
        <v>456</v>
      </c>
      <c r="Q44" s="8">
        <f t="shared" si="0"/>
        <v>798</v>
      </c>
    </row>
    <row r="45" spans="1:20" ht="15" customHeight="1">
      <c r="A45" s="59">
        <v>44</v>
      </c>
      <c r="B45" s="59">
        <v>116</v>
      </c>
      <c r="C45" s="60" t="s">
        <v>135</v>
      </c>
      <c r="D45" s="59" t="s">
        <v>457</v>
      </c>
      <c r="E45" s="59" t="s">
        <v>458</v>
      </c>
      <c r="F45" s="59"/>
      <c r="G45" s="59" t="s">
        <v>340</v>
      </c>
      <c r="H45" s="59" t="s">
        <v>341</v>
      </c>
      <c r="I45" s="59">
        <v>9</v>
      </c>
      <c r="J45" s="61">
        <v>2.0956018518518516E-2</v>
      </c>
      <c r="K45" s="61">
        <v>1.2870370370370371E-3</v>
      </c>
      <c r="L45" s="61">
        <v>5.1534722222222225E-2</v>
      </c>
      <c r="M45" s="61">
        <v>9.849537037037036E-4</v>
      </c>
      <c r="N45" s="61">
        <v>3.3332175925925925E-2</v>
      </c>
      <c r="O45" s="61">
        <v>0.10809722222222222</v>
      </c>
      <c r="P45" s="59" t="s">
        <v>459</v>
      </c>
      <c r="Q45" s="8">
        <f t="shared" si="0"/>
        <v>797</v>
      </c>
    </row>
    <row r="46" spans="1:20" ht="15" customHeight="1">
      <c r="A46" s="59">
        <v>45</v>
      </c>
      <c r="B46" s="59">
        <v>102</v>
      </c>
      <c r="C46" s="60" t="s">
        <v>135</v>
      </c>
      <c r="D46" s="59" t="s">
        <v>247</v>
      </c>
      <c r="E46" s="59" t="s">
        <v>248</v>
      </c>
      <c r="F46" s="59" t="s">
        <v>199</v>
      </c>
      <c r="G46" s="59" t="s">
        <v>340</v>
      </c>
      <c r="H46" s="59" t="s">
        <v>344</v>
      </c>
      <c r="I46" s="59">
        <v>11</v>
      </c>
      <c r="J46" s="61">
        <v>2.0731481481481483E-2</v>
      </c>
      <c r="K46" s="61">
        <v>1.2858796296296297E-3</v>
      </c>
      <c r="L46" s="61">
        <v>5.1928240740740747E-2</v>
      </c>
      <c r="M46" s="61">
        <v>7.361111111111111E-4</v>
      </c>
      <c r="N46" s="61">
        <v>3.4284722222222223E-2</v>
      </c>
      <c r="O46" s="61">
        <v>0.10896874999999999</v>
      </c>
      <c r="P46" s="59" t="s">
        <v>460</v>
      </c>
      <c r="Q46" s="8">
        <f t="shared" si="0"/>
        <v>791</v>
      </c>
    </row>
    <row r="47" spans="1:20" ht="15" customHeight="1">
      <c r="A47" s="59">
        <v>46</v>
      </c>
      <c r="B47" s="59">
        <v>42</v>
      </c>
      <c r="C47" s="59"/>
      <c r="D47" s="59" t="s">
        <v>461</v>
      </c>
      <c r="E47" s="59" t="s">
        <v>462</v>
      </c>
      <c r="F47" s="59"/>
      <c r="G47" s="59" t="s">
        <v>340</v>
      </c>
      <c r="H47" s="59" t="s">
        <v>344</v>
      </c>
      <c r="I47" s="59">
        <v>12</v>
      </c>
      <c r="J47" s="61">
        <v>2.2005787037037036E-2</v>
      </c>
      <c r="K47" s="61">
        <v>1.8391203703703705E-3</v>
      </c>
      <c r="L47" s="61">
        <v>5.4550925925925926E-2</v>
      </c>
      <c r="M47" s="61">
        <v>6.3888888888888893E-4</v>
      </c>
      <c r="N47" s="61">
        <v>2.9949074074074072E-2</v>
      </c>
      <c r="O47" s="61">
        <v>0.10898726851851852</v>
      </c>
      <c r="P47" s="59" t="s">
        <v>463</v>
      </c>
      <c r="Q47" s="8">
        <f t="shared" si="0"/>
        <v>791</v>
      </c>
    </row>
    <row r="48" spans="1:20" ht="15" customHeight="1">
      <c r="A48" s="59">
        <v>47</v>
      </c>
      <c r="B48" s="59">
        <v>17</v>
      </c>
      <c r="C48" s="60" t="s">
        <v>135</v>
      </c>
      <c r="D48" s="59" t="s">
        <v>464</v>
      </c>
      <c r="E48" s="59" t="s">
        <v>465</v>
      </c>
      <c r="F48" s="59"/>
      <c r="G48" s="59" t="s">
        <v>340</v>
      </c>
      <c r="H48" s="59" t="s">
        <v>352</v>
      </c>
      <c r="I48" s="59">
        <v>9</v>
      </c>
      <c r="J48" s="61">
        <v>1.9901620370370372E-2</v>
      </c>
      <c r="K48" s="61">
        <v>2.0497685185185185E-3</v>
      </c>
      <c r="L48" s="61">
        <v>5.7034722222222223E-2</v>
      </c>
      <c r="M48" s="61">
        <v>1.4907407407407408E-3</v>
      </c>
      <c r="N48" s="61">
        <v>2.861574074074074E-2</v>
      </c>
      <c r="O48" s="61">
        <v>0.10909606481481481</v>
      </c>
      <c r="P48" s="59" t="s">
        <v>466</v>
      </c>
      <c r="Q48" s="8">
        <f t="shared" si="0"/>
        <v>790</v>
      </c>
    </row>
    <row r="49" spans="1:17" ht="15" customHeight="1">
      <c r="A49" s="59">
        <v>48</v>
      </c>
      <c r="B49" s="59">
        <v>125</v>
      </c>
      <c r="C49" s="60" t="s">
        <v>135</v>
      </c>
      <c r="D49" s="59" t="s">
        <v>467</v>
      </c>
      <c r="E49" s="59" t="s">
        <v>468</v>
      </c>
      <c r="F49" s="59" t="s">
        <v>199</v>
      </c>
      <c r="G49" s="59" t="s">
        <v>340</v>
      </c>
      <c r="H49" s="59" t="s">
        <v>344</v>
      </c>
      <c r="I49" s="59">
        <v>13</v>
      </c>
      <c r="J49" s="61">
        <v>1.7430555555555557E-2</v>
      </c>
      <c r="K49" s="61">
        <v>1.1631944444444443E-3</v>
      </c>
      <c r="L49" s="61">
        <v>5.4622685185185184E-2</v>
      </c>
      <c r="M49" s="61">
        <v>6.7708333333333336E-4</v>
      </c>
      <c r="N49" s="61">
        <v>3.5244212962962963E-2</v>
      </c>
      <c r="O49" s="61">
        <v>0.10914004629629631</v>
      </c>
      <c r="P49" s="59" t="s">
        <v>469</v>
      </c>
      <c r="Q49" s="8">
        <f t="shared" si="0"/>
        <v>790</v>
      </c>
    </row>
    <row r="50" spans="1:17" ht="15" customHeight="1">
      <c r="A50" s="59">
        <v>49</v>
      </c>
      <c r="B50" s="59">
        <v>50</v>
      </c>
      <c r="C50" s="60" t="s">
        <v>135</v>
      </c>
      <c r="D50" s="59" t="s">
        <v>470</v>
      </c>
      <c r="E50" s="59" t="s">
        <v>471</v>
      </c>
      <c r="F50" s="59" t="s">
        <v>189</v>
      </c>
      <c r="G50" s="59" t="s">
        <v>340</v>
      </c>
      <c r="H50" s="59" t="s">
        <v>352</v>
      </c>
      <c r="I50" s="59">
        <v>10</v>
      </c>
      <c r="J50" s="61">
        <v>1.7991898148148149E-2</v>
      </c>
      <c r="K50" s="61">
        <v>1.6550925925925926E-3</v>
      </c>
      <c r="L50" s="61">
        <v>5.4297453703703709E-2</v>
      </c>
      <c r="M50" s="61">
        <v>8.8541666666666662E-4</v>
      </c>
      <c r="N50" s="61">
        <v>3.4723379629629632E-2</v>
      </c>
      <c r="O50" s="61">
        <v>0.10955555555555556</v>
      </c>
      <c r="P50" s="59" t="s">
        <v>472</v>
      </c>
      <c r="Q50" s="8">
        <f t="shared" si="0"/>
        <v>787</v>
      </c>
    </row>
    <row r="51" spans="1:17" ht="15" customHeight="1">
      <c r="A51" s="59">
        <v>50</v>
      </c>
      <c r="B51" s="59">
        <v>1</v>
      </c>
      <c r="C51" s="60" t="s">
        <v>135</v>
      </c>
      <c r="D51" s="59" t="s">
        <v>261</v>
      </c>
      <c r="E51" s="59" t="s">
        <v>262</v>
      </c>
      <c r="F51" s="59" t="s">
        <v>199</v>
      </c>
      <c r="G51" s="59" t="s">
        <v>340</v>
      </c>
      <c r="H51" s="59" t="s">
        <v>357</v>
      </c>
      <c r="I51" s="59">
        <v>7</v>
      </c>
      <c r="J51" s="61">
        <v>1.9539351851851853E-2</v>
      </c>
      <c r="K51" s="61">
        <v>1.980324074074074E-3</v>
      </c>
      <c r="L51" s="61">
        <v>5.5775462962962964E-2</v>
      </c>
      <c r="M51" s="61">
        <v>1.2592592592592592E-3</v>
      </c>
      <c r="N51" s="61">
        <v>3.1034722222222224E-2</v>
      </c>
      <c r="O51" s="61">
        <v>0.10959027777777779</v>
      </c>
      <c r="P51" s="59" t="s">
        <v>473</v>
      </c>
      <c r="Q51" s="8">
        <f t="shared" si="0"/>
        <v>786</v>
      </c>
    </row>
    <row r="52" spans="1:17" ht="15" customHeight="1">
      <c r="A52" s="59">
        <v>51</v>
      </c>
      <c r="B52" s="59">
        <v>103</v>
      </c>
      <c r="C52" s="60" t="s">
        <v>135</v>
      </c>
      <c r="D52" s="59" t="s">
        <v>474</v>
      </c>
      <c r="E52" s="59" t="s">
        <v>475</v>
      </c>
      <c r="F52" s="59" t="s">
        <v>367</v>
      </c>
      <c r="G52" s="59" t="s">
        <v>340</v>
      </c>
      <c r="H52" s="59" t="s">
        <v>344</v>
      </c>
      <c r="I52" s="59">
        <v>14</v>
      </c>
      <c r="J52" s="61">
        <v>2.0532407407407409E-2</v>
      </c>
      <c r="K52" s="61">
        <v>1.5740740740740741E-3</v>
      </c>
      <c r="L52" s="61">
        <v>5.5625000000000001E-2</v>
      </c>
      <c r="M52" s="61">
        <v>7.5115740740740752E-4</v>
      </c>
      <c r="N52" s="61">
        <v>3.151967592592593E-2</v>
      </c>
      <c r="O52" s="61">
        <v>0.11000347222222222</v>
      </c>
      <c r="P52" s="59" t="s">
        <v>476</v>
      </c>
      <c r="Q52" s="8">
        <f t="shared" si="0"/>
        <v>783</v>
      </c>
    </row>
    <row r="53" spans="1:17" ht="15" customHeight="1">
      <c r="A53" s="59">
        <v>52</v>
      </c>
      <c r="B53" s="59">
        <v>12</v>
      </c>
      <c r="C53" s="60" t="s">
        <v>135</v>
      </c>
      <c r="D53" s="59" t="s">
        <v>477</v>
      </c>
      <c r="E53" s="59" t="s">
        <v>478</v>
      </c>
      <c r="F53" s="59"/>
      <c r="G53" s="59" t="s">
        <v>340</v>
      </c>
      <c r="H53" s="59" t="s">
        <v>357</v>
      </c>
      <c r="I53" s="59">
        <v>8</v>
      </c>
      <c r="J53" s="61">
        <v>2.3186342592592592E-2</v>
      </c>
      <c r="K53" s="61">
        <v>1.3703703703703705E-3</v>
      </c>
      <c r="L53" s="61">
        <v>5.060763888888889E-2</v>
      </c>
      <c r="M53" s="61">
        <v>1.1446759259259259E-3</v>
      </c>
      <c r="N53" s="61">
        <v>3.3792824074074072E-2</v>
      </c>
      <c r="O53" s="61">
        <v>0.11010416666666667</v>
      </c>
      <c r="P53" s="59" t="s">
        <v>479</v>
      </c>
      <c r="Q53" s="8">
        <f t="shared" si="0"/>
        <v>783</v>
      </c>
    </row>
    <row r="54" spans="1:17" ht="15" customHeight="1">
      <c r="A54" s="59">
        <v>53</v>
      </c>
      <c r="B54" s="59">
        <v>119</v>
      </c>
      <c r="C54" s="60" t="s">
        <v>135</v>
      </c>
      <c r="D54" s="59" t="s">
        <v>480</v>
      </c>
      <c r="E54" s="59" t="s">
        <v>481</v>
      </c>
      <c r="F54" s="59" t="s">
        <v>367</v>
      </c>
      <c r="G54" s="59" t="s">
        <v>340</v>
      </c>
      <c r="H54" s="59" t="s">
        <v>341</v>
      </c>
      <c r="I54" s="59">
        <v>10</v>
      </c>
      <c r="J54" s="61">
        <v>2.3811342592592596E-2</v>
      </c>
      <c r="K54" s="61">
        <v>1.6863425925925924E-3</v>
      </c>
      <c r="L54" s="61">
        <v>5.2892361111111105E-2</v>
      </c>
      <c r="M54" s="61">
        <v>8.9236111111111102E-4</v>
      </c>
      <c r="N54" s="61">
        <v>3.0915509259259257E-2</v>
      </c>
      <c r="O54" s="61">
        <v>0.11019907407407409</v>
      </c>
      <c r="P54" s="59" t="s">
        <v>482</v>
      </c>
      <c r="Q54" s="8">
        <f t="shared" si="0"/>
        <v>782</v>
      </c>
    </row>
    <row r="55" spans="1:17" ht="15" customHeight="1">
      <c r="A55" s="59">
        <v>54</v>
      </c>
      <c r="B55" s="59">
        <v>81</v>
      </c>
      <c r="C55" s="60" t="s">
        <v>135</v>
      </c>
      <c r="D55" s="59" t="s">
        <v>483</v>
      </c>
      <c r="E55" s="59" t="s">
        <v>484</v>
      </c>
      <c r="F55" s="59"/>
      <c r="G55" s="59" t="s">
        <v>340</v>
      </c>
      <c r="H55" s="59" t="s">
        <v>341</v>
      </c>
      <c r="I55" s="59">
        <v>11</v>
      </c>
      <c r="J55" s="61">
        <v>2.174537037037037E-2</v>
      </c>
      <c r="K55" s="61">
        <v>1.9467592592592592E-3</v>
      </c>
      <c r="L55" s="61">
        <v>5.5611111111111111E-2</v>
      </c>
      <c r="M55" s="61">
        <v>6.9791666666666667E-4</v>
      </c>
      <c r="N55" s="61">
        <v>3.0326388888888885E-2</v>
      </c>
      <c r="O55" s="61">
        <v>0.11032986111111111</v>
      </c>
      <c r="P55" s="59" t="s">
        <v>485</v>
      </c>
      <c r="Q55" s="8">
        <f t="shared" si="0"/>
        <v>781</v>
      </c>
    </row>
    <row r="56" spans="1:17" ht="15" customHeight="1">
      <c r="A56" s="59">
        <v>55</v>
      </c>
      <c r="B56" s="59">
        <v>69</v>
      </c>
      <c r="C56" s="60" t="s">
        <v>135</v>
      </c>
      <c r="D56" s="59" t="s">
        <v>486</v>
      </c>
      <c r="E56" s="59" t="s">
        <v>487</v>
      </c>
      <c r="F56" s="59" t="s">
        <v>173</v>
      </c>
      <c r="G56" s="59" t="s">
        <v>340</v>
      </c>
      <c r="H56" s="59" t="s">
        <v>420</v>
      </c>
      <c r="I56" s="59">
        <v>2</v>
      </c>
      <c r="J56" s="61">
        <v>2.0702546296296295E-2</v>
      </c>
      <c r="K56" s="61">
        <v>9.8263888888888901E-4</v>
      </c>
      <c r="L56" s="61">
        <v>5.3076388888888888E-2</v>
      </c>
      <c r="M56" s="61">
        <v>1.0671296296296297E-3</v>
      </c>
      <c r="N56" s="61">
        <v>3.457175925925926E-2</v>
      </c>
      <c r="O56" s="61">
        <v>0.11040277777777777</v>
      </c>
      <c r="P56" s="59" t="s">
        <v>488</v>
      </c>
      <c r="Q56" s="8">
        <f t="shared" si="0"/>
        <v>781</v>
      </c>
    </row>
    <row r="57" spans="1:17" ht="15" customHeight="1">
      <c r="A57" s="59">
        <v>56</v>
      </c>
      <c r="B57" s="59">
        <v>80</v>
      </c>
      <c r="C57" s="60" t="s">
        <v>135</v>
      </c>
      <c r="D57" s="59" t="s">
        <v>489</v>
      </c>
      <c r="E57" s="59" t="s">
        <v>490</v>
      </c>
      <c r="F57" s="59" t="s">
        <v>491</v>
      </c>
      <c r="G57" s="59" t="s">
        <v>340</v>
      </c>
      <c r="H57" s="59" t="s">
        <v>348</v>
      </c>
      <c r="I57" s="59">
        <v>10</v>
      </c>
      <c r="J57" s="61">
        <v>2.0550925925925924E-2</v>
      </c>
      <c r="K57" s="61">
        <v>1.5E-3</v>
      </c>
      <c r="L57" s="61">
        <v>5.3800925925925919E-2</v>
      </c>
      <c r="M57" s="61">
        <v>7.418981481481481E-4</v>
      </c>
      <c r="N57" s="61">
        <v>3.4032407407407407E-2</v>
      </c>
      <c r="O57" s="61">
        <v>0.11062037037037037</v>
      </c>
      <c r="P57" s="59" t="s">
        <v>492</v>
      </c>
      <c r="Q57" s="8">
        <f t="shared" si="0"/>
        <v>779</v>
      </c>
    </row>
    <row r="58" spans="1:17" ht="15" customHeight="1">
      <c r="A58" s="59">
        <v>57</v>
      </c>
      <c r="B58" s="59">
        <v>79</v>
      </c>
      <c r="C58" s="60" t="s">
        <v>135</v>
      </c>
      <c r="D58" s="59" t="s">
        <v>493</v>
      </c>
      <c r="E58" s="59" t="s">
        <v>494</v>
      </c>
      <c r="F58" s="59"/>
      <c r="G58" s="59" t="s">
        <v>340</v>
      </c>
      <c r="H58" s="59" t="s">
        <v>352</v>
      </c>
      <c r="I58" s="59">
        <v>11</v>
      </c>
      <c r="J58" s="61">
        <v>2.2288194444444444E-2</v>
      </c>
      <c r="K58" s="61">
        <v>1.5092592592592592E-3</v>
      </c>
      <c r="L58" s="61">
        <v>5.4839120370370371E-2</v>
      </c>
      <c r="M58" s="61">
        <v>8.7731481481481482E-4</v>
      </c>
      <c r="N58" s="61">
        <v>3.1303240740740743E-2</v>
      </c>
      <c r="O58" s="61">
        <v>0.11081828703703704</v>
      </c>
      <c r="P58" s="59" t="s">
        <v>495</v>
      </c>
      <c r="Q58" s="8">
        <f t="shared" si="0"/>
        <v>778</v>
      </c>
    </row>
    <row r="59" spans="1:17" ht="15" customHeight="1">
      <c r="A59" s="59">
        <v>58</v>
      </c>
      <c r="B59" s="59">
        <v>15</v>
      </c>
      <c r="C59" s="60" t="s">
        <v>135</v>
      </c>
      <c r="D59" s="59" t="s">
        <v>496</v>
      </c>
      <c r="E59" s="59" t="s">
        <v>497</v>
      </c>
      <c r="F59" s="59" t="s">
        <v>259</v>
      </c>
      <c r="G59" s="59" t="s">
        <v>340</v>
      </c>
      <c r="H59" s="59" t="s">
        <v>448</v>
      </c>
      <c r="I59" s="59">
        <v>2</v>
      </c>
      <c r="J59" s="61">
        <v>2.1086805555555557E-2</v>
      </c>
      <c r="K59" s="61">
        <v>1.9479166666666668E-3</v>
      </c>
      <c r="L59" s="61">
        <v>5.653587962962963E-2</v>
      </c>
      <c r="M59" s="61">
        <v>9.3518518518518516E-4</v>
      </c>
      <c r="N59" s="61">
        <v>3.0498842592592591E-2</v>
      </c>
      <c r="O59" s="61">
        <v>0.11100694444444445</v>
      </c>
      <c r="P59" s="59" t="s">
        <v>498</v>
      </c>
      <c r="Q59" s="8">
        <f t="shared" si="0"/>
        <v>776</v>
      </c>
    </row>
    <row r="60" spans="1:17" ht="15" customHeight="1">
      <c r="A60" s="59">
        <v>59</v>
      </c>
      <c r="B60" s="59">
        <v>106</v>
      </c>
      <c r="C60" s="60" t="s">
        <v>135</v>
      </c>
      <c r="D60" s="59" t="s">
        <v>280</v>
      </c>
      <c r="E60" s="59" t="s">
        <v>281</v>
      </c>
      <c r="F60" s="59" t="s">
        <v>199</v>
      </c>
      <c r="G60" s="59" t="s">
        <v>340</v>
      </c>
      <c r="H60" s="59" t="s">
        <v>357</v>
      </c>
      <c r="I60" s="59">
        <v>9</v>
      </c>
      <c r="J60" s="61">
        <v>2.4589120370370369E-2</v>
      </c>
      <c r="K60" s="61">
        <v>1.5196759259259261E-3</v>
      </c>
      <c r="L60" s="61">
        <v>4.9025462962962965E-2</v>
      </c>
      <c r="M60" s="61">
        <v>7.4768518518518511E-4</v>
      </c>
      <c r="N60" s="61">
        <v>3.5721064814814817E-2</v>
      </c>
      <c r="O60" s="61">
        <v>0.11160532407407409</v>
      </c>
      <c r="P60" s="59" t="s">
        <v>499</v>
      </c>
      <c r="Q60" s="8">
        <f t="shared" si="0"/>
        <v>772</v>
      </c>
    </row>
    <row r="61" spans="1:17" ht="15" customHeight="1">
      <c r="A61" s="59">
        <v>60</v>
      </c>
      <c r="B61" s="59">
        <v>7</v>
      </c>
      <c r="C61" s="60" t="s">
        <v>135</v>
      </c>
      <c r="D61" s="59" t="s">
        <v>250</v>
      </c>
      <c r="E61" s="59" t="s">
        <v>251</v>
      </c>
      <c r="F61" s="59" t="s">
        <v>252</v>
      </c>
      <c r="G61" s="59" t="s">
        <v>340</v>
      </c>
      <c r="H61" s="59" t="s">
        <v>348</v>
      </c>
      <c r="I61" s="59">
        <v>11</v>
      </c>
      <c r="J61" s="61">
        <v>2.5634259259259263E-2</v>
      </c>
      <c r="K61" s="61">
        <v>1.7442129629629628E-3</v>
      </c>
      <c r="L61" s="61">
        <v>5.3789351851851845E-2</v>
      </c>
      <c r="M61" s="61">
        <v>1.673611111111111E-3</v>
      </c>
      <c r="N61" s="61">
        <v>2.8797453703703704E-2</v>
      </c>
      <c r="O61" s="61">
        <v>0.1116400462962963</v>
      </c>
      <c r="P61" s="59" t="s">
        <v>500</v>
      </c>
      <c r="Q61" s="8">
        <f t="shared" si="0"/>
        <v>772</v>
      </c>
    </row>
    <row r="62" spans="1:17" ht="15" customHeight="1">
      <c r="A62" s="59">
        <v>61</v>
      </c>
      <c r="B62" s="59">
        <v>36</v>
      </c>
      <c r="C62" s="60" t="s">
        <v>135</v>
      </c>
      <c r="D62" s="59" t="s">
        <v>244</v>
      </c>
      <c r="E62" s="59" t="s">
        <v>245</v>
      </c>
      <c r="F62" s="59" t="s">
        <v>158</v>
      </c>
      <c r="G62" s="59" t="s">
        <v>340</v>
      </c>
      <c r="H62" s="59" t="s">
        <v>352</v>
      </c>
      <c r="I62" s="59">
        <v>12</v>
      </c>
      <c r="J62" s="61">
        <v>2.3178240740740739E-2</v>
      </c>
      <c r="K62" s="61">
        <v>1.0092592592592592E-3</v>
      </c>
      <c r="L62" s="61">
        <v>5.6144675925925924E-2</v>
      </c>
      <c r="M62" s="61">
        <v>7.8935185185185185E-4</v>
      </c>
      <c r="N62" s="61">
        <v>3.0648148148148147E-2</v>
      </c>
      <c r="O62" s="61">
        <v>0.11177199074074075</v>
      </c>
      <c r="P62" s="59" t="s">
        <v>501</v>
      </c>
      <c r="Q62" s="8">
        <f t="shared" si="0"/>
        <v>771</v>
      </c>
    </row>
    <row r="63" spans="1:17" ht="15" customHeight="1">
      <c r="A63" s="59">
        <v>62</v>
      </c>
      <c r="B63" s="59">
        <v>84</v>
      </c>
      <c r="C63" s="60" t="s">
        <v>135</v>
      </c>
      <c r="D63" s="59" t="s">
        <v>502</v>
      </c>
      <c r="E63" s="59" t="s">
        <v>503</v>
      </c>
      <c r="F63" s="59" t="s">
        <v>504</v>
      </c>
      <c r="G63" s="59" t="s">
        <v>340</v>
      </c>
      <c r="H63" s="59" t="s">
        <v>348</v>
      </c>
      <c r="I63" s="59">
        <v>12</v>
      </c>
      <c r="J63" s="61">
        <v>2.2414351851851852E-2</v>
      </c>
      <c r="K63" s="61">
        <v>1.5706018518518517E-3</v>
      </c>
      <c r="L63" s="61">
        <v>5.8386574074074077E-2</v>
      </c>
      <c r="M63" s="61">
        <v>6.018518518518519E-4</v>
      </c>
      <c r="N63" s="61">
        <v>2.9009259259259259E-2</v>
      </c>
      <c r="O63" s="61">
        <v>0.1119849537037037</v>
      </c>
      <c r="P63" s="59" t="s">
        <v>505</v>
      </c>
      <c r="Q63" s="8">
        <f t="shared" si="0"/>
        <v>770</v>
      </c>
    </row>
    <row r="64" spans="1:17" ht="15" customHeight="1">
      <c r="A64" s="59">
        <v>63</v>
      </c>
      <c r="B64" s="59">
        <v>27</v>
      </c>
      <c r="C64" s="59"/>
      <c r="D64" s="59" t="s">
        <v>506</v>
      </c>
      <c r="E64" s="59" t="s">
        <v>507</v>
      </c>
      <c r="F64" s="59"/>
      <c r="G64" s="59" t="s">
        <v>340</v>
      </c>
      <c r="H64" s="59" t="s">
        <v>341</v>
      </c>
      <c r="I64" s="59">
        <v>12</v>
      </c>
      <c r="J64" s="61">
        <v>2.4787037037037035E-2</v>
      </c>
      <c r="K64" s="61">
        <v>1.3518518518518519E-3</v>
      </c>
      <c r="L64" s="61">
        <v>5.5168981481481486E-2</v>
      </c>
      <c r="M64" s="61">
        <v>8.1481481481481487E-4</v>
      </c>
      <c r="N64" s="61">
        <v>2.9885416666666664E-2</v>
      </c>
      <c r="O64" s="61">
        <v>0.11200925925925927</v>
      </c>
      <c r="P64" s="59" t="s">
        <v>508</v>
      </c>
      <c r="Q64" s="8">
        <f t="shared" si="0"/>
        <v>769</v>
      </c>
    </row>
    <row r="65" spans="1:17" ht="15" customHeight="1">
      <c r="A65" s="59">
        <v>64</v>
      </c>
      <c r="B65" s="59">
        <v>76</v>
      </c>
      <c r="C65" s="60" t="s">
        <v>135</v>
      </c>
      <c r="D65" s="59" t="s">
        <v>509</v>
      </c>
      <c r="E65" s="59" t="s">
        <v>510</v>
      </c>
      <c r="F65" s="59" t="s">
        <v>511</v>
      </c>
      <c r="G65" s="59" t="s">
        <v>340</v>
      </c>
      <c r="H65" s="59" t="s">
        <v>348</v>
      </c>
      <c r="I65" s="59">
        <v>13</v>
      </c>
      <c r="J65" s="61">
        <v>2.707986111111111E-2</v>
      </c>
      <c r="K65" s="61">
        <v>1.712962962962963E-3</v>
      </c>
      <c r="L65" s="61">
        <v>5.6137731481481483E-2</v>
      </c>
      <c r="M65" s="61">
        <v>7.0717592592592598E-4</v>
      </c>
      <c r="N65" s="61">
        <v>2.7028935185185187E-2</v>
      </c>
      <c r="O65" s="61">
        <v>0.11266898148148148</v>
      </c>
      <c r="P65" s="59" t="s">
        <v>512</v>
      </c>
      <c r="Q65" s="8">
        <f t="shared" si="0"/>
        <v>765</v>
      </c>
    </row>
    <row r="66" spans="1:17" ht="15" customHeight="1">
      <c r="A66" s="59">
        <v>65</v>
      </c>
      <c r="B66" s="59">
        <v>71</v>
      </c>
      <c r="C66" s="60" t="s">
        <v>135</v>
      </c>
      <c r="D66" s="59" t="s">
        <v>274</v>
      </c>
      <c r="E66" s="59" t="s">
        <v>275</v>
      </c>
      <c r="F66" s="59" t="s">
        <v>138</v>
      </c>
      <c r="G66" s="59" t="s">
        <v>340</v>
      </c>
      <c r="H66" s="59" t="s">
        <v>420</v>
      </c>
      <c r="I66" s="59">
        <v>3</v>
      </c>
      <c r="J66" s="61">
        <v>2.2171296296296297E-2</v>
      </c>
      <c r="K66" s="61">
        <v>1.3252314814814815E-3</v>
      </c>
      <c r="L66" s="61">
        <v>5.6201388888888891E-2</v>
      </c>
      <c r="M66" s="61">
        <v>6.168981481481481E-4</v>
      </c>
      <c r="N66" s="61">
        <v>3.2623842592592593E-2</v>
      </c>
      <c r="O66" s="61">
        <v>0.11294328703703703</v>
      </c>
      <c r="P66" s="59" t="s">
        <v>513</v>
      </c>
      <c r="Q66" s="8">
        <f t="shared" si="0"/>
        <v>763</v>
      </c>
    </row>
    <row r="67" spans="1:17" ht="15" customHeight="1">
      <c r="A67" s="59">
        <v>66</v>
      </c>
      <c r="B67" s="59">
        <v>5</v>
      </c>
      <c r="C67" s="60" t="s">
        <v>135</v>
      </c>
      <c r="D67" s="59" t="s">
        <v>514</v>
      </c>
      <c r="E67" s="59" t="s">
        <v>515</v>
      </c>
      <c r="F67" s="59"/>
      <c r="G67" s="59" t="s">
        <v>340</v>
      </c>
      <c r="H67" s="59" t="s">
        <v>348</v>
      </c>
      <c r="I67" s="59">
        <v>14</v>
      </c>
      <c r="J67" s="61">
        <v>2.5900462962962965E-2</v>
      </c>
      <c r="K67" s="61">
        <v>1.6979166666666666E-3</v>
      </c>
      <c r="L67" s="61">
        <v>5.6747685185185186E-2</v>
      </c>
      <c r="M67" s="61">
        <v>6.2384259259259261E-4</v>
      </c>
      <c r="N67" s="61">
        <v>2.8179398148148144E-2</v>
      </c>
      <c r="O67" s="61">
        <v>0.11315046296296297</v>
      </c>
      <c r="P67" s="59" t="s">
        <v>516</v>
      </c>
      <c r="Q67" s="8">
        <f t="shared" ref="Q67:Q125" si="1">IFERROR(ROUND($O$2/O67*1000,0),0)</f>
        <v>762</v>
      </c>
    </row>
    <row r="68" spans="1:17" ht="15" customHeight="1">
      <c r="A68" s="59">
        <v>67</v>
      </c>
      <c r="B68" s="59">
        <v>91</v>
      </c>
      <c r="C68" s="60" t="s">
        <v>135</v>
      </c>
      <c r="D68" s="59" t="s">
        <v>517</v>
      </c>
      <c r="E68" s="59" t="s">
        <v>518</v>
      </c>
      <c r="F68" s="59"/>
      <c r="G68" s="59" t="s">
        <v>340</v>
      </c>
      <c r="H68" s="59" t="s">
        <v>357</v>
      </c>
      <c r="I68" s="59">
        <v>10</v>
      </c>
      <c r="J68" s="61">
        <v>2.357638888888889E-2</v>
      </c>
      <c r="K68" s="61">
        <v>1.9733796296296296E-3</v>
      </c>
      <c r="L68" s="61">
        <v>5.6559027777777778E-2</v>
      </c>
      <c r="M68" s="61">
        <v>1.4016203703703703E-3</v>
      </c>
      <c r="N68" s="61">
        <v>2.9750000000000002E-2</v>
      </c>
      <c r="O68" s="61">
        <v>0.11326157407407407</v>
      </c>
      <c r="P68" s="59" t="s">
        <v>519</v>
      </c>
      <c r="Q68" s="8">
        <f t="shared" si="1"/>
        <v>761</v>
      </c>
    </row>
    <row r="69" spans="1:17" ht="15" customHeight="1">
      <c r="A69" s="59">
        <v>68</v>
      </c>
      <c r="B69" s="59">
        <v>95</v>
      </c>
      <c r="C69" s="60" t="s">
        <v>135</v>
      </c>
      <c r="D69" s="59" t="s">
        <v>520</v>
      </c>
      <c r="E69" s="59" t="s">
        <v>521</v>
      </c>
      <c r="F69" s="59"/>
      <c r="G69" s="59" t="s">
        <v>340</v>
      </c>
      <c r="H69" s="59" t="s">
        <v>344</v>
      </c>
      <c r="I69" s="59">
        <v>15</v>
      </c>
      <c r="J69" s="61">
        <v>2.4783564814814817E-2</v>
      </c>
      <c r="K69" s="61">
        <v>2.0590277777777777E-3</v>
      </c>
      <c r="L69" s="61">
        <v>5.3041666666666668E-2</v>
      </c>
      <c r="M69" s="61">
        <v>1.0706018518518519E-3</v>
      </c>
      <c r="N69" s="61">
        <v>3.2755787037037035E-2</v>
      </c>
      <c r="O69" s="61">
        <v>0.11371296296296296</v>
      </c>
      <c r="P69" s="59" t="s">
        <v>522</v>
      </c>
      <c r="Q69" s="8">
        <f t="shared" si="1"/>
        <v>758</v>
      </c>
    </row>
    <row r="70" spans="1:17" ht="15" customHeight="1">
      <c r="A70" s="59">
        <v>69</v>
      </c>
      <c r="B70" s="59">
        <v>33</v>
      </c>
      <c r="C70" s="60" t="s">
        <v>135</v>
      </c>
      <c r="D70" s="59" t="s">
        <v>523</v>
      </c>
      <c r="E70" s="59" t="s">
        <v>524</v>
      </c>
      <c r="F70" s="59"/>
      <c r="G70" s="59" t="s">
        <v>340</v>
      </c>
      <c r="H70" s="59" t="s">
        <v>348</v>
      </c>
      <c r="I70" s="59">
        <v>15</v>
      </c>
      <c r="J70" s="61">
        <v>2.0550925925925924E-2</v>
      </c>
      <c r="K70" s="61">
        <v>1.9618055555555556E-3</v>
      </c>
      <c r="L70" s="61">
        <v>5.5251157407407409E-2</v>
      </c>
      <c r="M70" s="61">
        <v>7.0023148148148147E-4</v>
      </c>
      <c r="N70" s="61">
        <v>3.5681712962962964E-2</v>
      </c>
      <c r="O70" s="61">
        <v>0.11414699074074074</v>
      </c>
      <c r="P70" s="59" t="s">
        <v>525</v>
      </c>
      <c r="Q70" s="8">
        <f t="shared" si="1"/>
        <v>755</v>
      </c>
    </row>
    <row r="71" spans="1:17" ht="15" customHeight="1">
      <c r="A71" s="59">
        <v>70</v>
      </c>
      <c r="B71" s="59">
        <v>43</v>
      </c>
      <c r="C71" s="60" t="s">
        <v>135</v>
      </c>
      <c r="D71" s="59" t="s">
        <v>526</v>
      </c>
      <c r="E71" s="59" t="s">
        <v>527</v>
      </c>
      <c r="F71" s="59"/>
      <c r="G71" s="59" t="s">
        <v>340</v>
      </c>
      <c r="H71" s="59" t="s">
        <v>341</v>
      </c>
      <c r="I71" s="59">
        <v>13</v>
      </c>
      <c r="J71" s="61">
        <v>2.3351851851851849E-2</v>
      </c>
      <c r="K71" s="61">
        <v>1.0972222222222221E-3</v>
      </c>
      <c r="L71" s="61">
        <v>5.5332175925925924E-2</v>
      </c>
      <c r="M71" s="61">
        <v>4.8842592592592601E-4</v>
      </c>
      <c r="N71" s="61">
        <v>3.4059027777777778E-2</v>
      </c>
      <c r="O71" s="61">
        <v>0.11433101851851853</v>
      </c>
      <c r="P71" s="59" t="s">
        <v>528</v>
      </c>
      <c r="Q71" s="8">
        <f t="shared" si="1"/>
        <v>754</v>
      </c>
    </row>
    <row r="72" spans="1:17" ht="15" customHeight="1">
      <c r="A72" s="59">
        <v>71</v>
      </c>
      <c r="B72" s="59">
        <v>2</v>
      </c>
      <c r="C72" s="60" t="s">
        <v>135</v>
      </c>
      <c r="D72" s="59" t="s">
        <v>529</v>
      </c>
      <c r="E72" s="59" t="s">
        <v>530</v>
      </c>
      <c r="F72" s="59"/>
      <c r="G72" s="59" t="s">
        <v>340</v>
      </c>
      <c r="H72" s="59" t="s">
        <v>344</v>
      </c>
      <c r="I72" s="59">
        <v>16</v>
      </c>
      <c r="J72" s="61">
        <v>3.0256944444444444E-2</v>
      </c>
      <c r="K72" s="61">
        <v>2.4189814814814816E-3</v>
      </c>
      <c r="L72" s="61">
        <v>5.4118055555555558E-2</v>
      </c>
      <c r="M72" s="61">
        <v>8.599537037037037E-4</v>
      </c>
      <c r="N72" s="61">
        <v>2.7829861111111111E-2</v>
      </c>
      <c r="O72" s="61">
        <v>0.11548495370370369</v>
      </c>
      <c r="P72" s="59" t="s">
        <v>531</v>
      </c>
      <c r="Q72" s="8">
        <f t="shared" si="1"/>
        <v>746</v>
      </c>
    </row>
    <row r="73" spans="1:17" ht="15" customHeight="1">
      <c r="A73" s="59">
        <v>72</v>
      </c>
      <c r="B73" s="59">
        <v>72</v>
      </c>
      <c r="C73" s="59"/>
      <c r="D73" s="59" t="s">
        <v>532</v>
      </c>
      <c r="E73" s="59" t="s">
        <v>533</v>
      </c>
      <c r="F73" s="59" t="s">
        <v>534</v>
      </c>
      <c r="G73" s="59" t="s">
        <v>340</v>
      </c>
      <c r="H73" s="59" t="s">
        <v>341</v>
      </c>
      <c r="I73" s="59">
        <v>14</v>
      </c>
      <c r="J73" s="61">
        <v>2.5809027777777778E-2</v>
      </c>
      <c r="K73" s="61">
        <v>2.0381944444444445E-3</v>
      </c>
      <c r="L73" s="61">
        <v>5.5196759259259258E-2</v>
      </c>
      <c r="M73" s="61">
        <v>6.134259259259259E-4</v>
      </c>
      <c r="N73" s="61">
        <v>3.2288194444444446E-2</v>
      </c>
      <c r="O73" s="61">
        <v>0.11594791666666666</v>
      </c>
      <c r="P73" s="59" t="s">
        <v>535</v>
      </c>
      <c r="Q73" s="8">
        <f t="shared" si="1"/>
        <v>743</v>
      </c>
    </row>
    <row r="74" spans="1:17" ht="15" customHeight="1">
      <c r="A74" s="59">
        <v>73</v>
      </c>
      <c r="B74" s="59">
        <v>133</v>
      </c>
      <c r="C74" s="60" t="s">
        <v>135</v>
      </c>
      <c r="D74" s="59" t="s">
        <v>536</v>
      </c>
      <c r="E74" s="59" t="s">
        <v>537</v>
      </c>
      <c r="F74" s="59" t="s">
        <v>538</v>
      </c>
      <c r="G74" s="59" t="s">
        <v>340</v>
      </c>
      <c r="H74" s="59" t="s">
        <v>357</v>
      </c>
      <c r="I74" s="59">
        <v>11</v>
      </c>
      <c r="J74" s="61">
        <v>2.0711805555555556E-2</v>
      </c>
      <c r="K74" s="61">
        <v>4.681712962962963E-3</v>
      </c>
      <c r="L74" s="61">
        <v>5.8201388888888893E-2</v>
      </c>
      <c r="M74" s="61">
        <v>9.0972222222222214E-4</v>
      </c>
      <c r="N74" s="61">
        <v>3.1628472222222218E-2</v>
      </c>
      <c r="O74" s="61">
        <v>0.11613657407407409</v>
      </c>
      <c r="P74" s="59" t="s">
        <v>539</v>
      </c>
      <c r="Q74" s="8">
        <f t="shared" si="1"/>
        <v>742</v>
      </c>
    </row>
    <row r="75" spans="1:17" ht="15" customHeight="1">
      <c r="A75" s="59">
        <v>74</v>
      </c>
      <c r="B75" s="59">
        <v>8</v>
      </c>
      <c r="C75" s="60" t="s">
        <v>135</v>
      </c>
      <c r="D75" s="59" t="s">
        <v>540</v>
      </c>
      <c r="E75" s="59" t="s">
        <v>541</v>
      </c>
      <c r="F75" s="59" t="s">
        <v>542</v>
      </c>
      <c r="G75" s="59" t="s">
        <v>340</v>
      </c>
      <c r="H75" s="59" t="s">
        <v>344</v>
      </c>
      <c r="I75" s="59">
        <v>17</v>
      </c>
      <c r="J75" s="61">
        <v>2.2101851851851852E-2</v>
      </c>
      <c r="K75" s="61">
        <v>1.8425925925925925E-3</v>
      </c>
      <c r="L75" s="61">
        <v>5.5069444444444442E-2</v>
      </c>
      <c r="M75" s="61">
        <v>9.0972222222222214E-4</v>
      </c>
      <c r="N75" s="61">
        <v>3.6571759259259262E-2</v>
      </c>
      <c r="O75" s="61">
        <v>0.11649537037037037</v>
      </c>
      <c r="P75" s="59" t="s">
        <v>543</v>
      </c>
      <c r="Q75" s="8">
        <f t="shared" si="1"/>
        <v>740</v>
      </c>
    </row>
    <row r="76" spans="1:17" ht="15" customHeight="1">
      <c r="A76" s="59">
        <v>75</v>
      </c>
      <c r="B76" s="59">
        <v>62</v>
      </c>
      <c r="C76" s="60" t="s">
        <v>135</v>
      </c>
      <c r="D76" s="59" t="s">
        <v>544</v>
      </c>
      <c r="E76" s="59" t="s">
        <v>545</v>
      </c>
      <c r="F76" s="59"/>
      <c r="G76" s="59" t="s">
        <v>319</v>
      </c>
      <c r="H76" s="59" t="s">
        <v>159</v>
      </c>
      <c r="I76" s="59">
        <v>1</v>
      </c>
      <c r="J76" s="61">
        <v>2.1526620370370373E-2</v>
      </c>
      <c r="K76" s="61">
        <v>1.7048611111111112E-3</v>
      </c>
      <c r="L76" s="61">
        <v>5.8770833333333335E-2</v>
      </c>
      <c r="M76" s="61">
        <v>6.9791666666666667E-4</v>
      </c>
      <c r="N76" s="61">
        <v>3.3875000000000002E-2</v>
      </c>
      <c r="O76" s="61">
        <v>0.11657754629629628</v>
      </c>
      <c r="P76" s="59" t="s">
        <v>546</v>
      </c>
      <c r="Q76" s="8">
        <f t="shared" si="1"/>
        <v>739</v>
      </c>
    </row>
    <row r="77" spans="1:17" ht="15" customHeight="1">
      <c r="A77" s="59">
        <v>76</v>
      </c>
      <c r="B77" s="59">
        <v>3</v>
      </c>
      <c r="C77" s="60" t="s">
        <v>135</v>
      </c>
      <c r="D77" s="59" t="s">
        <v>547</v>
      </c>
      <c r="E77" s="59" t="s">
        <v>548</v>
      </c>
      <c r="F77" s="59" t="s">
        <v>138</v>
      </c>
      <c r="G77" s="59" t="s">
        <v>319</v>
      </c>
      <c r="H77" s="59" t="s">
        <v>149</v>
      </c>
      <c r="I77" s="59">
        <v>1</v>
      </c>
      <c r="J77" s="61">
        <v>2.424652777777778E-2</v>
      </c>
      <c r="K77" s="61">
        <v>1.7951388888888889E-3</v>
      </c>
      <c r="L77" s="61">
        <v>5.9502314814814813E-2</v>
      </c>
      <c r="M77" s="61">
        <v>1.1296296296296295E-3</v>
      </c>
      <c r="N77" s="61">
        <v>3.0181712962962962E-2</v>
      </c>
      <c r="O77" s="61">
        <v>0.11685763888888889</v>
      </c>
      <c r="P77" s="59" t="s">
        <v>549</v>
      </c>
      <c r="Q77" s="8">
        <f t="shared" si="1"/>
        <v>737</v>
      </c>
    </row>
    <row r="78" spans="1:17" ht="15" customHeight="1">
      <c r="A78" s="59">
        <v>77</v>
      </c>
      <c r="B78" s="59">
        <v>38</v>
      </c>
      <c r="C78" s="60" t="s">
        <v>135</v>
      </c>
      <c r="D78" s="59" t="s">
        <v>550</v>
      </c>
      <c r="E78" s="59" t="s">
        <v>551</v>
      </c>
      <c r="F78" s="59"/>
      <c r="G78" s="59" t="s">
        <v>340</v>
      </c>
      <c r="H78" s="59" t="s">
        <v>348</v>
      </c>
      <c r="I78" s="59">
        <v>16</v>
      </c>
      <c r="J78" s="61">
        <v>2.3456018518518518E-2</v>
      </c>
      <c r="K78" s="61">
        <v>1.9861111111111112E-3</v>
      </c>
      <c r="L78" s="61">
        <v>5.8872685185185188E-2</v>
      </c>
      <c r="M78" s="61">
        <v>7.9745370370370376E-4</v>
      </c>
      <c r="N78" s="61">
        <v>3.2208333333333339E-2</v>
      </c>
      <c r="O78" s="61">
        <v>0.11732291666666668</v>
      </c>
      <c r="P78" s="59" t="s">
        <v>552</v>
      </c>
      <c r="Q78" s="8">
        <f t="shared" si="1"/>
        <v>735</v>
      </c>
    </row>
    <row r="79" spans="1:17" ht="15" customHeight="1">
      <c r="A79" s="59">
        <v>78</v>
      </c>
      <c r="B79" s="59">
        <v>104</v>
      </c>
      <c r="C79" s="60" t="s">
        <v>135</v>
      </c>
      <c r="D79" s="59" t="s">
        <v>290</v>
      </c>
      <c r="E79" s="59" t="s">
        <v>291</v>
      </c>
      <c r="F79" s="59"/>
      <c r="G79" s="59" t="s">
        <v>340</v>
      </c>
      <c r="H79" s="59" t="s">
        <v>344</v>
      </c>
      <c r="I79" s="59">
        <v>18</v>
      </c>
      <c r="J79" s="61">
        <v>2.3712962962962963E-2</v>
      </c>
      <c r="K79" s="61">
        <v>1.7754629629629631E-3</v>
      </c>
      <c r="L79" s="61">
        <v>5.9988425925925924E-2</v>
      </c>
      <c r="M79" s="61">
        <v>7.6736111111111113E-4</v>
      </c>
      <c r="N79" s="61">
        <v>3.1158564814814813E-2</v>
      </c>
      <c r="O79" s="61">
        <v>0.11740509259259259</v>
      </c>
      <c r="P79" s="59" t="s">
        <v>553</v>
      </c>
      <c r="Q79" s="8">
        <f t="shared" si="1"/>
        <v>734</v>
      </c>
    </row>
    <row r="80" spans="1:17" ht="15" customHeight="1">
      <c r="A80" s="59">
        <v>79</v>
      </c>
      <c r="B80" s="59">
        <v>94</v>
      </c>
      <c r="C80" s="60" t="s">
        <v>140</v>
      </c>
      <c r="D80" s="59" t="s">
        <v>554</v>
      </c>
      <c r="E80" s="59" t="s">
        <v>555</v>
      </c>
      <c r="F80" s="59" t="s">
        <v>556</v>
      </c>
      <c r="G80" s="59" t="s">
        <v>340</v>
      </c>
      <c r="H80" s="59" t="s">
        <v>341</v>
      </c>
      <c r="I80" s="59">
        <v>15</v>
      </c>
      <c r="J80" s="61">
        <v>2.1024305555555556E-2</v>
      </c>
      <c r="K80" s="61">
        <v>1.6805555555555554E-3</v>
      </c>
      <c r="L80" s="61">
        <v>5.6555555555555553E-2</v>
      </c>
      <c r="M80" s="61">
        <v>9.907407407407406E-4</v>
      </c>
      <c r="N80" s="61">
        <v>3.7165509259259259E-2</v>
      </c>
      <c r="O80" s="61">
        <v>0.11741782407407407</v>
      </c>
      <c r="P80" s="59" t="s">
        <v>557</v>
      </c>
      <c r="Q80" s="8">
        <f t="shared" si="1"/>
        <v>734</v>
      </c>
    </row>
    <row r="81" spans="1:17" ht="15" customHeight="1">
      <c r="A81" s="59">
        <v>80</v>
      </c>
      <c r="B81" s="59">
        <v>124</v>
      </c>
      <c r="C81" s="59"/>
      <c r="D81" s="59" t="s">
        <v>558</v>
      </c>
      <c r="E81" s="59" t="s">
        <v>559</v>
      </c>
      <c r="F81" s="59" t="s">
        <v>560</v>
      </c>
      <c r="G81" s="59" t="s">
        <v>340</v>
      </c>
      <c r="H81" s="59" t="s">
        <v>344</v>
      </c>
      <c r="I81" s="59">
        <v>19</v>
      </c>
      <c r="J81" s="61">
        <v>2.5760416666666664E-2</v>
      </c>
      <c r="K81" s="61">
        <v>1.5300925925925924E-3</v>
      </c>
      <c r="L81" s="61">
        <v>5.7351851851851848E-2</v>
      </c>
      <c r="M81" s="61">
        <v>6.5046296296296304E-4</v>
      </c>
      <c r="N81" s="61">
        <v>3.2469907407407406E-2</v>
      </c>
      <c r="O81" s="61">
        <v>0.11776620370370371</v>
      </c>
      <c r="P81" s="59" t="s">
        <v>561</v>
      </c>
      <c r="Q81" s="8">
        <f t="shared" si="1"/>
        <v>732</v>
      </c>
    </row>
    <row r="82" spans="1:17" ht="15" customHeight="1">
      <c r="A82" s="59">
        <v>81</v>
      </c>
      <c r="B82" s="59">
        <v>48</v>
      </c>
      <c r="C82" s="60" t="s">
        <v>135</v>
      </c>
      <c r="D82" s="59" t="s">
        <v>562</v>
      </c>
      <c r="E82" s="59" t="s">
        <v>563</v>
      </c>
      <c r="F82" s="59" t="s">
        <v>199</v>
      </c>
      <c r="G82" s="59" t="s">
        <v>319</v>
      </c>
      <c r="H82" s="59" t="s">
        <v>159</v>
      </c>
      <c r="I82" s="59">
        <v>2</v>
      </c>
      <c r="J82" s="61">
        <v>2.3265046296296294E-2</v>
      </c>
      <c r="K82" s="61">
        <v>1.25E-3</v>
      </c>
      <c r="L82" s="61">
        <v>5.9677083333333339E-2</v>
      </c>
      <c r="M82" s="61">
        <v>4.3518518518518521E-4</v>
      </c>
      <c r="N82" s="61">
        <v>3.3146990740740741E-2</v>
      </c>
      <c r="O82" s="61">
        <v>0.11777662037037037</v>
      </c>
      <c r="P82" s="59" t="s">
        <v>564</v>
      </c>
      <c r="Q82" s="8">
        <f t="shared" si="1"/>
        <v>732</v>
      </c>
    </row>
    <row r="83" spans="1:17" ht="15" customHeight="1">
      <c r="A83" s="59">
        <v>82</v>
      </c>
      <c r="B83" s="59">
        <v>37</v>
      </c>
      <c r="C83" s="60" t="s">
        <v>135</v>
      </c>
      <c r="D83" s="59" t="s">
        <v>264</v>
      </c>
      <c r="E83" s="59" t="s">
        <v>265</v>
      </c>
      <c r="F83" s="59" t="s">
        <v>199</v>
      </c>
      <c r="G83" s="59" t="s">
        <v>340</v>
      </c>
      <c r="H83" s="59" t="s">
        <v>341</v>
      </c>
      <c r="I83" s="59">
        <v>16</v>
      </c>
      <c r="J83" s="61">
        <v>2.2201388888888889E-2</v>
      </c>
      <c r="K83" s="61">
        <v>1.0543981481481481E-3</v>
      </c>
      <c r="L83" s="61">
        <v>5.8391203703703702E-2</v>
      </c>
      <c r="M83" s="61">
        <v>6.4351851851851853E-4</v>
      </c>
      <c r="N83" s="61">
        <v>3.585763888888889E-2</v>
      </c>
      <c r="O83" s="61">
        <v>0.11815162037037036</v>
      </c>
      <c r="P83" s="59" t="s">
        <v>565</v>
      </c>
      <c r="Q83" s="8">
        <f t="shared" si="1"/>
        <v>729</v>
      </c>
    </row>
    <row r="84" spans="1:17" ht="15" customHeight="1">
      <c r="A84" s="59">
        <v>83</v>
      </c>
      <c r="B84" s="59">
        <v>61</v>
      </c>
      <c r="C84" s="60" t="s">
        <v>135</v>
      </c>
      <c r="D84" s="59" t="s">
        <v>315</v>
      </c>
      <c r="E84" s="59" t="s">
        <v>316</v>
      </c>
      <c r="F84" s="59" t="s">
        <v>199</v>
      </c>
      <c r="G84" s="59" t="s">
        <v>340</v>
      </c>
      <c r="H84" s="59" t="s">
        <v>420</v>
      </c>
      <c r="I84" s="59">
        <v>4</v>
      </c>
      <c r="J84" s="61">
        <v>2.4243055555555556E-2</v>
      </c>
      <c r="K84" s="61">
        <v>1.9398148148148148E-3</v>
      </c>
      <c r="L84" s="61">
        <v>5.7126157407407403E-2</v>
      </c>
      <c r="M84" s="61">
        <v>7.7546296296296293E-4</v>
      </c>
      <c r="N84" s="61">
        <v>3.4408564814814815E-2</v>
      </c>
      <c r="O84" s="61">
        <v>0.11849421296296296</v>
      </c>
      <c r="P84" s="59" t="s">
        <v>566</v>
      </c>
      <c r="Q84" s="8">
        <f t="shared" si="1"/>
        <v>727</v>
      </c>
    </row>
    <row r="85" spans="1:17" ht="15" customHeight="1">
      <c r="A85" s="59">
        <v>84</v>
      </c>
      <c r="B85" s="59">
        <v>46</v>
      </c>
      <c r="C85" s="60" t="s">
        <v>135</v>
      </c>
      <c r="D85" s="59" t="s">
        <v>567</v>
      </c>
      <c r="E85" s="59" t="s">
        <v>568</v>
      </c>
      <c r="F85" s="59" t="s">
        <v>569</v>
      </c>
      <c r="G85" s="59" t="s">
        <v>340</v>
      </c>
      <c r="H85" s="59" t="s">
        <v>344</v>
      </c>
      <c r="I85" s="59">
        <v>20</v>
      </c>
      <c r="J85" s="61">
        <v>2.5273148148148149E-2</v>
      </c>
      <c r="K85" s="61">
        <v>2.0624999999999997E-3</v>
      </c>
      <c r="L85" s="61">
        <v>5.7949074074074076E-2</v>
      </c>
      <c r="M85" s="61">
        <v>1.1643518518518517E-3</v>
      </c>
      <c r="N85" s="61">
        <v>3.2077546296296298E-2</v>
      </c>
      <c r="O85" s="61">
        <v>0.11852893518518517</v>
      </c>
      <c r="P85" s="59" t="s">
        <v>570</v>
      </c>
      <c r="Q85" s="8">
        <f t="shared" si="1"/>
        <v>727</v>
      </c>
    </row>
    <row r="86" spans="1:17" ht="15" customHeight="1">
      <c r="A86" s="59">
        <v>85</v>
      </c>
      <c r="B86" s="59">
        <v>114</v>
      </c>
      <c r="C86" s="60" t="s">
        <v>135</v>
      </c>
      <c r="D86" s="59" t="s">
        <v>571</v>
      </c>
      <c r="E86" s="59" t="s">
        <v>572</v>
      </c>
      <c r="F86" s="59" t="s">
        <v>573</v>
      </c>
      <c r="G86" s="59" t="s">
        <v>340</v>
      </c>
      <c r="H86" s="59" t="s">
        <v>352</v>
      </c>
      <c r="I86" s="59">
        <v>13</v>
      </c>
      <c r="J86" s="61">
        <v>2.5270833333333336E-2</v>
      </c>
      <c r="K86" s="61">
        <v>2.3194444444444447E-3</v>
      </c>
      <c r="L86" s="61">
        <v>5.5428240740740743E-2</v>
      </c>
      <c r="M86" s="61">
        <v>8.9583333333333344E-4</v>
      </c>
      <c r="N86" s="61">
        <v>3.4915509259259257E-2</v>
      </c>
      <c r="O86" s="61">
        <v>0.11883101851851852</v>
      </c>
      <c r="P86" s="59" t="s">
        <v>574</v>
      </c>
      <c r="Q86" s="8">
        <f t="shared" si="1"/>
        <v>725</v>
      </c>
    </row>
    <row r="87" spans="1:17" ht="15" customHeight="1">
      <c r="A87" s="59">
        <v>86</v>
      </c>
      <c r="B87" s="59">
        <v>130</v>
      </c>
      <c r="C87" s="60" t="s">
        <v>135</v>
      </c>
      <c r="D87" s="59" t="s">
        <v>575</v>
      </c>
      <c r="E87" s="59" t="s">
        <v>576</v>
      </c>
      <c r="F87" s="59"/>
      <c r="G87" s="59" t="s">
        <v>340</v>
      </c>
      <c r="H87" s="59" t="s">
        <v>344</v>
      </c>
      <c r="I87" s="59">
        <v>21</v>
      </c>
      <c r="J87" s="61">
        <v>2.6752314814814816E-2</v>
      </c>
      <c r="K87" s="61">
        <v>2.2881944444444443E-3</v>
      </c>
      <c r="L87" s="61">
        <v>5.6627314814814818E-2</v>
      </c>
      <c r="M87" s="61">
        <v>8.4027777777777768E-4</v>
      </c>
      <c r="N87" s="61">
        <v>3.2966435185185189E-2</v>
      </c>
      <c r="O87" s="61">
        <v>0.11947569444444445</v>
      </c>
      <c r="P87" s="59" t="s">
        <v>577</v>
      </c>
      <c r="Q87" s="8">
        <f t="shared" si="1"/>
        <v>721</v>
      </c>
    </row>
    <row r="88" spans="1:17" ht="15" customHeight="1">
      <c r="A88" s="59">
        <v>87</v>
      </c>
      <c r="B88" s="59">
        <v>108</v>
      </c>
      <c r="C88" s="60" t="s">
        <v>135</v>
      </c>
      <c r="D88" s="59" t="s">
        <v>578</v>
      </c>
      <c r="E88" s="59" t="s">
        <v>579</v>
      </c>
      <c r="F88" s="59"/>
      <c r="G88" s="59" t="s">
        <v>340</v>
      </c>
      <c r="H88" s="59" t="s">
        <v>341</v>
      </c>
      <c r="I88" s="59">
        <v>17</v>
      </c>
      <c r="J88" s="61">
        <v>2.502199074074074E-2</v>
      </c>
      <c r="K88" s="61">
        <v>1.9166666666666666E-3</v>
      </c>
      <c r="L88" s="61">
        <v>5.4872685185185184E-2</v>
      </c>
      <c r="M88" s="61">
        <v>1.0069444444444444E-3</v>
      </c>
      <c r="N88" s="61">
        <v>3.670023148148148E-2</v>
      </c>
      <c r="O88" s="61">
        <v>0.11952199074074076</v>
      </c>
      <c r="P88" s="59" t="s">
        <v>580</v>
      </c>
      <c r="Q88" s="8">
        <f t="shared" si="1"/>
        <v>721</v>
      </c>
    </row>
    <row r="89" spans="1:17" ht="15" customHeight="1">
      <c r="A89" s="59">
        <v>88</v>
      </c>
      <c r="B89" s="59">
        <v>49</v>
      </c>
      <c r="C89" s="60" t="s">
        <v>135</v>
      </c>
      <c r="D89" s="59" t="s">
        <v>581</v>
      </c>
      <c r="E89" s="59" t="s">
        <v>582</v>
      </c>
      <c r="F89" s="59" t="s">
        <v>583</v>
      </c>
      <c r="G89" s="59" t="s">
        <v>340</v>
      </c>
      <c r="H89" s="59" t="s">
        <v>348</v>
      </c>
      <c r="I89" s="59">
        <v>17</v>
      </c>
      <c r="J89" s="61">
        <v>2.3270833333333331E-2</v>
      </c>
      <c r="K89" s="61">
        <v>1.917824074074074E-3</v>
      </c>
      <c r="L89" s="61">
        <v>5.7221064814814808E-2</v>
      </c>
      <c r="M89" s="61">
        <v>9.9537037037037042E-4</v>
      </c>
      <c r="N89" s="61">
        <v>3.6594907407407409E-2</v>
      </c>
      <c r="O89" s="61">
        <v>0.12000231481481483</v>
      </c>
      <c r="P89" s="59" t="s">
        <v>584</v>
      </c>
      <c r="Q89" s="8">
        <f t="shared" si="1"/>
        <v>718</v>
      </c>
    </row>
    <row r="90" spans="1:17" ht="15" customHeight="1">
      <c r="A90" s="59">
        <v>89</v>
      </c>
      <c r="B90" s="59">
        <v>89</v>
      </c>
      <c r="C90" s="60" t="s">
        <v>135</v>
      </c>
      <c r="D90" s="59" t="s">
        <v>585</v>
      </c>
      <c r="E90" s="59" t="s">
        <v>586</v>
      </c>
      <c r="F90" s="59"/>
      <c r="G90" s="59" t="s">
        <v>340</v>
      </c>
      <c r="H90" s="59" t="s">
        <v>341</v>
      </c>
      <c r="I90" s="59">
        <v>18</v>
      </c>
      <c r="J90" s="61">
        <v>2.487962962962963E-2</v>
      </c>
      <c r="K90" s="61">
        <v>1.7372685185185184E-3</v>
      </c>
      <c r="L90" s="61">
        <v>5.9666666666666666E-2</v>
      </c>
      <c r="M90" s="61">
        <v>1.1585648148148147E-3</v>
      </c>
      <c r="N90" s="61">
        <v>3.2751157407407402E-2</v>
      </c>
      <c r="O90" s="61">
        <v>0.12019560185185185</v>
      </c>
      <c r="P90" s="59" t="s">
        <v>587</v>
      </c>
      <c r="Q90" s="8">
        <f t="shared" si="1"/>
        <v>717</v>
      </c>
    </row>
    <row r="91" spans="1:17" ht="15" customHeight="1">
      <c r="A91" s="59">
        <v>90</v>
      </c>
      <c r="B91" s="59">
        <v>45</v>
      </c>
      <c r="C91" s="60" t="s">
        <v>135</v>
      </c>
      <c r="D91" s="59" t="s">
        <v>588</v>
      </c>
      <c r="E91" s="59" t="s">
        <v>589</v>
      </c>
      <c r="F91" s="59" t="s">
        <v>199</v>
      </c>
      <c r="G91" s="59" t="s">
        <v>340</v>
      </c>
      <c r="H91" s="59" t="s">
        <v>348</v>
      </c>
      <c r="I91" s="59">
        <v>18</v>
      </c>
      <c r="J91" s="61">
        <v>2.4415509259259258E-2</v>
      </c>
      <c r="K91" s="61">
        <v>1.2326388888888888E-3</v>
      </c>
      <c r="L91" s="61">
        <v>5.441782407407407E-2</v>
      </c>
      <c r="M91" s="61">
        <v>8.2060185185185187E-4</v>
      </c>
      <c r="N91" s="61">
        <v>4.180208333333333E-2</v>
      </c>
      <c r="O91" s="61">
        <v>0.12269212962962964</v>
      </c>
      <c r="P91" s="59" t="s">
        <v>590</v>
      </c>
      <c r="Q91" s="8">
        <f t="shared" si="1"/>
        <v>702</v>
      </c>
    </row>
    <row r="92" spans="1:17" ht="15" customHeight="1">
      <c r="A92" s="59">
        <v>91</v>
      </c>
      <c r="B92" s="59">
        <v>78</v>
      </c>
      <c r="C92" s="60" t="s">
        <v>135</v>
      </c>
      <c r="D92" s="59" t="s">
        <v>591</v>
      </c>
      <c r="E92" s="59" t="s">
        <v>592</v>
      </c>
      <c r="F92" s="59"/>
      <c r="G92" s="59" t="s">
        <v>340</v>
      </c>
      <c r="H92" s="59" t="s">
        <v>348</v>
      </c>
      <c r="I92" s="59">
        <v>19</v>
      </c>
      <c r="J92" s="61">
        <v>2.7085648148148147E-2</v>
      </c>
      <c r="K92" s="61">
        <v>2.5300925925925925E-3</v>
      </c>
      <c r="L92" s="61">
        <v>6.0488425925925925E-2</v>
      </c>
      <c r="M92" s="61">
        <v>1.1689814814814816E-3</v>
      </c>
      <c r="N92" s="61">
        <v>3.1461805555555555E-2</v>
      </c>
      <c r="O92" s="61">
        <v>0.12273726851851852</v>
      </c>
      <c r="P92" s="59" t="s">
        <v>593</v>
      </c>
      <c r="Q92" s="8">
        <f t="shared" si="1"/>
        <v>702</v>
      </c>
    </row>
    <row r="93" spans="1:17" ht="15" customHeight="1">
      <c r="A93" s="59">
        <v>92</v>
      </c>
      <c r="B93" s="59">
        <v>99</v>
      </c>
      <c r="C93" s="59"/>
      <c r="D93" s="59" t="s">
        <v>594</v>
      </c>
      <c r="E93" s="59" t="s">
        <v>595</v>
      </c>
      <c r="F93" s="59" t="s">
        <v>199</v>
      </c>
      <c r="G93" s="59" t="s">
        <v>340</v>
      </c>
      <c r="H93" s="59" t="s">
        <v>344</v>
      </c>
      <c r="I93" s="59">
        <v>22</v>
      </c>
      <c r="J93" s="61">
        <v>2.4104166666666666E-2</v>
      </c>
      <c r="K93" s="61">
        <v>4.5138888888888887E-4</v>
      </c>
      <c r="L93" s="61">
        <v>6.277777777777778E-2</v>
      </c>
      <c r="M93" s="61">
        <v>6.5972222222222224E-4</v>
      </c>
      <c r="N93" s="61">
        <v>3.4803240740740739E-2</v>
      </c>
      <c r="O93" s="61">
        <v>0.12279629629629631</v>
      </c>
      <c r="P93" s="59" t="s">
        <v>596</v>
      </c>
      <c r="Q93" s="8">
        <f t="shared" si="1"/>
        <v>702</v>
      </c>
    </row>
    <row r="94" spans="1:17" ht="15" customHeight="1">
      <c r="A94" s="59">
        <v>93</v>
      </c>
      <c r="B94" s="59">
        <v>73</v>
      </c>
      <c r="C94" s="59"/>
      <c r="D94" s="59" t="s">
        <v>597</v>
      </c>
      <c r="E94" s="59" t="s">
        <v>598</v>
      </c>
      <c r="F94" s="59" t="s">
        <v>189</v>
      </c>
      <c r="G94" s="59" t="s">
        <v>319</v>
      </c>
      <c r="H94" s="59" t="s">
        <v>139</v>
      </c>
      <c r="I94" s="59">
        <v>1</v>
      </c>
      <c r="J94" s="61">
        <v>2.2164351851851852E-2</v>
      </c>
      <c r="K94" s="61">
        <v>1.3865740740740741E-3</v>
      </c>
      <c r="L94" s="61">
        <v>6.1612268518518518E-2</v>
      </c>
      <c r="M94" s="61">
        <v>7.2685185185185179E-4</v>
      </c>
      <c r="N94" s="61">
        <v>3.7435185185185189E-2</v>
      </c>
      <c r="O94" s="61">
        <v>0.1233275462962963</v>
      </c>
      <c r="P94" s="59" t="s">
        <v>599</v>
      </c>
      <c r="Q94" s="8">
        <f t="shared" si="1"/>
        <v>699</v>
      </c>
    </row>
    <row r="95" spans="1:17" ht="15" customHeight="1">
      <c r="A95" s="59">
        <v>94</v>
      </c>
      <c r="B95" s="59">
        <v>82</v>
      </c>
      <c r="C95" s="60" t="s">
        <v>135</v>
      </c>
      <c r="D95" s="59" t="s">
        <v>600</v>
      </c>
      <c r="E95" s="59" t="s">
        <v>601</v>
      </c>
      <c r="F95" s="59" t="s">
        <v>189</v>
      </c>
      <c r="G95" s="59" t="s">
        <v>340</v>
      </c>
      <c r="H95" s="59" t="s">
        <v>341</v>
      </c>
      <c r="I95" s="59">
        <v>19</v>
      </c>
      <c r="J95" s="61">
        <v>2.5504629629629627E-2</v>
      </c>
      <c r="K95" s="61">
        <v>2.1145833333333333E-3</v>
      </c>
      <c r="L95" s="61">
        <v>5.7489583333333337E-2</v>
      </c>
      <c r="M95" s="61">
        <v>8.6921296296296291E-4</v>
      </c>
      <c r="N95" s="61">
        <v>3.7347222222222226E-2</v>
      </c>
      <c r="O95" s="61">
        <v>0.1233275462962963</v>
      </c>
      <c r="P95" s="59" t="s">
        <v>599</v>
      </c>
      <c r="Q95" s="8">
        <f t="shared" si="1"/>
        <v>699</v>
      </c>
    </row>
    <row r="96" spans="1:17" ht="15" customHeight="1">
      <c r="A96" s="59">
        <v>95</v>
      </c>
      <c r="B96" s="59">
        <v>122</v>
      </c>
      <c r="C96" s="60" t="s">
        <v>135</v>
      </c>
      <c r="D96" s="59" t="s">
        <v>602</v>
      </c>
      <c r="E96" s="59" t="s">
        <v>603</v>
      </c>
      <c r="F96" s="59" t="s">
        <v>367</v>
      </c>
      <c r="G96" s="59" t="s">
        <v>340</v>
      </c>
      <c r="H96" s="59" t="s">
        <v>341</v>
      </c>
      <c r="I96" s="59">
        <v>20</v>
      </c>
      <c r="J96" s="61">
        <v>2.6601851851851852E-2</v>
      </c>
      <c r="K96" s="61">
        <v>2.2013888888888886E-3</v>
      </c>
      <c r="L96" s="61">
        <v>5.9444444444444446E-2</v>
      </c>
      <c r="M96" s="61">
        <v>1.0081018518518518E-3</v>
      </c>
      <c r="N96" s="61">
        <v>3.4135416666666668E-2</v>
      </c>
      <c r="O96" s="61">
        <v>0.12339351851851853</v>
      </c>
      <c r="P96" s="59" t="s">
        <v>604</v>
      </c>
      <c r="Q96" s="8">
        <f t="shared" si="1"/>
        <v>698</v>
      </c>
    </row>
    <row r="97" spans="1:17" ht="15" customHeight="1">
      <c r="A97" s="59">
        <v>96</v>
      </c>
      <c r="B97" s="59">
        <v>137</v>
      </c>
      <c r="C97" s="60" t="s">
        <v>135</v>
      </c>
      <c r="D97" s="59" t="s">
        <v>330</v>
      </c>
      <c r="E97" s="59" t="s">
        <v>331</v>
      </c>
      <c r="F97" s="59" t="s">
        <v>173</v>
      </c>
      <c r="G97" s="59" t="s">
        <v>340</v>
      </c>
      <c r="H97" s="59" t="s">
        <v>420</v>
      </c>
      <c r="I97" s="59">
        <v>5</v>
      </c>
      <c r="J97" s="61">
        <v>2.1663194444444443E-2</v>
      </c>
      <c r="K97" s="61">
        <v>1.5810185185185185E-3</v>
      </c>
      <c r="L97" s="61">
        <v>5.5476851851851847E-2</v>
      </c>
      <c r="M97" s="61">
        <v>8.0671296296296296E-4</v>
      </c>
      <c r="N97" s="61">
        <v>4.3898148148148151E-2</v>
      </c>
      <c r="O97" s="61">
        <v>0.12342708333333334</v>
      </c>
      <c r="P97" s="59" t="s">
        <v>605</v>
      </c>
      <c r="Q97" s="8">
        <f t="shared" si="1"/>
        <v>698</v>
      </c>
    </row>
    <row r="98" spans="1:17" ht="15" customHeight="1">
      <c r="A98" s="59">
        <v>97</v>
      </c>
      <c r="B98" s="59">
        <v>22</v>
      </c>
      <c r="C98" s="60" t="s">
        <v>135</v>
      </c>
      <c r="D98" s="59" t="s">
        <v>606</v>
      </c>
      <c r="E98" s="59" t="s">
        <v>607</v>
      </c>
      <c r="F98" s="59" t="s">
        <v>203</v>
      </c>
      <c r="G98" s="59" t="s">
        <v>340</v>
      </c>
      <c r="H98" s="59" t="s">
        <v>348</v>
      </c>
      <c r="I98" s="59">
        <v>20</v>
      </c>
      <c r="J98" s="61">
        <v>2.375810185185185E-2</v>
      </c>
      <c r="K98" s="61">
        <v>1.5983796296296295E-3</v>
      </c>
      <c r="L98" s="61">
        <v>5.8149305555555558E-2</v>
      </c>
      <c r="M98" s="61">
        <v>1.2986111111111111E-3</v>
      </c>
      <c r="N98" s="61">
        <v>3.8766203703703705E-2</v>
      </c>
      <c r="O98" s="61">
        <v>0.12357407407407407</v>
      </c>
      <c r="P98" s="59" t="s">
        <v>608</v>
      </c>
      <c r="Q98" s="8">
        <f t="shared" si="1"/>
        <v>697</v>
      </c>
    </row>
    <row r="99" spans="1:17" ht="15" customHeight="1">
      <c r="A99" s="59">
        <v>98</v>
      </c>
      <c r="B99" s="59">
        <v>129</v>
      </c>
      <c r="C99" s="60" t="s">
        <v>135</v>
      </c>
      <c r="D99" s="59" t="s">
        <v>609</v>
      </c>
      <c r="E99" s="59" t="s">
        <v>610</v>
      </c>
      <c r="F99" s="59"/>
      <c r="G99" s="59" t="s">
        <v>340</v>
      </c>
      <c r="H99" s="59" t="s">
        <v>357</v>
      </c>
      <c r="I99" s="59">
        <v>12</v>
      </c>
      <c r="J99" s="61">
        <v>2.5533564814814814E-2</v>
      </c>
      <c r="K99" s="61">
        <v>3.2951388888888887E-3</v>
      </c>
      <c r="L99" s="61">
        <v>5.7199074074074076E-2</v>
      </c>
      <c r="M99" s="61">
        <v>1.210648148148148E-3</v>
      </c>
      <c r="N99" s="61">
        <v>3.7626157407407407E-2</v>
      </c>
      <c r="O99" s="61">
        <v>0.12486574074074074</v>
      </c>
      <c r="P99" s="59" t="s">
        <v>611</v>
      </c>
      <c r="Q99" s="8">
        <f t="shared" si="1"/>
        <v>690</v>
      </c>
    </row>
    <row r="100" spans="1:17" ht="15" customHeight="1">
      <c r="A100" s="59">
        <v>99</v>
      </c>
      <c r="B100" s="59">
        <v>60</v>
      </c>
      <c r="C100" s="60" t="s">
        <v>135</v>
      </c>
      <c r="D100" s="59" t="s">
        <v>612</v>
      </c>
      <c r="E100" s="59" t="s">
        <v>613</v>
      </c>
      <c r="F100" s="59" t="s">
        <v>138</v>
      </c>
      <c r="G100" s="59" t="s">
        <v>319</v>
      </c>
      <c r="H100" s="59" t="s">
        <v>149</v>
      </c>
      <c r="I100" s="59">
        <v>2</v>
      </c>
      <c r="J100" s="61">
        <v>2.9318287037037035E-2</v>
      </c>
      <c r="K100" s="61">
        <v>2.5902777777777777E-3</v>
      </c>
      <c r="L100" s="61">
        <v>5.2351851851851851E-2</v>
      </c>
      <c r="M100" s="61">
        <v>1.1354166666666665E-3</v>
      </c>
      <c r="N100" s="61">
        <v>3.9633101851851857E-2</v>
      </c>
      <c r="O100" s="61">
        <v>0.12503125000000001</v>
      </c>
      <c r="P100" s="59" t="s">
        <v>614</v>
      </c>
      <c r="Q100" s="8">
        <f t="shared" si="1"/>
        <v>689</v>
      </c>
    </row>
    <row r="101" spans="1:17" ht="15" customHeight="1">
      <c r="A101" s="59">
        <v>100</v>
      </c>
      <c r="B101" s="59">
        <v>13</v>
      </c>
      <c r="C101" s="60" t="s">
        <v>135</v>
      </c>
      <c r="D101" s="59" t="s">
        <v>615</v>
      </c>
      <c r="E101" s="59" t="s">
        <v>616</v>
      </c>
      <c r="F101" s="59" t="s">
        <v>617</v>
      </c>
      <c r="G101" s="59" t="s">
        <v>340</v>
      </c>
      <c r="H101" s="59" t="s">
        <v>348</v>
      </c>
      <c r="I101" s="59">
        <v>21</v>
      </c>
      <c r="J101" s="61">
        <v>2.617939814814815E-2</v>
      </c>
      <c r="K101" s="61">
        <v>2.6481481481481482E-3</v>
      </c>
      <c r="L101" s="61">
        <v>6.2770833333333331E-2</v>
      </c>
      <c r="M101" s="61">
        <v>1.2638888888888888E-3</v>
      </c>
      <c r="N101" s="61">
        <v>3.2582175925925924E-2</v>
      </c>
      <c r="O101" s="61">
        <v>0.12544791666666669</v>
      </c>
      <c r="P101" s="59" t="s">
        <v>618</v>
      </c>
      <c r="Q101" s="8">
        <f t="shared" si="1"/>
        <v>687</v>
      </c>
    </row>
    <row r="102" spans="1:17" ht="15" customHeight="1">
      <c r="A102" s="59">
        <v>101</v>
      </c>
      <c r="B102" s="59">
        <v>88</v>
      </c>
      <c r="C102" s="60" t="s">
        <v>135</v>
      </c>
      <c r="D102" s="59" t="s">
        <v>619</v>
      </c>
      <c r="E102" s="59" t="s">
        <v>620</v>
      </c>
      <c r="F102" s="59"/>
      <c r="G102" s="59" t="s">
        <v>340</v>
      </c>
      <c r="H102" s="59" t="s">
        <v>341</v>
      </c>
      <c r="I102" s="59">
        <v>21</v>
      </c>
      <c r="J102" s="61">
        <v>2.7052083333333334E-2</v>
      </c>
      <c r="K102" s="61">
        <v>2.1828703703703702E-3</v>
      </c>
      <c r="L102" s="61">
        <v>6.3538194444444446E-2</v>
      </c>
      <c r="M102" s="61">
        <v>1.0416666666666667E-3</v>
      </c>
      <c r="N102" s="61">
        <v>3.2415509259259255E-2</v>
      </c>
      <c r="O102" s="61">
        <v>0.12623263888888889</v>
      </c>
      <c r="P102" s="59" t="s">
        <v>621</v>
      </c>
      <c r="Q102" s="8">
        <f t="shared" si="1"/>
        <v>683</v>
      </c>
    </row>
    <row r="103" spans="1:17" ht="15" customHeight="1">
      <c r="A103" s="59">
        <v>102</v>
      </c>
      <c r="B103" s="59">
        <v>83</v>
      </c>
      <c r="C103" s="60" t="s">
        <v>135</v>
      </c>
      <c r="D103" s="59" t="s">
        <v>622</v>
      </c>
      <c r="E103" s="59" t="s">
        <v>623</v>
      </c>
      <c r="F103" s="59" t="s">
        <v>173</v>
      </c>
      <c r="G103" s="59" t="s">
        <v>340</v>
      </c>
      <c r="H103" s="59" t="s">
        <v>624</v>
      </c>
      <c r="I103" s="59">
        <v>1</v>
      </c>
      <c r="J103" s="61">
        <v>2.3921296296296298E-2</v>
      </c>
      <c r="K103" s="61">
        <v>3.9479166666666673E-3</v>
      </c>
      <c r="L103" s="61">
        <v>6.1674768518518518E-2</v>
      </c>
      <c r="M103" s="61">
        <v>2.0752314814814817E-3</v>
      </c>
      <c r="N103" s="61">
        <v>3.4696759259259261E-2</v>
      </c>
      <c r="O103" s="61">
        <v>0.12631712962962963</v>
      </c>
      <c r="P103" s="59" t="s">
        <v>625</v>
      </c>
      <c r="Q103" s="8">
        <f t="shared" si="1"/>
        <v>682</v>
      </c>
    </row>
    <row r="104" spans="1:17" ht="15" customHeight="1">
      <c r="A104" s="59">
        <v>103</v>
      </c>
      <c r="B104" s="59">
        <v>11</v>
      </c>
      <c r="C104" s="60" t="s">
        <v>135</v>
      </c>
      <c r="D104" s="59" t="s">
        <v>626</v>
      </c>
      <c r="E104" s="59" t="s">
        <v>627</v>
      </c>
      <c r="F104" s="59" t="s">
        <v>138</v>
      </c>
      <c r="G104" s="59" t="s">
        <v>319</v>
      </c>
      <c r="H104" s="59" t="s">
        <v>149</v>
      </c>
      <c r="I104" s="59">
        <v>3</v>
      </c>
      <c r="J104" s="61">
        <v>2.6548611111111113E-2</v>
      </c>
      <c r="K104" s="61">
        <v>2.5405092592592593E-3</v>
      </c>
      <c r="L104" s="61">
        <v>6.1182870370370367E-2</v>
      </c>
      <c r="M104" s="61">
        <v>8.0324074074074076E-4</v>
      </c>
      <c r="N104" s="61">
        <v>3.5263888888888893E-2</v>
      </c>
      <c r="O104" s="61">
        <v>0.12634143518518517</v>
      </c>
      <c r="P104" s="59" t="s">
        <v>628</v>
      </c>
      <c r="Q104" s="8">
        <f t="shared" si="1"/>
        <v>682</v>
      </c>
    </row>
    <row r="105" spans="1:17" ht="15" customHeight="1">
      <c r="A105" s="59">
        <v>104</v>
      </c>
      <c r="B105" s="59">
        <v>47</v>
      </c>
      <c r="C105" s="60" t="s">
        <v>135</v>
      </c>
      <c r="D105" s="59" t="s">
        <v>629</v>
      </c>
      <c r="E105" s="59" t="s">
        <v>630</v>
      </c>
      <c r="F105" s="59" t="s">
        <v>631</v>
      </c>
      <c r="G105" s="59" t="s">
        <v>340</v>
      </c>
      <c r="H105" s="59" t="s">
        <v>341</v>
      </c>
      <c r="I105" s="59">
        <v>22</v>
      </c>
      <c r="J105" s="61">
        <v>2.4435185185185185E-2</v>
      </c>
      <c r="K105" s="61">
        <v>4.100694444444445E-3</v>
      </c>
      <c r="L105" s="61">
        <v>6.1407407407407411E-2</v>
      </c>
      <c r="M105" s="61">
        <v>5.8796296296296298E-4</v>
      </c>
      <c r="N105" s="61">
        <v>3.667824074074074E-2</v>
      </c>
      <c r="O105" s="61">
        <v>0.12721064814814814</v>
      </c>
      <c r="P105" s="59" t="s">
        <v>632</v>
      </c>
      <c r="Q105" s="8">
        <f t="shared" si="1"/>
        <v>677</v>
      </c>
    </row>
    <row r="106" spans="1:17" ht="15" customHeight="1">
      <c r="A106" s="59">
        <v>105</v>
      </c>
      <c r="B106" s="59">
        <v>21</v>
      </c>
      <c r="C106" s="60" t="s">
        <v>135</v>
      </c>
      <c r="D106" s="59" t="s">
        <v>633</v>
      </c>
      <c r="E106" s="59" t="s">
        <v>634</v>
      </c>
      <c r="F106" s="59"/>
      <c r="G106" s="59" t="s">
        <v>340</v>
      </c>
      <c r="H106" s="59" t="s">
        <v>348</v>
      </c>
      <c r="I106" s="59">
        <v>22</v>
      </c>
      <c r="J106" s="61">
        <v>2.8101851851851854E-2</v>
      </c>
      <c r="K106" s="61">
        <v>2.0717592592592593E-3</v>
      </c>
      <c r="L106" s="61">
        <v>6.0061342592592597E-2</v>
      </c>
      <c r="M106" s="61">
        <v>1.238425925925926E-3</v>
      </c>
      <c r="N106" s="61">
        <v>3.6023148148148151E-2</v>
      </c>
      <c r="O106" s="61">
        <v>0.12749884259259259</v>
      </c>
      <c r="P106" s="59" t="s">
        <v>635</v>
      </c>
      <c r="Q106" s="8">
        <f t="shared" si="1"/>
        <v>676</v>
      </c>
    </row>
    <row r="107" spans="1:17" ht="15" customHeight="1">
      <c r="A107" s="59">
        <v>106</v>
      </c>
      <c r="B107" s="59">
        <v>6</v>
      </c>
      <c r="C107" s="60" t="s">
        <v>135</v>
      </c>
      <c r="D107" s="59" t="s">
        <v>636</v>
      </c>
      <c r="E107" s="59" t="s">
        <v>637</v>
      </c>
      <c r="F107" s="59" t="s">
        <v>573</v>
      </c>
      <c r="G107" s="59" t="s">
        <v>340</v>
      </c>
      <c r="H107" s="59" t="s">
        <v>352</v>
      </c>
      <c r="I107" s="59">
        <v>14</v>
      </c>
      <c r="J107" s="61">
        <v>2.483101851851852E-2</v>
      </c>
      <c r="K107" s="61">
        <v>2.7222222222222222E-3</v>
      </c>
      <c r="L107" s="61">
        <v>6.084490740740741E-2</v>
      </c>
      <c r="M107" s="61">
        <v>1.1921296296296296E-3</v>
      </c>
      <c r="N107" s="61">
        <v>3.8374999999999999E-2</v>
      </c>
      <c r="O107" s="61">
        <v>0.12796759259259258</v>
      </c>
      <c r="P107" s="59" t="s">
        <v>638</v>
      </c>
      <c r="Q107" s="8">
        <f t="shared" si="1"/>
        <v>673</v>
      </c>
    </row>
    <row r="108" spans="1:17" ht="15" customHeight="1">
      <c r="A108" s="59">
        <v>107</v>
      </c>
      <c r="B108" s="59">
        <v>41</v>
      </c>
      <c r="C108" s="60" t="s">
        <v>135</v>
      </c>
      <c r="D108" s="59" t="s">
        <v>639</v>
      </c>
      <c r="E108" s="59" t="s">
        <v>640</v>
      </c>
      <c r="F108" s="59"/>
      <c r="G108" s="59" t="s">
        <v>340</v>
      </c>
      <c r="H108" s="59" t="s">
        <v>641</v>
      </c>
      <c r="I108" s="59">
        <v>1</v>
      </c>
      <c r="J108" s="61">
        <v>2.5953703703703705E-2</v>
      </c>
      <c r="K108" s="61">
        <v>1.7233796296296296E-3</v>
      </c>
      <c r="L108" s="61">
        <v>6.9690972222222231E-2</v>
      </c>
      <c r="M108" s="61">
        <v>1.3425925925925925E-3</v>
      </c>
      <c r="N108" s="61">
        <v>2.9843749999999999E-2</v>
      </c>
      <c r="O108" s="61">
        <v>0.12855671296296295</v>
      </c>
      <c r="P108" s="59" t="s">
        <v>642</v>
      </c>
      <c r="Q108" s="8">
        <f t="shared" si="1"/>
        <v>670</v>
      </c>
    </row>
    <row r="109" spans="1:17" ht="15" customHeight="1">
      <c r="A109" s="59">
        <v>108</v>
      </c>
      <c r="B109" s="59">
        <v>85</v>
      </c>
      <c r="C109" s="60" t="s">
        <v>135</v>
      </c>
      <c r="D109" s="59" t="s">
        <v>643</v>
      </c>
      <c r="E109" s="59" t="s">
        <v>644</v>
      </c>
      <c r="F109" s="59" t="s">
        <v>367</v>
      </c>
      <c r="G109" s="59" t="s">
        <v>340</v>
      </c>
      <c r="H109" s="59" t="s">
        <v>341</v>
      </c>
      <c r="I109" s="59">
        <v>23</v>
      </c>
      <c r="J109" s="61">
        <v>2.5678240740740741E-2</v>
      </c>
      <c r="K109" s="61">
        <v>1.5555555555555557E-3</v>
      </c>
      <c r="L109" s="61">
        <v>6.5841435185185176E-2</v>
      </c>
      <c r="M109" s="61">
        <v>1.2916666666666667E-3</v>
      </c>
      <c r="N109" s="61">
        <v>3.6568287037037038E-2</v>
      </c>
      <c r="O109" s="61">
        <v>0.13093750000000001</v>
      </c>
      <c r="P109" s="59" t="s">
        <v>645</v>
      </c>
      <c r="Q109" s="8">
        <f t="shared" si="1"/>
        <v>658</v>
      </c>
    </row>
    <row r="110" spans="1:17" ht="15" customHeight="1">
      <c r="A110" s="59">
        <v>109</v>
      </c>
      <c r="B110" s="59">
        <v>58</v>
      </c>
      <c r="C110" s="60" t="s">
        <v>135</v>
      </c>
      <c r="D110" s="59" t="s">
        <v>646</v>
      </c>
      <c r="E110" s="59" t="s">
        <v>647</v>
      </c>
      <c r="F110" s="59" t="s">
        <v>648</v>
      </c>
      <c r="G110" s="59" t="s">
        <v>340</v>
      </c>
      <c r="H110" s="59" t="s">
        <v>344</v>
      </c>
      <c r="I110" s="59">
        <v>23</v>
      </c>
      <c r="J110" s="61">
        <v>2.6726851851851849E-2</v>
      </c>
      <c r="K110" s="61">
        <v>1.8854166666666668E-3</v>
      </c>
      <c r="L110" s="61">
        <v>6.3157407407407412E-2</v>
      </c>
      <c r="M110" s="61">
        <v>6.2384259259259261E-4</v>
      </c>
      <c r="N110" s="61">
        <v>3.9137731481481482E-2</v>
      </c>
      <c r="O110" s="61">
        <v>0.1315324074074074</v>
      </c>
      <c r="P110" s="59" t="s">
        <v>649</v>
      </c>
      <c r="Q110" s="8">
        <f t="shared" si="1"/>
        <v>655</v>
      </c>
    </row>
    <row r="111" spans="1:17" ht="15" customHeight="1">
      <c r="A111" s="59">
        <v>110</v>
      </c>
      <c r="B111" s="59">
        <v>44</v>
      </c>
      <c r="C111" s="60" t="s">
        <v>135</v>
      </c>
      <c r="D111" s="59" t="s">
        <v>650</v>
      </c>
      <c r="E111" s="59" t="s">
        <v>651</v>
      </c>
      <c r="F111" s="59" t="s">
        <v>173</v>
      </c>
      <c r="G111" s="59" t="s">
        <v>319</v>
      </c>
      <c r="H111" s="59" t="s">
        <v>154</v>
      </c>
      <c r="I111" s="59">
        <v>1</v>
      </c>
      <c r="J111" s="61">
        <v>2.5701388888888888E-2</v>
      </c>
      <c r="K111" s="61">
        <v>1.9305555555555556E-3</v>
      </c>
      <c r="L111" s="61">
        <v>6.7271990740740736E-2</v>
      </c>
      <c r="M111" s="61">
        <v>1.0138888888888888E-3</v>
      </c>
      <c r="N111" s="61">
        <v>3.6357638888888891E-2</v>
      </c>
      <c r="O111" s="61">
        <v>0.13227777777777777</v>
      </c>
      <c r="P111" s="59" t="s">
        <v>652</v>
      </c>
      <c r="Q111" s="8">
        <f t="shared" si="1"/>
        <v>651</v>
      </c>
    </row>
    <row r="112" spans="1:17" ht="15" customHeight="1">
      <c r="A112" s="59">
        <v>111</v>
      </c>
      <c r="B112" s="59">
        <v>55</v>
      </c>
      <c r="C112" s="60" t="s">
        <v>135</v>
      </c>
      <c r="D112" s="59" t="s">
        <v>653</v>
      </c>
      <c r="E112" s="59" t="s">
        <v>654</v>
      </c>
      <c r="F112" s="59" t="s">
        <v>655</v>
      </c>
      <c r="G112" s="59" t="s">
        <v>340</v>
      </c>
      <c r="H112" s="59" t="s">
        <v>344</v>
      </c>
      <c r="I112" s="59">
        <v>24</v>
      </c>
      <c r="J112" s="61">
        <v>3.0427083333333334E-2</v>
      </c>
      <c r="K112" s="61">
        <v>2.3518518518518519E-3</v>
      </c>
      <c r="L112" s="61">
        <v>6.7170138888888883E-2</v>
      </c>
      <c r="M112" s="61">
        <v>1.0659722222222221E-3</v>
      </c>
      <c r="N112" s="61">
        <v>3.16875E-2</v>
      </c>
      <c r="O112" s="61">
        <v>0.13270601851851851</v>
      </c>
      <c r="P112" s="59" t="s">
        <v>656</v>
      </c>
      <c r="Q112" s="8">
        <f t="shared" si="1"/>
        <v>649</v>
      </c>
    </row>
    <row r="113" spans="1:17" ht="15" customHeight="1">
      <c r="A113" s="59">
        <v>112</v>
      </c>
      <c r="B113" s="59">
        <v>59</v>
      </c>
      <c r="C113" s="60" t="s">
        <v>135</v>
      </c>
      <c r="D113" s="59" t="s">
        <v>321</v>
      </c>
      <c r="E113" s="59" t="s">
        <v>322</v>
      </c>
      <c r="F113" s="59"/>
      <c r="G113" s="59" t="s">
        <v>340</v>
      </c>
      <c r="H113" s="59" t="s">
        <v>348</v>
      </c>
      <c r="I113" s="59">
        <v>23</v>
      </c>
      <c r="J113" s="61">
        <v>2.8283564814814813E-2</v>
      </c>
      <c r="K113" s="61">
        <v>2.9120370370370368E-3</v>
      </c>
      <c r="L113" s="61">
        <v>6.6715277777777776E-2</v>
      </c>
      <c r="M113" s="61">
        <v>6.9444444444444447E-4</v>
      </c>
      <c r="N113" s="61">
        <v>3.4819444444444445E-2</v>
      </c>
      <c r="O113" s="61">
        <v>0.13342592592592592</v>
      </c>
      <c r="P113" s="59" t="s">
        <v>657</v>
      </c>
      <c r="Q113" s="8">
        <f t="shared" si="1"/>
        <v>646</v>
      </c>
    </row>
    <row r="114" spans="1:17" ht="15" customHeight="1">
      <c r="A114" s="59">
        <v>113</v>
      </c>
      <c r="B114" s="59">
        <v>77</v>
      </c>
      <c r="C114" s="60" t="s">
        <v>135</v>
      </c>
      <c r="D114" s="59" t="s">
        <v>327</v>
      </c>
      <c r="E114" s="59" t="s">
        <v>328</v>
      </c>
      <c r="F114" s="59"/>
      <c r="G114" s="59" t="s">
        <v>340</v>
      </c>
      <c r="H114" s="59" t="s">
        <v>348</v>
      </c>
      <c r="I114" s="59">
        <v>24</v>
      </c>
      <c r="J114" s="61">
        <v>2.4953703703703704E-2</v>
      </c>
      <c r="K114" s="61">
        <v>1.8518518518518519E-3</v>
      </c>
      <c r="L114" s="61">
        <v>6.5115740740740738E-2</v>
      </c>
      <c r="M114" s="61">
        <v>6.5277777777777773E-4</v>
      </c>
      <c r="N114" s="61">
        <v>4.0851851851851848E-2</v>
      </c>
      <c r="O114" s="61">
        <v>0.13342824074074075</v>
      </c>
      <c r="P114" s="59" t="s">
        <v>658</v>
      </c>
      <c r="Q114" s="8">
        <f t="shared" si="1"/>
        <v>646</v>
      </c>
    </row>
    <row r="115" spans="1:17" ht="15" customHeight="1">
      <c r="A115" s="59">
        <v>114</v>
      </c>
      <c r="B115" s="59">
        <v>113</v>
      </c>
      <c r="C115" s="60" t="s">
        <v>135</v>
      </c>
      <c r="D115" s="59" t="s">
        <v>659</v>
      </c>
      <c r="E115" s="59" t="s">
        <v>660</v>
      </c>
      <c r="F115" s="59" t="s">
        <v>199</v>
      </c>
      <c r="G115" s="59" t="s">
        <v>340</v>
      </c>
      <c r="H115" s="59" t="s">
        <v>344</v>
      </c>
      <c r="I115" s="59">
        <v>25</v>
      </c>
      <c r="J115" s="61">
        <v>2.6974537037037036E-2</v>
      </c>
      <c r="K115" s="61">
        <v>2.1770833333333334E-3</v>
      </c>
      <c r="L115" s="61">
        <v>6.5046296296296297E-2</v>
      </c>
      <c r="M115" s="61">
        <v>1.0104166666666666E-3</v>
      </c>
      <c r="N115" s="61">
        <v>4.0273148148148148E-2</v>
      </c>
      <c r="O115" s="61">
        <v>0.1354826388888889</v>
      </c>
      <c r="P115" s="59" t="s">
        <v>661</v>
      </c>
      <c r="Q115" s="8">
        <f t="shared" si="1"/>
        <v>636</v>
      </c>
    </row>
    <row r="116" spans="1:17" ht="15" customHeight="1">
      <c r="A116" s="59">
        <v>115</v>
      </c>
      <c r="B116" s="59">
        <v>31</v>
      </c>
      <c r="C116" s="60" t="s">
        <v>135</v>
      </c>
      <c r="D116" s="59" t="s">
        <v>662</v>
      </c>
      <c r="E116" s="59" t="s">
        <v>663</v>
      </c>
      <c r="F116" s="59"/>
      <c r="G116" s="59" t="s">
        <v>319</v>
      </c>
      <c r="H116" s="59" t="s">
        <v>159</v>
      </c>
      <c r="I116" s="59">
        <v>3</v>
      </c>
      <c r="J116" s="61">
        <v>3.2655092592592597E-2</v>
      </c>
      <c r="K116" s="61">
        <v>1.8194444444444443E-3</v>
      </c>
      <c r="L116" s="61">
        <v>6.8365740740740741E-2</v>
      </c>
      <c r="M116" s="61">
        <v>1.1215277777777779E-3</v>
      </c>
      <c r="N116" s="61">
        <v>3.7104166666666667E-2</v>
      </c>
      <c r="O116" s="61">
        <v>0.14106944444444444</v>
      </c>
      <c r="P116" s="59" t="s">
        <v>664</v>
      </c>
      <c r="Q116" s="8">
        <f t="shared" si="1"/>
        <v>611</v>
      </c>
    </row>
    <row r="117" spans="1:17" ht="15" customHeight="1">
      <c r="A117" s="59">
        <v>116</v>
      </c>
      <c r="B117" s="59">
        <v>127</v>
      </c>
      <c r="C117" s="60" t="s">
        <v>135</v>
      </c>
      <c r="D117" s="59" t="s">
        <v>665</v>
      </c>
      <c r="E117" s="59" t="s">
        <v>666</v>
      </c>
      <c r="F117" s="59"/>
      <c r="G117" s="59" t="s">
        <v>340</v>
      </c>
      <c r="H117" s="59" t="s">
        <v>352</v>
      </c>
      <c r="I117" s="59">
        <v>15</v>
      </c>
      <c r="J117" s="61">
        <v>3.1454861111111107E-2</v>
      </c>
      <c r="K117" s="61">
        <v>2.7071759259259258E-3</v>
      </c>
      <c r="L117" s="61">
        <v>7.1131944444444442E-2</v>
      </c>
      <c r="M117" s="61">
        <v>9.7685185185185201E-4</v>
      </c>
      <c r="N117" s="61">
        <v>3.5307870370370371E-2</v>
      </c>
      <c r="O117" s="61">
        <v>0.14157986111111112</v>
      </c>
      <c r="P117" s="59" t="s">
        <v>667</v>
      </c>
      <c r="Q117" s="8">
        <f t="shared" si="1"/>
        <v>609</v>
      </c>
    </row>
    <row r="118" spans="1:17" ht="15" customHeight="1">
      <c r="A118" s="59">
        <v>117</v>
      </c>
      <c r="B118" s="59">
        <v>87</v>
      </c>
      <c r="C118" s="60" t="s">
        <v>135</v>
      </c>
      <c r="D118" s="59" t="s">
        <v>668</v>
      </c>
      <c r="E118" s="59" t="s">
        <v>669</v>
      </c>
      <c r="F118" s="59"/>
      <c r="G118" s="59" t="s">
        <v>340</v>
      </c>
      <c r="H118" s="59" t="s">
        <v>448</v>
      </c>
      <c r="I118" s="59">
        <v>3</v>
      </c>
      <c r="J118" s="61">
        <v>3.044097222222222E-2</v>
      </c>
      <c r="K118" s="61">
        <v>1.9247685185185186E-3</v>
      </c>
      <c r="L118" s="61">
        <v>6.7413194444444449E-2</v>
      </c>
      <c r="M118" s="61">
        <v>3.2523148148148152E-4</v>
      </c>
      <c r="N118" s="61">
        <v>4.15150462962963E-2</v>
      </c>
      <c r="O118" s="61">
        <v>0.14162152777777778</v>
      </c>
      <c r="P118" s="59" t="s">
        <v>670</v>
      </c>
      <c r="Q118" s="8">
        <f t="shared" si="1"/>
        <v>608</v>
      </c>
    </row>
    <row r="119" spans="1:17" ht="15" customHeight="1">
      <c r="A119" s="59">
        <v>118</v>
      </c>
      <c r="B119" s="59">
        <v>10</v>
      </c>
      <c r="C119" s="60" t="s">
        <v>135</v>
      </c>
      <c r="D119" s="59" t="s">
        <v>671</v>
      </c>
      <c r="E119" s="59" t="s">
        <v>672</v>
      </c>
      <c r="F119" s="59" t="s">
        <v>199</v>
      </c>
      <c r="G119" s="59" t="s">
        <v>319</v>
      </c>
      <c r="H119" s="59" t="s">
        <v>139</v>
      </c>
      <c r="I119" s="59">
        <v>2</v>
      </c>
      <c r="J119" s="61">
        <v>2.3403935185185184E-2</v>
      </c>
      <c r="K119" s="61">
        <v>2.162037037037037E-3</v>
      </c>
      <c r="L119" s="61">
        <v>7.2067129629629634E-2</v>
      </c>
      <c r="M119" s="61">
        <v>6.6782407407407415E-4</v>
      </c>
      <c r="N119" s="61">
        <v>4.342013888888889E-2</v>
      </c>
      <c r="O119" s="61">
        <v>0.14172337962962964</v>
      </c>
      <c r="P119" s="59" t="s">
        <v>673</v>
      </c>
      <c r="Q119" s="8">
        <f t="shared" si="1"/>
        <v>608</v>
      </c>
    </row>
    <row r="120" spans="1:17" ht="15" customHeight="1">
      <c r="A120" s="59">
        <v>119</v>
      </c>
      <c r="B120" s="59">
        <v>56</v>
      </c>
      <c r="C120" s="60" t="s">
        <v>135</v>
      </c>
      <c r="D120" s="59" t="s">
        <v>674</v>
      </c>
      <c r="E120" s="59" t="s">
        <v>675</v>
      </c>
      <c r="F120" s="59"/>
      <c r="G120" s="59" t="s">
        <v>340</v>
      </c>
      <c r="H120" s="59" t="s">
        <v>344</v>
      </c>
      <c r="I120" s="59">
        <v>26</v>
      </c>
      <c r="J120" s="61">
        <v>2.3006944444444444E-2</v>
      </c>
      <c r="K120" s="61">
        <v>2.0393518518518517E-3</v>
      </c>
      <c r="L120" s="61">
        <v>6.9443287037037033E-2</v>
      </c>
      <c r="M120" s="61">
        <v>8.6458333333333341E-4</v>
      </c>
      <c r="N120" s="61">
        <v>4.7519675925925924E-2</v>
      </c>
      <c r="O120" s="61">
        <v>0.14287615740740742</v>
      </c>
      <c r="P120" s="59" t="s">
        <v>676</v>
      </c>
      <c r="Q120" s="8">
        <f t="shared" si="1"/>
        <v>603</v>
      </c>
    </row>
    <row r="121" spans="1:17" ht="15" customHeight="1">
      <c r="A121" s="59">
        <v>120</v>
      </c>
      <c r="B121" s="59">
        <v>134</v>
      </c>
      <c r="C121" s="60" t="s">
        <v>140</v>
      </c>
      <c r="D121" s="59" t="s">
        <v>677</v>
      </c>
      <c r="E121" s="59" t="s">
        <v>678</v>
      </c>
      <c r="F121" s="59"/>
      <c r="G121" s="59" t="s">
        <v>340</v>
      </c>
      <c r="H121" s="59" t="s">
        <v>341</v>
      </c>
      <c r="I121" s="59">
        <v>24</v>
      </c>
      <c r="J121" s="61">
        <v>2.9295138888888888E-2</v>
      </c>
      <c r="K121" s="61">
        <v>3.7453703703703707E-3</v>
      </c>
      <c r="L121" s="61">
        <v>7.025578703703704E-2</v>
      </c>
      <c r="M121" s="61">
        <v>1.6099537037037037E-3</v>
      </c>
      <c r="N121" s="61">
        <v>4.2796296296296298E-2</v>
      </c>
      <c r="O121" s="61">
        <v>0.14770486111111111</v>
      </c>
      <c r="P121" s="59" t="s">
        <v>679</v>
      </c>
      <c r="Q121" s="8">
        <f t="shared" si="1"/>
        <v>583</v>
      </c>
    </row>
    <row r="122" spans="1:17" ht="15" customHeight="1">
      <c r="A122" s="59">
        <v>121</v>
      </c>
      <c r="B122" s="59">
        <v>39</v>
      </c>
      <c r="C122" s="60" t="s">
        <v>135</v>
      </c>
      <c r="D122" s="59" t="s">
        <v>680</v>
      </c>
      <c r="E122" s="59" t="s">
        <v>681</v>
      </c>
      <c r="F122" s="59" t="s">
        <v>199</v>
      </c>
      <c r="G122" s="59" t="s">
        <v>319</v>
      </c>
      <c r="H122" s="59" t="s">
        <v>139</v>
      </c>
      <c r="I122" s="59">
        <v>3</v>
      </c>
      <c r="J122" s="61">
        <v>3.0979166666666665E-2</v>
      </c>
      <c r="K122" s="61">
        <v>3.0937500000000001E-3</v>
      </c>
      <c r="L122" s="61">
        <v>8.6353009259259261E-2</v>
      </c>
      <c r="M122" s="61">
        <v>1.3576388888888889E-3</v>
      </c>
      <c r="N122" s="61">
        <v>3.8182870370370367E-2</v>
      </c>
      <c r="O122" s="61">
        <v>0.15996874999999999</v>
      </c>
      <c r="P122" s="59" t="s">
        <v>682</v>
      </c>
      <c r="Q122" s="8">
        <f t="shared" si="1"/>
        <v>539</v>
      </c>
    </row>
    <row r="123" spans="1:17" ht="15" customHeight="1">
      <c r="A123" s="59" t="s">
        <v>683</v>
      </c>
      <c r="B123" s="59">
        <v>68</v>
      </c>
      <c r="C123" s="60" t="s">
        <v>135</v>
      </c>
      <c r="D123" s="59" t="s">
        <v>684</v>
      </c>
      <c r="E123" s="59" t="s">
        <v>685</v>
      </c>
      <c r="F123" s="59" t="s">
        <v>199</v>
      </c>
      <c r="G123" s="59" t="s">
        <v>340</v>
      </c>
      <c r="H123" s="59" t="s">
        <v>344</v>
      </c>
      <c r="I123" s="59"/>
      <c r="J123" s="61">
        <v>1.9728009259259258E-2</v>
      </c>
      <c r="K123" s="59"/>
      <c r="L123" s="59"/>
      <c r="M123" s="59"/>
      <c r="N123" s="59"/>
      <c r="O123" s="59" t="s">
        <v>686</v>
      </c>
      <c r="P123" s="59"/>
      <c r="Q123" s="8">
        <f t="shared" si="1"/>
        <v>0</v>
      </c>
    </row>
    <row r="124" spans="1:17" ht="15" customHeight="1">
      <c r="A124" s="59" t="s">
        <v>683</v>
      </c>
      <c r="B124" s="59">
        <v>111</v>
      </c>
      <c r="C124" s="60" t="s">
        <v>135</v>
      </c>
      <c r="D124" s="59" t="s">
        <v>687</v>
      </c>
      <c r="E124" s="59" t="s">
        <v>688</v>
      </c>
      <c r="F124" s="59" t="s">
        <v>189</v>
      </c>
      <c r="G124" s="59" t="s">
        <v>340</v>
      </c>
      <c r="H124" s="59" t="s">
        <v>348</v>
      </c>
      <c r="I124" s="59"/>
      <c r="J124" s="61">
        <v>2.3216435185185187E-2</v>
      </c>
      <c r="K124" s="61">
        <v>6.5277777777777773E-4</v>
      </c>
      <c r="L124" s="61">
        <v>5.2092592592592593E-2</v>
      </c>
      <c r="M124" s="61">
        <v>8.8194444444444453E-4</v>
      </c>
      <c r="N124" s="59"/>
      <c r="O124" s="59" t="s">
        <v>686</v>
      </c>
      <c r="P124" s="59"/>
      <c r="Q124" s="8">
        <f t="shared" si="1"/>
        <v>0</v>
      </c>
    </row>
    <row r="125" spans="1:17" ht="15" customHeight="1">
      <c r="A125" s="59" t="s">
        <v>683</v>
      </c>
      <c r="B125" s="59">
        <v>65</v>
      </c>
      <c r="C125" s="60" t="s">
        <v>135</v>
      </c>
      <c r="D125" s="59" t="s">
        <v>689</v>
      </c>
      <c r="E125" s="59" t="s">
        <v>690</v>
      </c>
      <c r="F125" s="59" t="s">
        <v>691</v>
      </c>
      <c r="G125" s="59" t="s">
        <v>340</v>
      </c>
      <c r="H125" s="59" t="s">
        <v>348</v>
      </c>
      <c r="I125" s="59"/>
      <c r="J125" s="61">
        <v>2.0468750000000001E-2</v>
      </c>
      <c r="K125" s="61">
        <v>1.1296296296296295E-3</v>
      </c>
      <c r="L125" s="61">
        <v>5.7126157407407403E-2</v>
      </c>
      <c r="M125" s="59"/>
      <c r="N125" s="59"/>
      <c r="O125" s="59" t="s">
        <v>686</v>
      </c>
      <c r="P125" s="59"/>
      <c r="Q125" s="8">
        <f t="shared" si="1"/>
        <v>0</v>
      </c>
    </row>
    <row r="128" spans="1:17" ht="15" customHeight="1">
      <c r="A128" s="59">
        <v>1</v>
      </c>
      <c r="B128" s="59">
        <v>239</v>
      </c>
      <c r="C128" s="60" t="s">
        <v>140</v>
      </c>
      <c r="D128" s="59" t="s">
        <v>692</v>
      </c>
      <c r="E128" s="59" t="s">
        <v>693</v>
      </c>
      <c r="F128" s="59" t="s">
        <v>694</v>
      </c>
      <c r="G128" s="59" t="s">
        <v>340</v>
      </c>
      <c r="H128" s="59" t="s">
        <v>641</v>
      </c>
      <c r="I128" s="59">
        <v>1</v>
      </c>
      <c r="J128" s="61">
        <v>8.5787037037037047E-3</v>
      </c>
      <c r="K128" s="61">
        <v>6.5277777777777773E-4</v>
      </c>
      <c r="L128" s="61">
        <v>2.4104166666666666E-2</v>
      </c>
      <c r="M128" s="61">
        <v>3.1250000000000001E-4</v>
      </c>
      <c r="N128" s="61">
        <v>9.7442129629629632E-3</v>
      </c>
      <c r="O128" s="61">
        <v>4.3394675925925927E-2</v>
      </c>
      <c r="P128" s="59"/>
      <c r="Q128" s="8">
        <f>IFERROR(ROUND($O$128/O128*900,0),0)</f>
        <v>900</v>
      </c>
    </row>
    <row r="129" spans="1:17" ht="15" customHeight="1">
      <c r="A129" s="59">
        <v>2</v>
      </c>
      <c r="B129" s="59">
        <v>350</v>
      </c>
      <c r="C129" s="60" t="s">
        <v>135</v>
      </c>
      <c r="D129" s="59" t="s">
        <v>695</v>
      </c>
      <c r="E129" s="59" t="s">
        <v>696</v>
      </c>
      <c r="F129" s="59" t="s">
        <v>138</v>
      </c>
      <c r="G129" s="59" t="s">
        <v>340</v>
      </c>
      <c r="H129" s="59" t="s">
        <v>341</v>
      </c>
      <c r="I129" s="59">
        <v>1</v>
      </c>
      <c r="J129" s="61">
        <v>9.2500000000000013E-3</v>
      </c>
      <c r="K129" s="61">
        <v>4.918981481481481E-4</v>
      </c>
      <c r="L129" s="61">
        <v>2.3421296296296294E-2</v>
      </c>
      <c r="M129" s="61">
        <v>4.4328703703703701E-4</v>
      </c>
      <c r="N129" s="61">
        <v>1.0458333333333333E-2</v>
      </c>
      <c r="O129" s="61">
        <v>4.4068287037037038E-2</v>
      </c>
      <c r="P129" s="59">
        <v>58.2</v>
      </c>
      <c r="Q129" s="8">
        <f t="shared" ref="Q129:Q192" si="2">IFERROR(ROUND($O$128/O129*900,0),0)</f>
        <v>886</v>
      </c>
    </row>
    <row r="130" spans="1:17" ht="15" customHeight="1">
      <c r="A130" s="59">
        <v>3</v>
      </c>
      <c r="B130" s="59">
        <v>209</v>
      </c>
      <c r="C130" s="60" t="s">
        <v>135</v>
      </c>
      <c r="D130" s="59" t="s">
        <v>197</v>
      </c>
      <c r="E130" s="59" t="s">
        <v>198</v>
      </c>
      <c r="F130" s="59" t="s">
        <v>199</v>
      </c>
      <c r="G130" s="59" t="s">
        <v>340</v>
      </c>
      <c r="H130" s="59" t="s">
        <v>348</v>
      </c>
      <c r="I130" s="59">
        <v>1</v>
      </c>
      <c r="J130" s="61">
        <v>9.209490740740742E-3</v>
      </c>
      <c r="K130" s="61">
        <v>8.1018518518518516E-4</v>
      </c>
      <c r="L130" s="61">
        <v>2.2692129629629628E-2</v>
      </c>
      <c r="M130" s="61">
        <v>5.1967592592592593E-4</v>
      </c>
      <c r="N130" s="61">
        <v>1.0906249999999999E-2</v>
      </c>
      <c r="O130" s="61">
        <v>4.4140046296296295E-2</v>
      </c>
      <c r="P130" s="59" t="s">
        <v>697</v>
      </c>
      <c r="Q130" s="8">
        <f t="shared" si="2"/>
        <v>885</v>
      </c>
    </row>
    <row r="131" spans="1:17" ht="15" customHeight="1">
      <c r="A131" s="59">
        <v>4</v>
      </c>
      <c r="B131" s="59">
        <v>158</v>
      </c>
      <c r="C131" s="60" t="s">
        <v>135</v>
      </c>
      <c r="D131" s="59" t="s">
        <v>698</v>
      </c>
      <c r="E131" s="59" t="s">
        <v>699</v>
      </c>
      <c r="F131" s="59" t="s">
        <v>252</v>
      </c>
      <c r="G131" s="59" t="s">
        <v>340</v>
      </c>
      <c r="H131" s="59" t="s">
        <v>341</v>
      </c>
      <c r="I131" s="59">
        <v>2</v>
      </c>
      <c r="J131" s="61">
        <v>9.2650462962962955E-3</v>
      </c>
      <c r="K131" s="61">
        <v>8.1365740740740736E-4</v>
      </c>
      <c r="L131" s="61">
        <v>2.3693287037037037E-2</v>
      </c>
      <c r="M131" s="61">
        <v>4.212962962962963E-4</v>
      </c>
      <c r="N131" s="61">
        <v>1.0240740740740739E-2</v>
      </c>
      <c r="O131" s="61">
        <v>4.4438657407407406E-2</v>
      </c>
      <c r="P131" s="59" t="s">
        <v>700</v>
      </c>
      <c r="Q131" s="8">
        <f t="shared" si="2"/>
        <v>879</v>
      </c>
    </row>
    <row r="132" spans="1:17" ht="15" customHeight="1">
      <c r="A132" s="59">
        <v>5</v>
      </c>
      <c r="B132" s="59">
        <v>197</v>
      </c>
      <c r="C132" s="60" t="s">
        <v>135</v>
      </c>
      <c r="D132" s="59" t="s">
        <v>701</v>
      </c>
      <c r="E132" s="59" t="s">
        <v>702</v>
      </c>
      <c r="F132" s="59" t="s">
        <v>199</v>
      </c>
      <c r="G132" s="59" t="s">
        <v>340</v>
      </c>
      <c r="H132" s="59" t="s">
        <v>344</v>
      </c>
      <c r="I132" s="59">
        <v>1</v>
      </c>
      <c r="J132" s="61">
        <v>8.1840277777777779E-3</v>
      </c>
      <c r="K132" s="61">
        <v>1.0115740740740742E-3</v>
      </c>
      <c r="L132" s="61">
        <v>2.4190972222222221E-2</v>
      </c>
      <c r="M132" s="61">
        <v>3.8773148148148147E-4</v>
      </c>
      <c r="N132" s="61">
        <v>1.1184027777777777E-2</v>
      </c>
      <c r="O132" s="61">
        <v>4.4960648148148145E-2</v>
      </c>
      <c r="P132" s="59" t="s">
        <v>703</v>
      </c>
      <c r="Q132" s="8">
        <f t="shared" si="2"/>
        <v>869</v>
      </c>
    </row>
    <row r="133" spans="1:17" ht="15" customHeight="1">
      <c r="A133" s="59">
        <v>6</v>
      </c>
      <c r="B133" s="59">
        <v>248</v>
      </c>
      <c r="C133" s="60" t="s">
        <v>135</v>
      </c>
      <c r="D133" s="59" t="s">
        <v>704</v>
      </c>
      <c r="E133" s="59" t="s">
        <v>705</v>
      </c>
      <c r="F133" s="59" t="s">
        <v>706</v>
      </c>
      <c r="G133" s="59" t="s">
        <v>340</v>
      </c>
      <c r="H133" s="59" t="s">
        <v>352</v>
      </c>
      <c r="I133" s="59">
        <v>1</v>
      </c>
      <c r="J133" s="61">
        <v>9.1782407407407403E-3</v>
      </c>
      <c r="K133" s="61">
        <v>1.0011574074074074E-3</v>
      </c>
      <c r="L133" s="61">
        <v>2.4939814814814817E-2</v>
      </c>
      <c r="M133" s="61">
        <v>3.1828703703703706E-4</v>
      </c>
      <c r="N133" s="61">
        <v>9.6469907407407407E-3</v>
      </c>
      <c r="O133" s="61">
        <v>4.5085648148148152E-2</v>
      </c>
      <c r="P133" s="59" t="s">
        <v>707</v>
      </c>
      <c r="Q133" s="8">
        <f t="shared" si="2"/>
        <v>866</v>
      </c>
    </row>
    <row r="134" spans="1:17" ht="15" customHeight="1">
      <c r="A134" s="59">
        <v>7</v>
      </c>
      <c r="B134" s="59">
        <v>176</v>
      </c>
      <c r="C134" s="60" t="s">
        <v>135</v>
      </c>
      <c r="D134" s="59" t="s">
        <v>708</v>
      </c>
      <c r="E134" s="59" t="s">
        <v>709</v>
      </c>
      <c r="F134" s="59" t="s">
        <v>138</v>
      </c>
      <c r="G134" s="59" t="s">
        <v>340</v>
      </c>
      <c r="H134" s="59" t="s">
        <v>420</v>
      </c>
      <c r="I134" s="59">
        <v>1</v>
      </c>
      <c r="J134" s="61">
        <v>8.1030092592592595E-3</v>
      </c>
      <c r="K134" s="61">
        <v>6.9444444444444447E-4</v>
      </c>
      <c r="L134" s="61">
        <v>2.5525462962962965E-2</v>
      </c>
      <c r="M134" s="61">
        <v>4.4675925925925927E-4</v>
      </c>
      <c r="N134" s="61">
        <v>1.1181712962962963E-2</v>
      </c>
      <c r="O134" s="61">
        <v>4.5952546296296297E-2</v>
      </c>
      <c r="P134" s="59" t="s">
        <v>710</v>
      </c>
      <c r="Q134" s="8">
        <f t="shared" si="2"/>
        <v>850</v>
      </c>
    </row>
    <row r="135" spans="1:17" ht="15" customHeight="1">
      <c r="A135" s="59">
        <v>8</v>
      </c>
      <c r="B135" s="59">
        <v>251</v>
      </c>
      <c r="C135" s="60" t="s">
        <v>135</v>
      </c>
      <c r="D135" s="59" t="s">
        <v>711</v>
      </c>
      <c r="E135" s="59" t="s">
        <v>712</v>
      </c>
      <c r="F135" s="59" t="s">
        <v>713</v>
      </c>
      <c r="G135" s="59" t="s">
        <v>340</v>
      </c>
      <c r="H135" s="59" t="s">
        <v>341</v>
      </c>
      <c r="I135" s="59">
        <v>3</v>
      </c>
      <c r="J135" s="61">
        <v>9.6539351851851855E-3</v>
      </c>
      <c r="K135" s="61">
        <v>6.7013888888888885E-4</v>
      </c>
      <c r="L135" s="61">
        <v>2.3138888888888889E-2</v>
      </c>
      <c r="M135" s="61">
        <v>6.5625000000000004E-4</v>
      </c>
      <c r="N135" s="61">
        <v>1.1834490740740741E-2</v>
      </c>
      <c r="O135" s="61">
        <v>4.5954861111111113E-2</v>
      </c>
      <c r="P135" s="59" t="s">
        <v>714</v>
      </c>
      <c r="Q135" s="8">
        <f t="shared" si="2"/>
        <v>850</v>
      </c>
    </row>
    <row r="136" spans="1:17" ht="15" customHeight="1">
      <c r="A136" s="59">
        <v>9</v>
      </c>
      <c r="B136" s="59">
        <v>211</v>
      </c>
      <c r="C136" s="60" t="s">
        <v>135</v>
      </c>
      <c r="D136" s="59" t="s">
        <v>715</v>
      </c>
      <c r="E136" s="59" t="s">
        <v>716</v>
      </c>
      <c r="F136" s="59" t="s">
        <v>173</v>
      </c>
      <c r="G136" s="59" t="s">
        <v>319</v>
      </c>
      <c r="H136" s="59" t="s">
        <v>159</v>
      </c>
      <c r="I136" s="59">
        <v>1</v>
      </c>
      <c r="J136" s="61">
        <v>8.2569444444444435E-3</v>
      </c>
      <c r="K136" s="61">
        <v>5.2662037037037033E-4</v>
      </c>
      <c r="L136" s="61">
        <v>2.6314814814814815E-2</v>
      </c>
      <c r="M136" s="61">
        <v>3.4837962962962964E-4</v>
      </c>
      <c r="N136" s="61">
        <v>1.064699074074074E-2</v>
      </c>
      <c r="O136" s="61">
        <v>4.6094907407407404E-2</v>
      </c>
      <c r="P136" s="59" t="s">
        <v>717</v>
      </c>
      <c r="Q136" s="8">
        <f t="shared" si="2"/>
        <v>847</v>
      </c>
    </row>
    <row r="137" spans="1:17" ht="15" customHeight="1">
      <c r="A137" s="59">
        <v>10</v>
      </c>
      <c r="B137" s="59">
        <v>172</v>
      </c>
      <c r="C137" s="59"/>
      <c r="D137" s="59" t="s">
        <v>718</v>
      </c>
      <c r="E137" s="59" t="s">
        <v>719</v>
      </c>
      <c r="F137" s="59" t="s">
        <v>252</v>
      </c>
      <c r="G137" s="59" t="s">
        <v>340</v>
      </c>
      <c r="H137" s="59" t="s">
        <v>344</v>
      </c>
      <c r="I137" s="59">
        <v>2</v>
      </c>
      <c r="J137" s="61">
        <v>9.3807870370370364E-3</v>
      </c>
      <c r="K137" s="61">
        <v>7.2337962962962959E-4</v>
      </c>
      <c r="L137" s="61">
        <v>2.49849537037037E-2</v>
      </c>
      <c r="M137" s="61">
        <v>3.9467592592592592E-4</v>
      </c>
      <c r="N137" s="61">
        <v>1.075925925925926E-2</v>
      </c>
      <c r="O137" s="61">
        <v>4.6245370370370367E-2</v>
      </c>
      <c r="P137" s="59" t="s">
        <v>720</v>
      </c>
      <c r="Q137" s="8">
        <f t="shared" si="2"/>
        <v>845</v>
      </c>
    </row>
    <row r="138" spans="1:17" ht="15" customHeight="1">
      <c r="A138" s="59">
        <v>11</v>
      </c>
      <c r="B138" s="59">
        <v>165</v>
      </c>
      <c r="C138" s="60" t="s">
        <v>135</v>
      </c>
      <c r="D138" s="59" t="s">
        <v>721</v>
      </c>
      <c r="E138" s="59" t="s">
        <v>722</v>
      </c>
      <c r="F138" s="59" t="s">
        <v>199</v>
      </c>
      <c r="G138" s="59" t="s">
        <v>340</v>
      </c>
      <c r="H138" s="59" t="s">
        <v>352</v>
      </c>
      <c r="I138" s="59">
        <v>2</v>
      </c>
      <c r="J138" s="61">
        <v>8.2222222222222228E-3</v>
      </c>
      <c r="K138" s="61">
        <v>1.1828703703703704E-3</v>
      </c>
      <c r="L138" s="61">
        <v>2.5699074074074076E-2</v>
      </c>
      <c r="M138" s="61">
        <v>2.9976851851851849E-4</v>
      </c>
      <c r="N138" s="61">
        <v>1.1881944444444443E-2</v>
      </c>
      <c r="O138" s="61">
        <v>4.7288194444444445E-2</v>
      </c>
      <c r="P138" s="59" t="s">
        <v>723</v>
      </c>
      <c r="Q138" s="8">
        <f t="shared" si="2"/>
        <v>826</v>
      </c>
    </row>
    <row r="139" spans="1:17" ht="15" customHeight="1">
      <c r="A139" s="59">
        <v>12</v>
      </c>
      <c r="B139" s="59">
        <v>199</v>
      </c>
      <c r="C139" s="60" t="s">
        <v>135</v>
      </c>
      <c r="D139" s="59" t="s">
        <v>724</v>
      </c>
      <c r="E139" s="59" t="s">
        <v>725</v>
      </c>
      <c r="F139" s="59"/>
      <c r="G139" s="59" t="s">
        <v>340</v>
      </c>
      <c r="H139" s="59" t="s">
        <v>348</v>
      </c>
      <c r="I139" s="59">
        <v>2</v>
      </c>
      <c r="J139" s="61">
        <v>9.7233796296296304E-3</v>
      </c>
      <c r="K139" s="61">
        <v>8.9814814814814813E-4</v>
      </c>
      <c r="L139" s="61">
        <v>2.5792824074074076E-2</v>
      </c>
      <c r="M139" s="61">
        <v>4.6990740740740744E-4</v>
      </c>
      <c r="N139" s="61">
        <v>1.0462962962962962E-2</v>
      </c>
      <c r="O139" s="61">
        <v>4.7349537037037037E-2</v>
      </c>
      <c r="P139" s="59" t="s">
        <v>726</v>
      </c>
      <c r="Q139" s="8">
        <f t="shared" si="2"/>
        <v>825</v>
      </c>
    </row>
    <row r="140" spans="1:17" ht="15" customHeight="1">
      <c r="A140" s="59">
        <v>13</v>
      </c>
      <c r="B140" s="59">
        <v>163</v>
      </c>
      <c r="C140" s="60" t="s">
        <v>135</v>
      </c>
      <c r="D140" s="59" t="s">
        <v>727</v>
      </c>
      <c r="E140" s="59" t="s">
        <v>728</v>
      </c>
      <c r="F140" s="59" t="s">
        <v>173</v>
      </c>
      <c r="G140" s="59" t="s">
        <v>340</v>
      </c>
      <c r="H140" s="59" t="s">
        <v>420</v>
      </c>
      <c r="I140" s="59">
        <v>2</v>
      </c>
      <c r="J140" s="61">
        <v>8.6701388888888887E-3</v>
      </c>
      <c r="K140" s="61">
        <v>9.2013888888888885E-4</v>
      </c>
      <c r="L140" s="61">
        <v>2.5263888888888891E-2</v>
      </c>
      <c r="M140" s="61">
        <v>4.6064814814814813E-4</v>
      </c>
      <c r="N140" s="61">
        <v>1.2306712962962962E-2</v>
      </c>
      <c r="O140" s="61">
        <v>4.7622685185185192E-2</v>
      </c>
      <c r="P140" s="59" t="s">
        <v>729</v>
      </c>
      <c r="Q140" s="8">
        <f t="shared" si="2"/>
        <v>820</v>
      </c>
    </row>
    <row r="141" spans="1:17" ht="15" customHeight="1">
      <c r="A141" s="59">
        <v>14</v>
      </c>
      <c r="B141" s="59">
        <v>237</v>
      </c>
      <c r="C141" s="60" t="s">
        <v>135</v>
      </c>
      <c r="D141" s="59" t="s">
        <v>730</v>
      </c>
      <c r="E141" s="59" t="s">
        <v>731</v>
      </c>
      <c r="F141" s="59" t="s">
        <v>138</v>
      </c>
      <c r="G141" s="59" t="s">
        <v>340</v>
      </c>
      <c r="H141" s="59" t="s">
        <v>357</v>
      </c>
      <c r="I141" s="59">
        <v>1</v>
      </c>
      <c r="J141" s="61">
        <v>9.5138888888888894E-3</v>
      </c>
      <c r="K141" s="61">
        <v>1.5439814814814815E-3</v>
      </c>
      <c r="L141" s="61">
        <v>2.507291666666667E-2</v>
      </c>
      <c r="M141" s="61">
        <v>5.0462962962962961E-4</v>
      </c>
      <c r="N141" s="61">
        <v>1.1728009259259259E-2</v>
      </c>
      <c r="O141" s="61">
        <v>4.8364583333333329E-2</v>
      </c>
      <c r="P141" s="59" t="s">
        <v>732</v>
      </c>
      <c r="Q141" s="8">
        <f t="shared" si="2"/>
        <v>808</v>
      </c>
    </row>
    <row r="142" spans="1:17" ht="15" customHeight="1">
      <c r="A142" s="59">
        <v>15</v>
      </c>
      <c r="B142" s="59">
        <v>245</v>
      </c>
      <c r="C142" s="60" t="s">
        <v>135</v>
      </c>
      <c r="D142" s="59" t="s">
        <v>733</v>
      </c>
      <c r="E142" s="59" t="s">
        <v>734</v>
      </c>
      <c r="F142" s="59" t="s">
        <v>173</v>
      </c>
      <c r="G142" s="59" t="s">
        <v>340</v>
      </c>
      <c r="H142" s="59" t="s">
        <v>448</v>
      </c>
      <c r="I142" s="59">
        <v>1</v>
      </c>
      <c r="J142" s="61">
        <v>8.1782407407407411E-3</v>
      </c>
      <c r="K142" s="61">
        <v>9.791666666666666E-4</v>
      </c>
      <c r="L142" s="61">
        <v>2.593287037037037E-2</v>
      </c>
      <c r="M142" s="61">
        <v>6.6782407407407415E-4</v>
      </c>
      <c r="N142" s="61">
        <v>1.287962962962963E-2</v>
      </c>
      <c r="O142" s="61">
        <v>4.8640046296296299E-2</v>
      </c>
      <c r="P142" s="59" t="s">
        <v>735</v>
      </c>
      <c r="Q142" s="8">
        <f t="shared" si="2"/>
        <v>803</v>
      </c>
    </row>
    <row r="143" spans="1:17" ht="15" customHeight="1">
      <c r="A143" s="59">
        <v>16</v>
      </c>
      <c r="B143" s="59">
        <v>194</v>
      </c>
      <c r="C143" s="60" t="s">
        <v>140</v>
      </c>
      <c r="D143" s="59" t="s">
        <v>736</v>
      </c>
      <c r="E143" s="59" t="s">
        <v>737</v>
      </c>
      <c r="F143" s="59" t="s">
        <v>694</v>
      </c>
      <c r="G143" s="59" t="s">
        <v>340</v>
      </c>
      <c r="H143" s="59" t="s">
        <v>641</v>
      </c>
      <c r="I143" s="59">
        <v>2</v>
      </c>
      <c r="J143" s="61">
        <v>8.4791666666666661E-3</v>
      </c>
      <c r="K143" s="61">
        <v>7.291666666666667E-4</v>
      </c>
      <c r="L143" s="61">
        <v>2.5636574074074076E-2</v>
      </c>
      <c r="M143" s="61">
        <v>4.0509259259259258E-4</v>
      </c>
      <c r="N143" s="61">
        <v>1.3046296296296297E-2</v>
      </c>
      <c r="O143" s="61">
        <v>4.8643518518518523E-2</v>
      </c>
      <c r="P143" s="59" t="s">
        <v>738</v>
      </c>
      <c r="Q143" s="8">
        <f t="shared" si="2"/>
        <v>803</v>
      </c>
    </row>
    <row r="144" spans="1:17" ht="15" customHeight="1">
      <c r="A144" s="59">
        <v>17</v>
      </c>
      <c r="B144" s="59">
        <v>254</v>
      </c>
      <c r="C144" s="60" t="s">
        <v>135</v>
      </c>
      <c r="D144" s="59" t="s">
        <v>739</v>
      </c>
      <c r="E144" s="59" t="s">
        <v>740</v>
      </c>
      <c r="F144" s="59"/>
      <c r="G144" s="59" t="s">
        <v>340</v>
      </c>
      <c r="H144" s="59" t="s">
        <v>344</v>
      </c>
      <c r="I144" s="59">
        <v>3</v>
      </c>
      <c r="J144" s="61">
        <v>9.7002314814814816E-3</v>
      </c>
      <c r="K144" s="61">
        <v>1.0370370370370371E-3</v>
      </c>
      <c r="L144" s="61">
        <v>2.5484953703703704E-2</v>
      </c>
      <c r="M144" s="61">
        <v>4.5833333333333332E-4</v>
      </c>
      <c r="N144" s="61">
        <v>1.2011574074074074E-2</v>
      </c>
      <c r="O144" s="61">
        <v>4.8693287037037042E-2</v>
      </c>
      <c r="P144" s="59" t="s">
        <v>741</v>
      </c>
      <c r="Q144" s="8">
        <f t="shared" si="2"/>
        <v>802</v>
      </c>
    </row>
    <row r="145" spans="1:17" ht="15" customHeight="1">
      <c r="A145" s="59">
        <v>18</v>
      </c>
      <c r="B145" s="59">
        <v>259</v>
      </c>
      <c r="C145" s="60" t="s">
        <v>135</v>
      </c>
      <c r="D145" s="59" t="s">
        <v>230</v>
      </c>
      <c r="E145" s="59" t="s">
        <v>231</v>
      </c>
      <c r="F145" s="59" t="s">
        <v>138</v>
      </c>
      <c r="G145" s="59" t="s">
        <v>340</v>
      </c>
      <c r="H145" s="59" t="s">
        <v>344</v>
      </c>
      <c r="I145" s="59">
        <v>4</v>
      </c>
      <c r="J145" s="61">
        <v>1.0601851851851852E-2</v>
      </c>
      <c r="K145" s="61">
        <v>7.5694444444444453E-4</v>
      </c>
      <c r="L145" s="61">
        <v>2.5568287037037035E-2</v>
      </c>
      <c r="M145" s="61">
        <v>5.8101851851851858E-4</v>
      </c>
      <c r="N145" s="61">
        <v>1.123611111111111E-2</v>
      </c>
      <c r="O145" s="61">
        <v>4.8746527777777778E-2</v>
      </c>
      <c r="P145" s="59" t="s">
        <v>742</v>
      </c>
      <c r="Q145" s="8">
        <f t="shared" si="2"/>
        <v>801</v>
      </c>
    </row>
    <row r="146" spans="1:17" ht="15" customHeight="1">
      <c r="A146" s="59">
        <v>19</v>
      </c>
      <c r="B146" s="59">
        <v>215</v>
      </c>
      <c r="C146" s="60" t="s">
        <v>135</v>
      </c>
      <c r="D146" s="59" t="s">
        <v>743</v>
      </c>
      <c r="E146" s="59" t="s">
        <v>744</v>
      </c>
      <c r="F146" s="59" t="s">
        <v>252</v>
      </c>
      <c r="G146" s="59" t="s">
        <v>340</v>
      </c>
      <c r="H146" s="59" t="s">
        <v>357</v>
      </c>
      <c r="I146" s="59">
        <v>2</v>
      </c>
      <c r="J146" s="61">
        <v>1.0653935185185185E-2</v>
      </c>
      <c r="K146" s="61">
        <v>1.0162037037037036E-3</v>
      </c>
      <c r="L146" s="61">
        <v>2.6495370370370367E-2</v>
      </c>
      <c r="M146" s="61">
        <v>4.5717592592592592E-4</v>
      </c>
      <c r="N146" s="61">
        <v>1.0137731481481482E-2</v>
      </c>
      <c r="O146" s="61">
        <v>4.8761574074074075E-2</v>
      </c>
      <c r="P146" s="59" t="s">
        <v>745</v>
      </c>
      <c r="Q146" s="8">
        <f t="shared" si="2"/>
        <v>801</v>
      </c>
    </row>
    <row r="147" spans="1:17" ht="15" customHeight="1">
      <c r="A147" s="59">
        <v>20</v>
      </c>
      <c r="B147" s="59">
        <v>243</v>
      </c>
      <c r="C147" s="60" t="s">
        <v>135</v>
      </c>
      <c r="D147" s="59" t="s">
        <v>746</v>
      </c>
      <c r="E147" s="59" t="s">
        <v>747</v>
      </c>
      <c r="F147" s="59" t="s">
        <v>252</v>
      </c>
      <c r="G147" s="59" t="s">
        <v>340</v>
      </c>
      <c r="H147" s="59" t="s">
        <v>341</v>
      </c>
      <c r="I147" s="59">
        <v>4</v>
      </c>
      <c r="J147" s="61">
        <v>9.657407407407408E-3</v>
      </c>
      <c r="K147" s="61">
        <v>1.0497685185185185E-3</v>
      </c>
      <c r="L147" s="61">
        <v>2.5750000000000002E-2</v>
      </c>
      <c r="M147" s="61">
        <v>3.2638888888888887E-4</v>
      </c>
      <c r="N147" s="61">
        <v>1.2E-2</v>
      </c>
      <c r="O147" s="61">
        <v>4.878587962962963E-2</v>
      </c>
      <c r="P147" s="59" t="s">
        <v>748</v>
      </c>
      <c r="Q147" s="8">
        <f t="shared" si="2"/>
        <v>801</v>
      </c>
    </row>
    <row r="148" spans="1:17" ht="15" customHeight="1">
      <c r="A148" s="59">
        <v>21</v>
      </c>
      <c r="B148" s="59">
        <v>238</v>
      </c>
      <c r="C148" s="60" t="s">
        <v>135</v>
      </c>
      <c r="D148" s="59" t="s">
        <v>749</v>
      </c>
      <c r="E148" s="59" t="s">
        <v>750</v>
      </c>
      <c r="F148" s="59"/>
      <c r="G148" s="59" t="s">
        <v>340</v>
      </c>
      <c r="H148" s="59" t="s">
        <v>344</v>
      </c>
      <c r="I148" s="59">
        <v>5</v>
      </c>
      <c r="J148" s="61">
        <v>9.3043981481481484E-3</v>
      </c>
      <c r="K148" s="61">
        <v>1.0428240740740741E-3</v>
      </c>
      <c r="L148" s="61">
        <v>2.633564814814815E-2</v>
      </c>
      <c r="M148" s="61">
        <v>3.8541666666666661E-4</v>
      </c>
      <c r="N148" s="61">
        <v>1.183912037037037E-2</v>
      </c>
      <c r="O148" s="61">
        <v>4.8909722222222222E-2</v>
      </c>
      <c r="P148" s="59" t="s">
        <v>751</v>
      </c>
      <c r="Q148" s="8">
        <f t="shared" si="2"/>
        <v>799</v>
      </c>
    </row>
    <row r="149" spans="1:17" ht="15" customHeight="1">
      <c r="A149" s="59">
        <v>22</v>
      </c>
      <c r="B149" s="59">
        <v>173</v>
      </c>
      <c r="C149" s="60" t="s">
        <v>135</v>
      </c>
      <c r="D149" s="59" t="s">
        <v>752</v>
      </c>
      <c r="E149" s="59" t="s">
        <v>753</v>
      </c>
      <c r="F149" s="59" t="s">
        <v>173</v>
      </c>
      <c r="G149" s="59" t="s">
        <v>340</v>
      </c>
      <c r="H149" s="59" t="s">
        <v>348</v>
      </c>
      <c r="I149" s="59">
        <v>3</v>
      </c>
      <c r="J149" s="61">
        <v>9.0833333333333321E-3</v>
      </c>
      <c r="K149" s="61">
        <v>1.3923611111111111E-3</v>
      </c>
      <c r="L149" s="61">
        <v>2.5738425925925928E-2</v>
      </c>
      <c r="M149" s="61">
        <v>5.4166666666666664E-4</v>
      </c>
      <c r="N149" s="61">
        <v>1.2289351851851852E-2</v>
      </c>
      <c r="O149" s="61">
        <v>4.9047453703703704E-2</v>
      </c>
      <c r="P149" s="59" t="s">
        <v>754</v>
      </c>
      <c r="Q149" s="8">
        <f t="shared" si="2"/>
        <v>796</v>
      </c>
    </row>
    <row r="150" spans="1:17" ht="15" customHeight="1">
      <c r="A150" s="59">
        <v>23</v>
      </c>
      <c r="B150" s="59">
        <v>229</v>
      </c>
      <c r="C150" s="60" t="s">
        <v>135</v>
      </c>
      <c r="D150" s="59" t="s">
        <v>217</v>
      </c>
      <c r="E150" s="59" t="s">
        <v>218</v>
      </c>
      <c r="F150" s="59" t="s">
        <v>219</v>
      </c>
      <c r="G150" s="59" t="s">
        <v>340</v>
      </c>
      <c r="H150" s="59" t="s">
        <v>344</v>
      </c>
      <c r="I150" s="59">
        <v>6</v>
      </c>
      <c r="J150" s="61">
        <v>1.0116898148148149E-2</v>
      </c>
      <c r="K150" s="61">
        <v>1.1134259259259259E-3</v>
      </c>
      <c r="L150" s="61">
        <v>2.5880787037037035E-2</v>
      </c>
      <c r="M150" s="61">
        <v>5.2546296296296293E-4</v>
      </c>
      <c r="N150" s="61">
        <v>1.1559027777777777E-2</v>
      </c>
      <c r="O150" s="61">
        <v>4.9199074074074076E-2</v>
      </c>
      <c r="P150" s="59" t="s">
        <v>755</v>
      </c>
      <c r="Q150" s="8">
        <f t="shared" si="2"/>
        <v>794</v>
      </c>
    </row>
    <row r="151" spans="1:17" ht="15" customHeight="1">
      <c r="A151" s="59">
        <v>24</v>
      </c>
      <c r="B151" s="59">
        <v>226</v>
      </c>
      <c r="C151" s="60" t="s">
        <v>135</v>
      </c>
      <c r="D151" s="59" t="s">
        <v>756</v>
      </c>
      <c r="E151" s="59" t="s">
        <v>757</v>
      </c>
      <c r="F151" s="59"/>
      <c r="G151" s="59" t="s">
        <v>340</v>
      </c>
      <c r="H151" s="59" t="s">
        <v>357</v>
      </c>
      <c r="I151" s="59">
        <v>3</v>
      </c>
      <c r="J151" s="61">
        <v>1.2165509259259258E-2</v>
      </c>
      <c r="K151" s="61">
        <v>8.6226851851851851E-4</v>
      </c>
      <c r="L151" s="61">
        <v>2.4482638888888891E-2</v>
      </c>
      <c r="M151" s="61">
        <v>4.4444444444444441E-4</v>
      </c>
      <c r="N151" s="61">
        <v>1.1502314814814814E-2</v>
      </c>
      <c r="O151" s="61">
        <v>4.9459490740740741E-2</v>
      </c>
      <c r="P151" s="59" t="s">
        <v>758</v>
      </c>
      <c r="Q151" s="8">
        <f t="shared" si="2"/>
        <v>790</v>
      </c>
    </row>
    <row r="152" spans="1:17" ht="15" customHeight="1">
      <c r="A152" s="59">
        <v>25</v>
      </c>
      <c r="B152" s="59">
        <v>249</v>
      </c>
      <c r="C152" s="60" t="s">
        <v>135</v>
      </c>
      <c r="D152" s="59" t="s">
        <v>759</v>
      </c>
      <c r="E152" s="59" t="s">
        <v>760</v>
      </c>
      <c r="F152" s="59" t="s">
        <v>367</v>
      </c>
      <c r="G152" s="59" t="s">
        <v>340</v>
      </c>
      <c r="H152" s="59" t="s">
        <v>341</v>
      </c>
      <c r="I152" s="59">
        <v>5</v>
      </c>
      <c r="J152" s="61">
        <v>1.097337962962963E-2</v>
      </c>
      <c r="K152" s="61">
        <v>1.6145833333333333E-3</v>
      </c>
      <c r="L152" s="61">
        <v>2.5000000000000001E-2</v>
      </c>
      <c r="M152" s="61">
        <v>6.5509259259259264E-4</v>
      </c>
      <c r="N152" s="61">
        <v>1.1487268518518518E-2</v>
      </c>
      <c r="O152" s="61">
        <v>4.9731481481481481E-2</v>
      </c>
      <c r="P152" s="59" t="s">
        <v>761</v>
      </c>
      <c r="Q152" s="8">
        <f t="shared" si="2"/>
        <v>785</v>
      </c>
    </row>
    <row r="153" spans="1:17" ht="15" customHeight="1">
      <c r="A153" s="59">
        <v>26</v>
      </c>
      <c r="B153" s="59">
        <v>190</v>
      </c>
      <c r="C153" s="60" t="s">
        <v>135</v>
      </c>
      <c r="D153" s="59" t="s">
        <v>762</v>
      </c>
      <c r="E153" s="59" t="s">
        <v>763</v>
      </c>
      <c r="F153" s="59" t="s">
        <v>138</v>
      </c>
      <c r="G153" s="59" t="s">
        <v>340</v>
      </c>
      <c r="H153" s="59" t="s">
        <v>341</v>
      </c>
      <c r="I153" s="59">
        <v>6</v>
      </c>
      <c r="J153" s="61">
        <v>1.081712962962963E-2</v>
      </c>
      <c r="K153" s="61">
        <v>8.3564814814814819E-4</v>
      </c>
      <c r="L153" s="61">
        <v>2.6251157407407407E-2</v>
      </c>
      <c r="M153" s="61">
        <v>4.1203703703703704E-4</v>
      </c>
      <c r="N153" s="61">
        <v>1.1748842592592594E-2</v>
      </c>
      <c r="O153" s="61">
        <v>5.006597222222222E-2</v>
      </c>
      <c r="P153" s="59" t="s">
        <v>764</v>
      </c>
      <c r="Q153" s="8">
        <f t="shared" si="2"/>
        <v>780</v>
      </c>
    </row>
    <row r="154" spans="1:17" ht="15" customHeight="1">
      <c r="A154" s="59">
        <v>27</v>
      </c>
      <c r="B154" s="59">
        <v>258</v>
      </c>
      <c r="C154" s="60" t="s">
        <v>135</v>
      </c>
      <c r="D154" s="59" t="s">
        <v>765</v>
      </c>
      <c r="E154" s="59" t="s">
        <v>766</v>
      </c>
      <c r="F154" s="59" t="s">
        <v>252</v>
      </c>
      <c r="G154" s="59" t="s">
        <v>340</v>
      </c>
      <c r="H154" s="59" t="s">
        <v>344</v>
      </c>
      <c r="I154" s="59">
        <v>7</v>
      </c>
      <c r="J154" s="61">
        <v>1.1505787037037037E-2</v>
      </c>
      <c r="K154" s="61">
        <v>1.1168981481481481E-3</v>
      </c>
      <c r="L154" s="61">
        <v>2.4949074074074071E-2</v>
      </c>
      <c r="M154" s="61">
        <v>6.8518518518518527E-4</v>
      </c>
      <c r="N154" s="61">
        <v>1.1825231481481482E-2</v>
      </c>
      <c r="O154" s="61">
        <v>5.0083333333333334E-2</v>
      </c>
      <c r="P154" s="59" t="s">
        <v>767</v>
      </c>
      <c r="Q154" s="8">
        <f t="shared" si="2"/>
        <v>780</v>
      </c>
    </row>
    <row r="155" spans="1:17" ht="15" customHeight="1">
      <c r="A155" s="59">
        <v>28</v>
      </c>
      <c r="B155" s="59">
        <v>151</v>
      </c>
      <c r="C155" s="60" t="s">
        <v>135</v>
      </c>
      <c r="D155" s="59" t="s">
        <v>768</v>
      </c>
      <c r="E155" s="59" t="s">
        <v>769</v>
      </c>
      <c r="F155" s="59" t="s">
        <v>199</v>
      </c>
      <c r="G155" s="59" t="s">
        <v>340</v>
      </c>
      <c r="H155" s="59" t="s">
        <v>357</v>
      </c>
      <c r="I155" s="59">
        <v>4</v>
      </c>
      <c r="J155" s="61">
        <v>1.134375E-2</v>
      </c>
      <c r="K155" s="61">
        <v>1.4606481481481482E-3</v>
      </c>
      <c r="L155" s="61">
        <v>2.576851851851852E-2</v>
      </c>
      <c r="M155" s="61">
        <v>4.2361111111111115E-4</v>
      </c>
      <c r="N155" s="61">
        <v>1.1467592592592592E-2</v>
      </c>
      <c r="O155" s="61">
        <v>5.0466435185185191E-2</v>
      </c>
      <c r="P155" s="59" t="s">
        <v>770</v>
      </c>
      <c r="Q155" s="8">
        <f t="shared" si="2"/>
        <v>774</v>
      </c>
    </row>
    <row r="156" spans="1:17" ht="15" customHeight="1">
      <c r="A156" s="59">
        <v>29</v>
      </c>
      <c r="B156" s="59">
        <v>210</v>
      </c>
      <c r="C156" s="60" t="s">
        <v>135</v>
      </c>
      <c r="D156" s="59" t="s">
        <v>771</v>
      </c>
      <c r="E156" s="59" t="s">
        <v>772</v>
      </c>
      <c r="F156" s="59" t="s">
        <v>189</v>
      </c>
      <c r="G156" s="59" t="s">
        <v>340</v>
      </c>
      <c r="H156" s="59" t="s">
        <v>352</v>
      </c>
      <c r="I156" s="59">
        <v>3</v>
      </c>
      <c r="J156" s="61">
        <v>1.0140046296296296E-2</v>
      </c>
      <c r="K156" s="61">
        <v>1.1261574074074073E-3</v>
      </c>
      <c r="L156" s="61">
        <v>2.6755787037037036E-2</v>
      </c>
      <c r="M156" s="61">
        <v>6.7939814814814816E-4</v>
      </c>
      <c r="N156" s="61">
        <v>1.1818287037037037E-2</v>
      </c>
      <c r="O156" s="61">
        <v>5.0521990740740742E-2</v>
      </c>
      <c r="P156" s="59" t="s">
        <v>773</v>
      </c>
      <c r="Q156" s="8">
        <f t="shared" si="2"/>
        <v>773</v>
      </c>
    </row>
    <row r="157" spans="1:17" ht="15" customHeight="1">
      <c r="A157" s="59">
        <v>30</v>
      </c>
      <c r="B157" s="59">
        <v>187</v>
      </c>
      <c r="C157" s="59"/>
      <c r="D157" s="59" t="s">
        <v>774</v>
      </c>
      <c r="E157" s="59" t="s">
        <v>775</v>
      </c>
      <c r="F157" s="59"/>
      <c r="G157" s="59" t="s">
        <v>340</v>
      </c>
      <c r="H157" s="59" t="s">
        <v>348</v>
      </c>
      <c r="I157" s="59">
        <v>4</v>
      </c>
      <c r="J157" s="61">
        <v>9.3576388888888893E-3</v>
      </c>
      <c r="K157" s="61">
        <v>9.4907407407407408E-4</v>
      </c>
      <c r="L157" s="61">
        <v>2.6678240740740742E-2</v>
      </c>
      <c r="M157" s="61">
        <v>5.1736111111111112E-4</v>
      </c>
      <c r="N157" s="61">
        <v>1.3300925925925926E-2</v>
      </c>
      <c r="O157" s="61">
        <v>5.0804398148148147E-2</v>
      </c>
      <c r="P157" s="59" t="s">
        <v>776</v>
      </c>
      <c r="Q157" s="8">
        <f t="shared" si="2"/>
        <v>769</v>
      </c>
    </row>
    <row r="158" spans="1:17" ht="15" customHeight="1">
      <c r="A158" s="59">
        <v>31</v>
      </c>
      <c r="B158" s="59">
        <v>170</v>
      </c>
      <c r="C158" s="60" t="s">
        <v>135</v>
      </c>
      <c r="D158" s="59" t="s">
        <v>777</v>
      </c>
      <c r="E158" s="59" t="s">
        <v>778</v>
      </c>
      <c r="F158" s="59"/>
      <c r="G158" s="59" t="s">
        <v>319</v>
      </c>
      <c r="H158" s="59" t="s">
        <v>159</v>
      </c>
      <c r="I158" s="59">
        <v>2</v>
      </c>
      <c r="J158" s="61">
        <v>1.0788194444444444E-2</v>
      </c>
      <c r="K158" s="61">
        <v>9.0393518518518514E-4</v>
      </c>
      <c r="L158" s="61">
        <v>2.7510416666666669E-2</v>
      </c>
      <c r="M158" s="61">
        <v>4.0972222222222218E-4</v>
      </c>
      <c r="N158" s="61">
        <v>1.1232638888888889E-2</v>
      </c>
      <c r="O158" s="61">
        <v>5.0848379629629632E-2</v>
      </c>
      <c r="P158" s="59" t="s">
        <v>779</v>
      </c>
      <c r="Q158" s="8">
        <f t="shared" si="2"/>
        <v>768</v>
      </c>
    </row>
    <row r="159" spans="1:17" ht="15" customHeight="1">
      <c r="A159" s="59">
        <v>32</v>
      </c>
      <c r="B159" s="59">
        <v>221</v>
      </c>
      <c r="C159" s="60" t="s">
        <v>135</v>
      </c>
      <c r="D159" s="59" t="s">
        <v>780</v>
      </c>
      <c r="E159" s="59" t="s">
        <v>781</v>
      </c>
      <c r="F159" s="59" t="s">
        <v>782</v>
      </c>
      <c r="G159" s="59" t="s">
        <v>340</v>
      </c>
      <c r="H159" s="59" t="s">
        <v>344</v>
      </c>
      <c r="I159" s="59">
        <v>8</v>
      </c>
      <c r="J159" s="61">
        <v>8.0277777777777778E-3</v>
      </c>
      <c r="K159" s="61">
        <v>1.5590277777777777E-3</v>
      </c>
      <c r="L159" s="61">
        <v>2.7736111111111111E-2</v>
      </c>
      <c r="M159" s="61">
        <v>1.0567129629629629E-3</v>
      </c>
      <c r="N159" s="61">
        <v>1.2575231481481481E-2</v>
      </c>
      <c r="O159" s="61">
        <v>5.0949074074074077E-2</v>
      </c>
      <c r="P159" s="59" t="s">
        <v>783</v>
      </c>
      <c r="Q159" s="8">
        <f t="shared" si="2"/>
        <v>767</v>
      </c>
    </row>
    <row r="160" spans="1:17" ht="15" customHeight="1">
      <c r="A160" s="59">
        <v>33</v>
      </c>
      <c r="B160" s="59">
        <v>231</v>
      </c>
      <c r="C160" s="60" t="s">
        <v>135</v>
      </c>
      <c r="D160" s="59" t="s">
        <v>784</v>
      </c>
      <c r="E160" s="59" t="s">
        <v>785</v>
      </c>
      <c r="F160" s="59"/>
      <c r="G160" s="59" t="s">
        <v>340</v>
      </c>
      <c r="H160" s="59" t="s">
        <v>348</v>
      </c>
      <c r="I160" s="59">
        <v>5</v>
      </c>
      <c r="J160" s="61">
        <v>1.0568287037037037E-2</v>
      </c>
      <c r="K160" s="61">
        <v>7.8935185185185185E-4</v>
      </c>
      <c r="L160" s="61">
        <v>2.6884259259259261E-2</v>
      </c>
      <c r="M160" s="61">
        <v>4.0509259259259258E-4</v>
      </c>
      <c r="N160" s="61">
        <v>1.2684027777777778E-2</v>
      </c>
      <c r="O160" s="61">
        <v>5.1332175925925927E-2</v>
      </c>
      <c r="P160" s="59" t="s">
        <v>786</v>
      </c>
      <c r="Q160" s="8">
        <f t="shared" si="2"/>
        <v>761</v>
      </c>
    </row>
    <row r="161" spans="1:17" ht="15" customHeight="1">
      <c r="A161" s="59">
        <v>34</v>
      </c>
      <c r="B161" s="59">
        <v>183</v>
      </c>
      <c r="C161" s="60" t="s">
        <v>135</v>
      </c>
      <c r="D161" s="59" t="s">
        <v>787</v>
      </c>
      <c r="E161" s="59" t="s">
        <v>788</v>
      </c>
      <c r="F161" s="59" t="s">
        <v>138</v>
      </c>
      <c r="G161" s="59" t="s">
        <v>319</v>
      </c>
      <c r="H161" s="59" t="s">
        <v>154</v>
      </c>
      <c r="I161" s="59">
        <v>1</v>
      </c>
      <c r="J161" s="61">
        <v>1.0996527777777779E-2</v>
      </c>
      <c r="K161" s="61">
        <v>8.9583333333333344E-4</v>
      </c>
      <c r="L161" s="61">
        <v>2.7895833333333332E-2</v>
      </c>
      <c r="M161" s="61">
        <v>3.9004629629629632E-4</v>
      </c>
      <c r="N161" s="61">
        <v>1.1204861111111112E-2</v>
      </c>
      <c r="O161" s="61">
        <v>5.1386574074074078E-2</v>
      </c>
      <c r="P161" s="59" t="s">
        <v>789</v>
      </c>
      <c r="Q161" s="8">
        <f t="shared" si="2"/>
        <v>760</v>
      </c>
    </row>
    <row r="162" spans="1:17" ht="15" customHeight="1">
      <c r="A162" s="59">
        <v>35</v>
      </c>
      <c r="B162" s="59">
        <v>244</v>
      </c>
      <c r="C162" s="60" t="s">
        <v>135</v>
      </c>
      <c r="D162" s="59" t="s">
        <v>790</v>
      </c>
      <c r="E162" s="59" t="s">
        <v>791</v>
      </c>
      <c r="F162" s="59" t="s">
        <v>138</v>
      </c>
      <c r="G162" s="59" t="s">
        <v>340</v>
      </c>
      <c r="H162" s="59" t="s">
        <v>352</v>
      </c>
      <c r="I162" s="59">
        <v>4</v>
      </c>
      <c r="J162" s="61">
        <v>1.1090277777777779E-2</v>
      </c>
      <c r="K162" s="61">
        <v>1.431712962962963E-3</v>
      </c>
      <c r="L162" s="61">
        <v>2.4945601851851854E-2</v>
      </c>
      <c r="M162" s="61">
        <v>5.9259259259259258E-4</v>
      </c>
      <c r="N162" s="61">
        <v>1.3403935185185184E-2</v>
      </c>
      <c r="O162" s="61">
        <v>5.1467592592592593E-2</v>
      </c>
      <c r="P162" s="59" t="s">
        <v>792</v>
      </c>
      <c r="Q162" s="8">
        <f t="shared" si="2"/>
        <v>759</v>
      </c>
    </row>
    <row r="163" spans="1:17" ht="15" customHeight="1">
      <c r="A163" s="59">
        <v>36</v>
      </c>
      <c r="B163" s="59">
        <v>160</v>
      </c>
      <c r="C163" s="60" t="s">
        <v>135</v>
      </c>
      <c r="D163" s="59" t="s">
        <v>793</v>
      </c>
      <c r="E163" s="59" t="s">
        <v>794</v>
      </c>
      <c r="F163" s="59" t="s">
        <v>795</v>
      </c>
      <c r="G163" s="59" t="s">
        <v>340</v>
      </c>
      <c r="H163" s="59" t="s">
        <v>420</v>
      </c>
      <c r="I163" s="59">
        <v>3</v>
      </c>
      <c r="J163" s="61">
        <v>8.5891203703703702E-3</v>
      </c>
      <c r="K163" s="61">
        <v>1.3194444444444445E-3</v>
      </c>
      <c r="L163" s="61">
        <v>2.678703703703704E-2</v>
      </c>
      <c r="M163" s="61">
        <v>3.3449074074074072E-4</v>
      </c>
      <c r="N163" s="61">
        <v>1.4644675925925926E-2</v>
      </c>
      <c r="O163" s="61">
        <v>5.1677083333333332E-2</v>
      </c>
      <c r="P163" s="59" t="s">
        <v>796</v>
      </c>
      <c r="Q163" s="8">
        <f t="shared" si="2"/>
        <v>756</v>
      </c>
    </row>
    <row r="164" spans="1:17" ht="15" customHeight="1">
      <c r="A164" s="59">
        <v>37</v>
      </c>
      <c r="B164" s="59">
        <v>219</v>
      </c>
      <c r="C164" s="60" t="s">
        <v>135</v>
      </c>
      <c r="D164" s="59" t="s">
        <v>797</v>
      </c>
      <c r="E164" s="59" t="s">
        <v>798</v>
      </c>
      <c r="F164" s="59" t="s">
        <v>799</v>
      </c>
      <c r="G164" s="59" t="s">
        <v>340</v>
      </c>
      <c r="H164" s="59" t="s">
        <v>344</v>
      </c>
      <c r="I164" s="59">
        <v>9</v>
      </c>
      <c r="J164" s="61">
        <v>8.4537037037037029E-3</v>
      </c>
      <c r="K164" s="61">
        <v>1.5891203703703705E-3</v>
      </c>
      <c r="L164" s="61">
        <v>2.8612268518518516E-2</v>
      </c>
      <c r="M164" s="61">
        <v>6.9675925925925927E-4</v>
      </c>
      <c r="N164" s="61">
        <v>1.2427083333333333E-2</v>
      </c>
      <c r="O164" s="61">
        <v>5.1782407407407409E-2</v>
      </c>
      <c r="P164" s="59" t="s">
        <v>800</v>
      </c>
      <c r="Q164" s="8">
        <f t="shared" si="2"/>
        <v>754</v>
      </c>
    </row>
    <row r="165" spans="1:17" ht="15" customHeight="1">
      <c r="A165" s="59">
        <v>38</v>
      </c>
      <c r="B165" s="59">
        <v>166</v>
      </c>
      <c r="C165" s="60" t="s">
        <v>135</v>
      </c>
      <c r="D165" s="59" t="s">
        <v>801</v>
      </c>
      <c r="E165" s="59" t="s">
        <v>802</v>
      </c>
      <c r="F165" s="59" t="s">
        <v>803</v>
      </c>
      <c r="G165" s="59" t="s">
        <v>340</v>
      </c>
      <c r="H165" s="59" t="s">
        <v>357</v>
      </c>
      <c r="I165" s="59">
        <v>5</v>
      </c>
      <c r="J165" s="61">
        <v>1.3681712962962961E-2</v>
      </c>
      <c r="K165" s="61">
        <v>8.7268518518518522E-4</v>
      </c>
      <c r="L165" s="61">
        <v>2.6070601851851852E-2</v>
      </c>
      <c r="M165" s="61">
        <v>5.6250000000000007E-4</v>
      </c>
      <c r="N165" s="61">
        <v>1.0729166666666666E-2</v>
      </c>
      <c r="O165" s="61">
        <v>5.1918981481481483E-2</v>
      </c>
      <c r="P165" s="59" t="s">
        <v>804</v>
      </c>
      <c r="Q165" s="8">
        <f t="shared" si="2"/>
        <v>752</v>
      </c>
    </row>
    <row r="166" spans="1:17" ht="15" customHeight="1">
      <c r="A166" s="59">
        <v>39</v>
      </c>
      <c r="B166" s="59">
        <v>271</v>
      </c>
      <c r="C166" s="60" t="s">
        <v>135</v>
      </c>
      <c r="D166" s="59" t="s">
        <v>805</v>
      </c>
      <c r="E166" s="59" t="s">
        <v>806</v>
      </c>
      <c r="F166" s="59"/>
      <c r="G166" s="59" t="s">
        <v>340</v>
      </c>
      <c r="H166" s="59" t="s">
        <v>344</v>
      </c>
      <c r="I166" s="59">
        <v>10</v>
      </c>
      <c r="J166" s="61">
        <v>1.0202546296296296E-2</v>
      </c>
      <c r="K166" s="61">
        <v>1.7442129629629628E-3</v>
      </c>
      <c r="L166" s="61">
        <v>2.7771990740740739E-2</v>
      </c>
      <c r="M166" s="61">
        <v>7.1412037037037039E-4</v>
      </c>
      <c r="N166" s="61">
        <v>1.1527777777777777E-2</v>
      </c>
      <c r="O166" s="61">
        <v>5.1962962962962968E-2</v>
      </c>
      <c r="P166" s="59" t="s">
        <v>807</v>
      </c>
      <c r="Q166" s="8">
        <f t="shared" si="2"/>
        <v>752</v>
      </c>
    </row>
    <row r="167" spans="1:17" ht="15" customHeight="1">
      <c r="A167" s="59">
        <v>40</v>
      </c>
      <c r="B167" s="59">
        <v>202</v>
      </c>
      <c r="C167" s="60" t="s">
        <v>140</v>
      </c>
      <c r="D167" s="59" t="s">
        <v>808</v>
      </c>
      <c r="E167" s="59" t="s">
        <v>809</v>
      </c>
      <c r="F167" s="59" t="s">
        <v>694</v>
      </c>
      <c r="G167" s="59" t="s">
        <v>340</v>
      </c>
      <c r="H167" s="59" t="s">
        <v>641</v>
      </c>
      <c r="I167" s="59">
        <v>3</v>
      </c>
      <c r="J167" s="61">
        <v>8.8993055555555561E-3</v>
      </c>
      <c r="K167" s="61">
        <v>1.3414351851851853E-3</v>
      </c>
      <c r="L167" s="61">
        <v>2.8957175925925928E-2</v>
      </c>
      <c r="M167" s="61">
        <v>7.303240740740741E-4</v>
      </c>
      <c r="N167" s="61">
        <v>1.224074074074074E-2</v>
      </c>
      <c r="O167" s="61">
        <v>5.2170138888888891E-2</v>
      </c>
      <c r="P167" s="59" t="s">
        <v>810</v>
      </c>
      <c r="Q167" s="8">
        <f t="shared" si="2"/>
        <v>749</v>
      </c>
    </row>
    <row r="168" spans="1:17" ht="15" customHeight="1">
      <c r="A168" s="59">
        <v>41</v>
      </c>
      <c r="B168" s="59">
        <v>175</v>
      </c>
      <c r="C168" s="60" t="s">
        <v>135</v>
      </c>
      <c r="D168" s="59" t="s">
        <v>811</v>
      </c>
      <c r="E168" s="59" t="s">
        <v>812</v>
      </c>
      <c r="F168" s="59"/>
      <c r="G168" s="59" t="s">
        <v>340</v>
      </c>
      <c r="H168" s="59" t="s">
        <v>641</v>
      </c>
      <c r="I168" s="59">
        <v>4</v>
      </c>
      <c r="J168" s="61">
        <v>9.1076388888888891E-3</v>
      </c>
      <c r="K168" s="61">
        <v>1.3877314814814815E-3</v>
      </c>
      <c r="L168" s="61">
        <v>2.9623842592592594E-2</v>
      </c>
      <c r="M168" s="61">
        <v>3.5069444444444444E-4</v>
      </c>
      <c r="N168" s="61">
        <v>1.1719907407407408E-2</v>
      </c>
      <c r="O168" s="61">
        <v>5.2190972222222222E-2</v>
      </c>
      <c r="P168" s="59" t="s">
        <v>813</v>
      </c>
      <c r="Q168" s="8">
        <f t="shared" si="2"/>
        <v>748</v>
      </c>
    </row>
    <row r="169" spans="1:17" ht="15" customHeight="1">
      <c r="A169" s="59">
        <v>42</v>
      </c>
      <c r="B169" s="59">
        <v>167</v>
      </c>
      <c r="C169" s="60" t="s">
        <v>135</v>
      </c>
      <c r="D169" s="59" t="s">
        <v>814</v>
      </c>
      <c r="E169" s="59" t="s">
        <v>815</v>
      </c>
      <c r="F169" s="59" t="s">
        <v>252</v>
      </c>
      <c r="G169" s="59" t="s">
        <v>340</v>
      </c>
      <c r="H169" s="59" t="s">
        <v>341</v>
      </c>
      <c r="I169" s="59">
        <v>7</v>
      </c>
      <c r="J169" s="61">
        <v>9.9884259259259266E-3</v>
      </c>
      <c r="K169" s="61">
        <v>1.4722222222222222E-3</v>
      </c>
      <c r="L169" s="61">
        <v>2.8118055555555556E-2</v>
      </c>
      <c r="M169" s="61">
        <v>5.8564814814814818E-4</v>
      </c>
      <c r="N169" s="61">
        <v>1.2116898148148149E-2</v>
      </c>
      <c r="O169" s="61">
        <v>5.2282407407407402E-2</v>
      </c>
      <c r="P169" s="59" t="s">
        <v>816</v>
      </c>
      <c r="Q169" s="8">
        <f t="shared" si="2"/>
        <v>747</v>
      </c>
    </row>
    <row r="170" spans="1:17" ht="15" customHeight="1">
      <c r="A170" s="59">
        <v>43</v>
      </c>
      <c r="B170" s="59">
        <v>235</v>
      </c>
      <c r="C170" s="60" t="s">
        <v>135</v>
      </c>
      <c r="D170" s="59" t="s">
        <v>817</v>
      </c>
      <c r="E170" s="59" t="s">
        <v>818</v>
      </c>
      <c r="F170" s="59" t="s">
        <v>189</v>
      </c>
      <c r="G170" s="59" t="s">
        <v>319</v>
      </c>
      <c r="H170" s="59" t="s">
        <v>159</v>
      </c>
      <c r="I170" s="59">
        <v>3</v>
      </c>
      <c r="J170" s="61">
        <v>1.0906249999999999E-2</v>
      </c>
      <c r="K170" s="61">
        <v>9.6296296296296299E-4</v>
      </c>
      <c r="L170" s="61">
        <v>2.7846064814814817E-2</v>
      </c>
      <c r="M170" s="61">
        <v>5.3356481481481484E-4</v>
      </c>
      <c r="N170" s="61">
        <v>1.2244212962962964E-2</v>
      </c>
      <c r="O170" s="61">
        <v>5.2496527777777774E-2</v>
      </c>
      <c r="P170" s="59" t="s">
        <v>819</v>
      </c>
      <c r="Q170" s="8">
        <f t="shared" si="2"/>
        <v>744</v>
      </c>
    </row>
    <row r="171" spans="1:17" ht="15" customHeight="1">
      <c r="A171" s="59">
        <v>44</v>
      </c>
      <c r="B171" s="59">
        <v>188</v>
      </c>
      <c r="C171" s="60" t="s">
        <v>135</v>
      </c>
      <c r="D171" s="59" t="s">
        <v>820</v>
      </c>
      <c r="E171" s="59" t="s">
        <v>821</v>
      </c>
      <c r="F171" s="59" t="s">
        <v>138</v>
      </c>
      <c r="G171" s="59" t="s">
        <v>340</v>
      </c>
      <c r="H171" s="59" t="s">
        <v>344</v>
      </c>
      <c r="I171" s="59">
        <v>11</v>
      </c>
      <c r="J171" s="61">
        <v>1.0533564814814815E-2</v>
      </c>
      <c r="K171" s="61">
        <v>1.212962962962963E-3</v>
      </c>
      <c r="L171" s="61">
        <v>2.7456018518518515E-2</v>
      </c>
      <c r="M171" s="61">
        <v>3.8541666666666661E-4</v>
      </c>
      <c r="N171" s="61">
        <v>1.3167824074074075E-2</v>
      </c>
      <c r="O171" s="61">
        <v>5.275694444444444E-2</v>
      </c>
      <c r="P171" s="59" t="s">
        <v>822</v>
      </c>
      <c r="Q171" s="8">
        <f t="shared" si="2"/>
        <v>740</v>
      </c>
    </row>
    <row r="172" spans="1:17" ht="15" customHeight="1">
      <c r="A172" s="59">
        <v>45</v>
      </c>
      <c r="B172" s="59">
        <v>354</v>
      </c>
      <c r="C172" s="60" t="s">
        <v>135</v>
      </c>
      <c r="D172" s="59" t="s">
        <v>296</v>
      </c>
      <c r="E172" s="59" t="s">
        <v>297</v>
      </c>
      <c r="F172" s="59" t="s">
        <v>199</v>
      </c>
      <c r="G172" s="59" t="s">
        <v>340</v>
      </c>
      <c r="H172" s="59" t="s">
        <v>420</v>
      </c>
      <c r="I172" s="59">
        <v>4</v>
      </c>
      <c r="J172" s="61">
        <v>1.1019675925925926E-2</v>
      </c>
      <c r="K172" s="61">
        <v>1.0416666666666667E-3</v>
      </c>
      <c r="L172" s="61">
        <v>2.5762731481481484E-2</v>
      </c>
      <c r="M172" s="61">
        <v>4.5138888888888887E-4</v>
      </c>
      <c r="N172" s="61">
        <v>1.4864583333333332E-2</v>
      </c>
      <c r="O172" s="61">
        <v>5.3141203703703697E-2</v>
      </c>
      <c r="P172" s="59" t="s">
        <v>823</v>
      </c>
      <c r="Q172" s="8">
        <f t="shared" si="2"/>
        <v>735</v>
      </c>
    </row>
    <row r="173" spans="1:17" ht="15" customHeight="1">
      <c r="A173" s="59">
        <v>46</v>
      </c>
      <c r="B173" s="59">
        <v>257</v>
      </c>
      <c r="C173" s="60" t="s">
        <v>135</v>
      </c>
      <c r="D173" s="59" t="s">
        <v>824</v>
      </c>
      <c r="E173" s="59" t="s">
        <v>825</v>
      </c>
      <c r="F173" s="59"/>
      <c r="G173" s="59" t="s">
        <v>340</v>
      </c>
      <c r="H173" s="59" t="s">
        <v>348</v>
      </c>
      <c r="I173" s="59">
        <v>6</v>
      </c>
      <c r="J173" s="61">
        <v>1.1401620370370371E-2</v>
      </c>
      <c r="K173" s="61">
        <v>1.8020833333333333E-3</v>
      </c>
      <c r="L173" s="61">
        <v>2.8118055555555556E-2</v>
      </c>
      <c r="M173" s="61">
        <v>4.953703703703703E-4</v>
      </c>
      <c r="N173" s="61">
        <v>1.1472222222222222E-2</v>
      </c>
      <c r="O173" s="61">
        <v>5.3291666666666661E-2</v>
      </c>
      <c r="P173" s="59" t="s">
        <v>826</v>
      </c>
      <c r="Q173" s="8">
        <f t="shared" si="2"/>
        <v>733</v>
      </c>
    </row>
    <row r="174" spans="1:17" ht="15" customHeight="1">
      <c r="A174" s="59">
        <v>47</v>
      </c>
      <c r="B174" s="59">
        <v>177</v>
      </c>
      <c r="C174" s="60" t="s">
        <v>135</v>
      </c>
      <c r="D174" s="59" t="s">
        <v>827</v>
      </c>
      <c r="E174" s="59" t="s">
        <v>828</v>
      </c>
      <c r="F174" s="59" t="s">
        <v>367</v>
      </c>
      <c r="G174" s="59" t="s">
        <v>340</v>
      </c>
      <c r="H174" s="59" t="s">
        <v>357</v>
      </c>
      <c r="I174" s="59">
        <v>6</v>
      </c>
      <c r="J174" s="61">
        <v>1.060300925925926E-2</v>
      </c>
      <c r="K174" s="61">
        <v>7.7777777777777784E-4</v>
      </c>
      <c r="L174" s="61">
        <v>2.7556712962962963E-2</v>
      </c>
      <c r="M174" s="61">
        <v>9.6759259259259248E-4</v>
      </c>
      <c r="N174" s="61">
        <v>1.3447916666666667E-2</v>
      </c>
      <c r="O174" s="61">
        <v>5.3355324074074069E-2</v>
      </c>
      <c r="P174" s="59" t="s">
        <v>829</v>
      </c>
      <c r="Q174" s="8">
        <f t="shared" si="2"/>
        <v>732</v>
      </c>
    </row>
    <row r="175" spans="1:17" ht="15" customHeight="1">
      <c r="A175" s="59">
        <v>48</v>
      </c>
      <c r="B175" s="59">
        <v>156</v>
      </c>
      <c r="C175" s="60" t="s">
        <v>135</v>
      </c>
      <c r="D175" s="59" t="s">
        <v>830</v>
      </c>
      <c r="E175" s="59" t="s">
        <v>831</v>
      </c>
      <c r="F175" s="59"/>
      <c r="G175" s="59" t="s">
        <v>340</v>
      </c>
      <c r="H175" s="59" t="s">
        <v>348</v>
      </c>
      <c r="I175" s="59">
        <v>7</v>
      </c>
      <c r="J175" s="61">
        <v>1.0518518518518517E-2</v>
      </c>
      <c r="K175" s="61">
        <v>9.2476851851851856E-4</v>
      </c>
      <c r="L175" s="61">
        <v>2.8731481481481483E-2</v>
      </c>
      <c r="M175" s="61">
        <v>3.4027777777777778E-4</v>
      </c>
      <c r="N175" s="61">
        <v>1.2918981481481483E-2</v>
      </c>
      <c r="O175" s="61">
        <v>5.3437499999999999E-2</v>
      </c>
      <c r="P175" s="59" t="s">
        <v>832</v>
      </c>
      <c r="Q175" s="8">
        <f t="shared" si="2"/>
        <v>731</v>
      </c>
    </row>
    <row r="176" spans="1:17" ht="15" customHeight="1">
      <c r="A176" s="59">
        <v>49</v>
      </c>
      <c r="B176" s="59">
        <v>201</v>
      </c>
      <c r="C176" s="60" t="s">
        <v>135</v>
      </c>
      <c r="D176" s="59" t="s">
        <v>833</v>
      </c>
      <c r="E176" s="59" t="s">
        <v>834</v>
      </c>
      <c r="F176" s="59" t="s">
        <v>173</v>
      </c>
      <c r="G176" s="59" t="s">
        <v>340</v>
      </c>
      <c r="H176" s="59" t="s">
        <v>352</v>
      </c>
      <c r="I176" s="59">
        <v>5</v>
      </c>
      <c r="J176" s="61">
        <v>1.1673611111111112E-2</v>
      </c>
      <c r="K176" s="61">
        <v>1.1481481481481481E-3</v>
      </c>
      <c r="L176" s="61">
        <v>2.7608796296296298E-2</v>
      </c>
      <c r="M176" s="61">
        <v>5.2777777777777784E-4</v>
      </c>
      <c r="N176" s="61">
        <v>1.2559027777777777E-2</v>
      </c>
      <c r="O176" s="61">
        <v>5.3519675925925929E-2</v>
      </c>
      <c r="P176" s="59" t="s">
        <v>835</v>
      </c>
      <c r="Q176" s="8">
        <f t="shared" si="2"/>
        <v>730</v>
      </c>
    </row>
    <row r="177" spans="1:17" ht="15" customHeight="1">
      <c r="A177" s="59">
        <v>50</v>
      </c>
      <c r="B177" s="59">
        <v>164</v>
      </c>
      <c r="C177" s="59"/>
      <c r="D177" s="59" t="s">
        <v>836</v>
      </c>
      <c r="E177" s="59" t="s">
        <v>837</v>
      </c>
      <c r="F177" s="59" t="s">
        <v>838</v>
      </c>
      <c r="G177" s="59" t="s">
        <v>340</v>
      </c>
      <c r="H177" s="59" t="s">
        <v>344</v>
      </c>
      <c r="I177" s="59">
        <v>12</v>
      </c>
      <c r="J177" s="61">
        <v>1.2594907407407407E-2</v>
      </c>
      <c r="K177" s="61">
        <v>2.1053240740740741E-3</v>
      </c>
      <c r="L177" s="61">
        <v>2.7101851851851849E-2</v>
      </c>
      <c r="M177" s="61">
        <v>1.0034722222222222E-3</v>
      </c>
      <c r="N177" s="61">
        <v>1.0947916666666667E-2</v>
      </c>
      <c r="O177" s="61">
        <v>5.3756944444444447E-2</v>
      </c>
      <c r="P177" s="59" t="s">
        <v>839</v>
      </c>
      <c r="Q177" s="8">
        <f t="shared" si="2"/>
        <v>727</v>
      </c>
    </row>
    <row r="178" spans="1:17" ht="15" customHeight="1">
      <c r="A178" s="59">
        <v>51</v>
      </c>
      <c r="B178" s="59">
        <v>174</v>
      </c>
      <c r="C178" s="60" t="s">
        <v>135</v>
      </c>
      <c r="D178" s="59" t="s">
        <v>840</v>
      </c>
      <c r="E178" s="59" t="s">
        <v>841</v>
      </c>
      <c r="F178" s="59"/>
      <c r="G178" s="59" t="s">
        <v>340</v>
      </c>
      <c r="H178" s="59" t="s">
        <v>348</v>
      </c>
      <c r="I178" s="59">
        <v>8</v>
      </c>
      <c r="J178" s="61">
        <v>1.1148148148148148E-2</v>
      </c>
      <c r="K178" s="61">
        <v>1.5277777777777779E-3</v>
      </c>
      <c r="L178" s="61">
        <v>2.7843749999999997E-2</v>
      </c>
      <c r="M178" s="61">
        <v>4.4675925925925927E-4</v>
      </c>
      <c r="N178" s="61">
        <v>1.2931712962962963E-2</v>
      </c>
      <c r="O178" s="61">
        <v>5.3899305555555554E-2</v>
      </c>
      <c r="P178" s="59" t="s">
        <v>842</v>
      </c>
      <c r="Q178" s="8">
        <f t="shared" si="2"/>
        <v>725</v>
      </c>
    </row>
    <row r="179" spans="1:17" ht="15" customHeight="1">
      <c r="A179" s="59">
        <v>52</v>
      </c>
      <c r="B179" s="59">
        <v>255</v>
      </c>
      <c r="C179" s="60" t="s">
        <v>135</v>
      </c>
      <c r="D179" s="59" t="s">
        <v>668</v>
      </c>
      <c r="E179" s="59" t="s">
        <v>669</v>
      </c>
      <c r="F179" s="59" t="s">
        <v>153</v>
      </c>
      <c r="G179" s="59" t="s">
        <v>340</v>
      </c>
      <c r="H179" s="59" t="s">
        <v>357</v>
      </c>
      <c r="I179" s="59">
        <v>7</v>
      </c>
      <c r="J179" s="61">
        <v>1.0974537037037038E-2</v>
      </c>
      <c r="K179" s="61">
        <v>1.1481481481481481E-3</v>
      </c>
      <c r="L179" s="61">
        <v>2.8123842592592593E-2</v>
      </c>
      <c r="M179" s="61">
        <v>3.1712962962962961E-4</v>
      </c>
      <c r="N179" s="61">
        <v>1.3390046296296297E-2</v>
      </c>
      <c r="O179" s="61">
        <v>5.3956018518518521E-2</v>
      </c>
      <c r="P179" s="59" t="s">
        <v>843</v>
      </c>
      <c r="Q179" s="8">
        <f t="shared" si="2"/>
        <v>724</v>
      </c>
    </row>
    <row r="180" spans="1:17" ht="15" customHeight="1">
      <c r="A180" s="59">
        <v>53</v>
      </c>
      <c r="B180" s="59">
        <v>184</v>
      </c>
      <c r="C180" s="60" t="s">
        <v>135</v>
      </c>
      <c r="D180" s="59" t="s">
        <v>844</v>
      </c>
      <c r="E180" s="59" t="s">
        <v>845</v>
      </c>
      <c r="F180" s="59" t="s">
        <v>846</v>
      </c>
      <c r="G180" s="59" t="s">
        <v>340</v>
      </c>
      <c r="H180" s="59" t="s">
        <v>344</v>
      </c>
      <c r="I180" s="59">
        <v>13</v>
      </c>
      <c r="J180" s="61">
        <v>1.2917824074074073E-2</v>
      </c>
      <c r="K180" s="61">
        <v>2.8888888888888888E-3</v>
      </c>
      <c r="L180" s="61">
        <v>2.5175925925925925E-2</v>
      </c>
      <c r="M180" s="61">
        <v>9.2939814814814816E-4</v>
      </c>
      <c r="N180" s="61">
        <v>1.2121527777777778E-2</v>
      </c>
      <c r="O180" s="61">
        <v>5.4035879629629628E-2</v>
      </c>
      <c r="P180" s="59" t="s">
        <v>847</v>
      </c>
      <c r="Q180" s="8">
        <f t="shared" si="2"/>
        <v>723</v>
      </c>
    </row>
    <row r="181" spans="1:17" ht="15" customHeight="1">
      <c r="A181" s="59">
        <v>54</v>
      </c>
      <c r="B181" s="59">
        <v>169</v>
      </c>
      <c r="C181" s="60" t="s">
        <v>135</v>
      </c>
      <c r="D181" s="59" t="s">
        <v>848</v>
      </c>
      <c r="E181" s="59" t="s">
        <v>849</v>
      </c>
      <c r="F181" s="59" t="s">
        <v>850</v>
      </c>
      <c r="G181" s="59" t="s">
        <v>340</v>
      </c>
      <c r="H181" s="59" t="s">
        <v>344</v>
      </c>
      <c r="I181" s="59">
        <v>14</v>
      </c>
      <c r="J181" s="61">
        <v>1.1494212962962963E-2</v>
      </c>
      <c r="K181" s="61">
        <v>1.3240740740740741E-3</v>
      </c>
      <c r="L181" s="61">
        <v>2.7616898148148147E-2</v>
      </c>
      <c r="M181" s="61">
        <v>9.0509259259259265E-4</v>
      </c>
      <c r="N181" s="61">
        <v>1.2984953703703705E-2</v>
      </c>
      <c r="O181" s="61">
        <v>5.432754629629629E-2</v>
      </c>
      <c r="P181" s="59" t="s">
        <v>851</v>
      </c>
      <c r="Q181" s="8">
        <f t="shared" si="2"/>
        <v>719</v>
      </c>
    </row>
    <row r="182" spans="1:17" ht="15" customHeight="1">
      <c r="A182" s="59">
        <v>55</v>
      </c>
      <c r="B182" s="59">
        <v>218</v>
      </c>
      <c r="C182" s="60" t="s">
        <v>135</v>
      </c>
      <c r="D182" s="59" t="s">
        <v>852</v>
      </c>
      <c r="E182" s="59" t="s">
        <v>853</v>
      </c>
      <c r="F182" s="59" t="s">
        <v>199</v>
      </c>
      <c r="G182" s="59" t="s">
        <v>340</v>
      </c>
      <c r="H182" s="59" t="s">
        <v>352</v>
      </c>
      <c r="I182" s="59">
        <v>6</v>
      </c>
      <c r="J182" s="61">
        <v>1.0082175925925927E-2</v>
      </c>
      <c r="K182" s="61">
        <v>1.4421296296296296E-3</v>
      </c>
      <c r="L182" s="61">
        <v>3.0406249999999999E-2</v>
      </c>
      <c r="M182" s="61">
        <v>5.8564814814814818E-4</v>
      </c>
      <c r="N182" s="61">
        <v>1.1841435185185186E-2</v>
      </c>
      <c r="O182" s="61">
        <v>5.4359953703703702E-2</v>
      </c>
      <c r="P182" s="59" t="s">
        <v>854</v>
      </c>
      <c r="Q182" s="8">
        <f t="shared" si="2"/>
        <v>718</v>
      </c>
    </row>
    <row r="183" spans="1:17" ht="15" customHeight="1">
      <c r="A183" s="59">
        <v>56</v>
      </c>
      <c r="B183" s="59">
        <v>152</v>
      </c>
      <c r="C183" s="60" t="s">
        <v>135</v>
      </c>
      <c r="D183" s="59" t="s">
        <v>855</v>
      </c>
      <c r="E183" s="59" t="s">
        <v>856</v>
      </c>
      <c r="F183" s="59"/>
      <c r="G183" s="59" t="s">
        <v>340</v>
      </c>
      <c r="H183" s="59" t="s">
        <v>344</v>
      </c>
      <c r="I183" s="59">
        <v>15</v>
      </c>
      <c r="J183" s="61">
        <v>1.0834490740740742E-2</v>
      </c>
      <c r="K183" s="61">
        <v>1.1620370370370372E-3</v>
      </c>
      <c r="L183" s="61">
        <v>2.9496527777777778E-2</v>
      </c>
      <c r="M183" s="61">
        <v>5.4629629629629635E-4</v>
      </c>
      <c r="N183" s="61">
        <v>1.2420138888888889E-2</v>
      </c>
      <c r="O183" s="61">
        <v>5.4460648148148147E-2</v>
      </c>
      <c r="P183" s="59" t="s">
        <v>857</v>
      </c>
      <c r="Q183" s="8">
        <f t="shared" si="2"/>
        <v>717</v>
      </c>
    </row>
    <row r="184" spans="1:17" ht="15" customHeight="1">
      <c r="A184" s="59">
        <v>57</v>
      </c>
      <c r="B184" s="59">
        <v>205</v>
      </c>
      <c r="C184" s="60" t="s">
        <v>135</v>
      </c>
      <c r="D184" s="59" t="s">
        <v>858</v>
      </c>
      <c r="E184" s="59" t="s">
        <v>859</v>
      </c>
      <c r="F184" s="59" t="s">
        <v>860</v>
      </c>
      <c r="G184" s="59" t="s">
        <v>340</v>
      </c>
      <c r="H184" s="59" t="s">
        <v>341</v>
      </c>
      <c r="I184" s="59">
        <v>8</v>
      </c>
      <c r="J184" s="61">
        <v>1.4212962962962964E-2</v>
      </c>
      <c r="K184" s="61">
        <v>1.3206018518518519E-3</v>
      </c>
      <c r="L184" s="61">
        <v>2.5726851851851855E-2</v>
      </c>
      <c r="M184" s="61">
        <v>3.3912037037037038E-4</v>
      </c>
      <c r="N184" s="61">
        <v>1.306712962962963E-2</v>
      </c>
      <c r="O184" s="61">
        <v>5.4668981481481478E-2</v>
      </c>
      <c r="P184" s="59" t="s">
        <v>861</v>
      </c>
      <c r="Q184" s="8">
        <f t="shared" si="2"/>
        <v>714</v>
      </c>
    </row>
    <row r="185" spans="1:17" ht="15" customHeight="1">
      <c r="A185" s="59">
        <v>58</v>
      </c>
      <c r="B185" s="59">
        <v>206</v>
      </c>
      <c r="C185" s="60" t="s">
        <v>135</v>
      </c>
      <c r="D185" s="59" t="s">
        <v>862</v>
      </c>
      <c r="E185" s="59" t="s">
        <v>863</v>
      </c>
      <c r="F185" s="59" t="s">
        <v>538</v>
      </c>
      <c r="G185" s="59" t="s">
        <v>340</v>
      </c>
      <c r="H185" s="59" t="s">
        <v>357</v>
      </c>
      <c r="I185" s="59">
        <v>8</v>
      </c>
      <c r="J185" s="61">
        <v>1.1289351851851851E-2</v>
      </c>
      <c r="K185" s="61">
        <v>1.5983796296296295E-3</v>
      </c>
      <c r="L185" s="61">
        <v>2.7594907407407405E-2</v>
      </c>
      <c r="M185" s="61">
        <v>6.4120370370370373E-4</v>
      </c>
      <c r="N185" s="61">
        <v>1.3608796296296296E-2</v>
      </c>
      <c r="O185" s="61">
        <v>5.4734953703703709E-2</v>
      </c>
      <c r="P185" s="59" t="s">
        <v>864</v>
      </c>
      <c r="Q185" s="8">
        <f t="shared" si="2"/>
        <v>714</v>
      </c>
    </row>
    <row r="186" spans="1:17" ht="15" customHeight="1">
      <c r="A186" s="59">
        <v>59</v>
      </c>
      <c r="B186" s="59">
        <v>212</v>
      </c>
      <c r="C186" s="60" t="s">
        <v>135</v>
      </c>
      <c r="D186" s="59" t="s">
        <v>865</v>
      </c>
      <c r="E186" s="59" t="s">
        <v>866</v>
      </c>
      <c r="F186" s="59"/>
      <c r="G186" s="59" t="s">
        <v>340</v>
      </c>
      <c r="H186" s="59" t="s">
        <v>348</v>
      </c>
      <c r="I186" s="59">
        <v>9</v>
      </c>
      <c r="J186" s="61">
        <v>1.1400462962962963E-2</v>
      </c>
      <c r="K186" s="61">
        <v>1.3634259259259259E-3</v>
      </c>
      <c r="L186" s="61">
        <v>2.9452546296296293E-2</v>
      </c>
      <c r="M186" s="61">
        <v>8.3101851851851848E-4</v>
      </c>
      <c r="N186" s="61">
        <v>1.2008101851851851E-2</v>
      </c>
      <c r="O186" s="61">
        <v>5.5057870370370368E-2</v>
      </c>
      <c r="P186" s="59" t="s">
        <v>867</v>
      </c>
      <c r="Q186" s="8">
        <f t="shared" si="2"/>
        <v>709</v>
      </c>
    </row>
    <row r="187" spans="1:17" ht="15" customHeight="1">
      <c r="A187" s="59">
        <v>60</v>
      </c>
      <c r="B187" s="59">
        <v>256</v>
      </c>
      <c r="C187" s="60" t="s">
        <v>135</v>
      </c>
      <c r="D187" s="59" t="s">
        <v>868</v>
      </c>
      <c r="E187" s="59" t="s">
        <v>869</v>
      </c>
      <c r="F187" s="59" t="s">
        <v>153</v>
      </c>
      <c r="G187" s="59" t="s">
        <v>319</v>
      </c>
      <c r="H187" s="59" t="s">
        <v>154</v>
      </c>
      <c r="I187" s="59">
        <v>2</v>
      </c>
      <c r="J187" s="61">
        <v>1.1180555555555555E-2</v>
      </c>
      <c r="K187" s="61">
        <v>1.7511574074074074E-3</v>
      </c>
      <c r="L187" s="61">
        <v>2.9488425925925928E-2</v>
      </c>
      <c r="M187" s="61">
        <v>4.5486111111111107E-4</v>
      </c>
      <c r="N187" s="61">
        <v>1.2246527777777776E-2</v>
      </c>
      <c r="O187" s="61">
        <v>5.5122685185185191E-2</v>
      </c>
      <c r="P187" s="59" t="s">
        <v>870</v>
      </c>
      <c r="Q187" s="8">
        <f t="shared" si="2"/>
        <v>709</v>
      </c>
    </row>
    <row r="188" spans="1:17" ht="15" customHeight="1">
      <c r="A188" s="59">
        <v>61</v>
      </c>
      <c r="B188" s="59">
        <v>155</v>
      </c>
      <c r="C188" s="60" t="s">
        <v>135</v>
      </c>
      <c r="D188" s="59" t="s">
        <v>283</v>
      </c>
      <c r="E188" s="59" t="s">
        <v>284</v>
      </c>
      <c r="F188" s="59" t="s">
        <v>199</v>
      </c>
      <c r="G188" s="59" t="s">
        <v>340</v>
      </c>
      <c r="H188" s="59" t="s">
        <v>348</v>
      </c>
      <c r="I188" s="59">
        <v>10</v>
      </c>
      <c r="J188" s="61">
        <v>1.2385416666666666E-2</v>
      </c>
      <c r="K188" s="61">
        <v>1.6516203703703701E-3</v>
      </c>
      <c r="L188" s="61">
        <v>2.75E-2</v>
      </c>
      <c r="M188" s="61">
        <v>4.4328703703703701E-4</v>
      </c>
      <c r="N188" s="61">
        <v>1.3336805555555555E-2</v>
      </c>
      <c r="O188" s="61">
        <v>5.5319444444444449E-2</v>
      </c>
      <c r="P188" s="59" t="s">
        <v>871</v>
      </c>
      <c r="Q188" s="8">
        <f t="shared" si="2"/>
        <v>706</v>
      </c>
    </row>
    <row r="189" spans="1:17" ht="15" customHeight="1">
      <c r="A189" s="59">
        <v>62</v>
      </c>
      <c r="B189" s="59">
        <v>182</v>
      </c>
      <c r="C189" s="60" t="s">
        <v>135</v>
      </c>
      <c r="D189" s="59" t="s">
        <v>872</v>
      </c>
      <c r="E189" s="59" t="s">
        <v>873</v>
      </c>
      <c r="F189" s="59"/>
      <c r="G189" s="59" t="s">
        <v>340</v>
      </c>
      <c r="H189" s="59" t="s">
        <v>448</v>
      </c>
      <c r="I189" s="59">
        <v>2</v>
      </c>
      <c r="J189" s="61">
        <v>1.2391203703703703E-2</v>
      </c>
      <c r="K189" s="61">
        <v>1.0462962962962963E-3</v>
      </c>
      <c r="L189" s="61">
        <v>2.8253472222222221E-2</v>
      </c>
      <c r="M189" s="61">
        <v>4.2824074074074075E-4</v>
      </c>
      <c r="N189" s="61">
        <v>1.3280092592592593E-2</v>
      </c>
      <c r="O189" s="61">
        <v>5.5401620370370365E-2</v>
      </c>
      <c r="P189" s="59" t="s">
        <v>874</v>
      </c>
      <c r="Q189" s="8">
        <f t="shared" si="2"/>
        <v>705</v>
      </c>
    </row>
    <row r="190" spans="1:17" ht="15" customHeight="1">
      <c r="A190" s="59">
        <v>63</v>
      </c>
      <c r="B190" s="59">
        <v>153</v>
      </c>
      <c r="C190" s="60" t="s">
        <v>135</v>
      </c>
      <c r="D190" s="59" t="s">
        <v>875</v>
      </c>
      <c r="E190" s="59" t="s">
        <v>876</v>
      </c>
      <c r="F190" s="59" t="s">
        <v>877</v>
      </c>
      <c r="G190" s="59" t="s">
        <v>340</v>
      </c>
      <c r="H190" s="59" t="s">
        <v>624</v>
      </c>
      <c r="I190" s="59">
        <v>1</v>
      </c>
      <c r="J190" s="61">
        <v>1.2269675925925925E-2</v>
      </c>
      <c r="K190" s="61">
        <v>1.1006944444444443E-3</v>
      </c>
      <c r="L190" s="61">
        <v>2.7929398148148148E-2</v>
      </c>
      <c r="M190" s="61">
        <v>6.4236111111111113E-4</v>
      </c>
      <c r="N190" s="61">
        <v>1.3876157407407408E-2</v>
      </c>
      <c r="O190" s="61">
        <v>5.582060185185185E-2</v>
      </c>
      <c r="P190" s="59" t="s">
        <v>878</v>
      </c>
      <c r="Q190" s="8">
        <f t="shared" si="2"/>
        <v>700</v>
      </c>
    </row>
    <row r="191" spans="1:17" ht="15" customHeight="1">
      <c r="A191" s="59">
        <v>64</v>
      </c>
      <c r="B191" s="59">
        <v>246</v>
      </c>
      <c r="C191" s="60" t="s">
        <v>135</v>
      </c>
      <c r="D191" s="59" t="s">
        <v>879</v>
      </c>
      <c r="E191" s="59" t="s">
        <v>880</v>
      </c>
      <c r="F191" s="59" t="s">
        <v>173</v>
      </c>
      <c r="G191" s="59" t="s">
        <v>340</v>
      </c>
      <c r="H191" s="59" t="s">
        <v>357</v>
      </c>
      <c r="I191" s="59">
        <v>9</v>
      </c>
      <c r="J191" s="61">
        <v>1.2138888888888888E-2</v>
      </c>
      <c r="K191" s="61">
        <v>1.2581018518518518E-3</v>
      </c>
      <c r="L191" s="61">
        <v>2.7577546296296294E-2</v>
      </c>
      <c r="M191" s="61">
        <v>6.3888888888888893E-4</v>
      </c>
      <c r="N191" s="61">
        <v>1.4267361111111111E-2</v>
      </c>
      <c r="O191" s="61">
        <v>5.5883101851851857E-2</v>
      </c>
      <c r="P191" s="59" t="s">
        <v>881</v>
      </c>
      <c r="Q191" s="8">
        <f t="shared" si="2"/>
        <v>699</v>
      </c>
    </row>
    <row r="192" spans="1:17" ht="15" customHeight="1">
      <c r="A192" s="59">
        <v>65</v>
      </c>
      <c r="B192" s="59">
        <v>171</v>
      </c>
      <c r="C192" s="60" t="s">
        <v>135</v>
      </c>
      <c r="D192" s="59" t="s">
        <v>882</v>
      </c>
      <c r="E192" s="59" t="s">
        <v>883</v>
      </c>
      <c r="F192" s="59"/>
      <c r="G192" s="59" t="s">
        <v>340</v>
      </c>
      <c r="H192" s="59" t="s">
        <v>341</v>
      </c>
      <c r="I192" s="59">
        <v>9</v>
      </c>
      <c r="J192" s="61">
        <v>1.3047453703703703E-2</v>
      </c>
      <c r="K192" s="61">
        <v>1.8275462962962963E-3</v>
      </c>
      <c r="L192" s="61">
        <v>2.855324074074074E-2</v>
      </c>
      <c r="M192" s="61">
        <v>1.1168981481481481E-3</v>
      </c>
      <c r="N192" s="61">
        <v>1.1984953703703704E-2</v>
      </c>
      <c r="O192" s="61">
        <v>5.6531250000000005E-2</v>
      </c>
      <c r="P192" s="59" t="s">
        <v>884</v>
      </c>
      <c r="Q192" s="8">
        <f t="shared" si="2"/>
        <v>691</v>
      </c>
    </row>
    <row r="193" spans="1:17" ht="15" customHeight="1">
      <c r="A193" s="59">
        <v>66</v>
      </c>
      <c r="B193" s="59">
        <v>180</v>
      </c>
      <c r="C193" s="60" t="s">
        <v>135</v>
      </c>
      <c r="D193" s="59" t="s">
        <v>885</v>
      </c>
      <c r="E193" s="59" t="s">
        <v>886</v>
      </c>
      <c r="F193" s="59"/>
      <c r="G193" s="59" t="s">
        <v>340</v>
      </c>
      <c r="H193" s="59" t="s">
        <v>420</v>
      </c>
      <c r="I193" s="59">
        <v>5</v>
      </c>
      <c r="J193" s="61">
        <v>1.1239583333333334E-2</v>
      </c>
      <c r="K193" s="61">
        <v>1.8032407407407409E-3</v>
      </c>
      <c r="L193" s="61">
        <v>2.8980324074074075E-2</v>
      </c>
      <c r="M193" s="61">
        <v>6.2962962962962961E-4</v>
      </c>
      <c r="N193" s="61">
        <v>1.3960648148148149E-2</v>
      </c>
      <c r="O193" s="61">
        <v>5.6616898148148145E-2</v>
      </c>
      <c r="P193" s="59" t="s">
        <v>887</v>
      </c>
      <c r="Q193" s="8">
        <f t="shared" ref="Q193:Q237" si="3">IFERROR(ROUND($O$128/O193*900,0),0)</f>
        <v>690</v>
      </c>
    </row>
    <row r="194" spans="1:17" ht="15" customHeight="1">
      <c r="A194" s="59">
        <v>67</v>
      </c>
      <c r="B194" s="59">
        <v>240</v>
      </c>
      <c r="C194" s="60" t="s">
        <v>135</v>
      </c>
      <c r="D194" s="59" t="s">
        <v>888</v>
      </c>
      <c r="E194" s="59" t="s">
        <v>889</v>
      </c>
      <c r="F194" s="59" t="s">
        <v>890</v>
      </c>
      <c r="G194" s="59" t="s">
        <v>340</v>
      </c>
      <c r="H194" s="59" t="s">
        <v>341</v>
      </c>
      <c r="I194" s="59">
        <v>10</v>
      </c>
      <c r="J194" s="61">
        <v>1.1547453703703704E-2</v>
      </c>
      <c r="K194" s="61">
        <v>1.8067129629629629E-3</v>
      </c>
      <c r="L194" s="61">
        <v>2.8996527777777781E-2</v>
      </c>
      <c r="M194" s="61">
        <v>9.1319444444444456E-4</v>
      </c>
      <c r="N194" s="61">
        <v>1.3644675925925926E-2</v>
      </c>
      <c r="O194" s="61">
        <v>5.6910879629629631E-2</v>
      </c>
      <c r="P194" s="59" t="s">
        <v>891</v>
      </c>
      <c r="Q194" s="8">
        <f t="shared" si="3"/>
        <v>686</v>
      </c>
    </row>
    <row r="195" spans="1:17" ht="15" customHeight="1">
      <c r="A195" s="59">
        <v>68</v>
      </c>
      <c r="B195" s="59">
        <v>198</v>
      </c>
      <c r="C195" s="60" t="s">
        <v>140</v>
      </c>
      <c r="D195" s="59" t="s">
        <v>892</v>
      </c>
      <c r="E195" s="59" t="s">
        <v>893</v>
      </c>
      <c r="F195" s="59" t="s">
        <v>694</v>
      </c>
      <c r="G195" s="59" t="s">
        <v>319</v>
      </c>
      <c r="H195" s="59" t="s">
        <v>144</v>
      </c>
      <c r="I195" s="59">
        <v>1</v>
      </c>
      <c r="J195" s="61">
        <v>1.0032407407407407E-2</v>
      </c>
      <c r="K195" s="61">
        <v>8.6342592592592591E-4</v>
      </c>
      <c r="L195" s="61">
        <v>3.084375E-2</v>
      </c>
      <c r="M195" s="61">
        <v>3.0671296296296295E-4</v>
      </c>
      <c r="N195" s="61">
        <v>1.4875000000000001E-2</v>
      </c>
      <c r="O195" s="61">
        <v>5.6922453703703711E-2</v>
      </c>
      <c r="P195" s="59" t="s">
        <v>894</v>
      </c>
      <c r="Q195" s="8">
        <f t="shared" si="3"/>
        <v>686</v>
      </c>
    </row>
    <row r="196" spans="1:17" ht="15" customHeight="1">
      <c r="A196" s="59">
        <v>69</v>
      </c>
      <c r="B196" s="59">
        <v>352</v>
      </c>
      <c r="C196" s="59"/>
      <c r="D196" s="59" t="s">
        <v>895</v>
      </c>
      <c r="E196" s="59" t="s">
        <v>896</v>
      </c>
      <c r="F196" s="59"/>
      <c r="G196" s="59" t="s">
        <v>340</v>
      </c>
      <c r="H196" s="59" t="s">
        <v>344</v>
      </c>
      <c r="I196" s="59">
        <v>16</v>
      </c>
      <c r="J196" s="61">
        <v>1.4011574074074074E-2</v>
      </c>
      <c r="K196" s="61">
        <v>1.3634259259259259E-3</v>
      </c>
      <c r="L196" s="61">
        <v>2.6927083333333334E-2</v>
      </c>
      <c r="M196" s="61">
        <v>8.8888888888888882E-4</v>
      </c>
      <c r="N196" s="61">
        <v>1.3905092592592594E-2</v>
      </c>
      <c r="O196" s="61">
        <v>5.7097222222222223E-2</v>
      </c>
      <c r="P196" s="59" t="s">
        <v>897</v>
      </c>
      <c r="Q196" s="8">
        <f t="shared" si="3"/>
        <v>684</v>
      </c>
    </row>
    <row r="197" spans="1:17" ht="15" customHeight="1">
      <c r="A197" s="59">
        <v>70</v>
      </c>
      <c r="B197" s="59">
        <v>154</v>
      </c>
      <c r="C197" s="60" t="s">
        <v>135</v>
      </c>
      <c r="D197" s="59" t="s">
        <v>898</v>
      </c>
      <c r="E197" s="59" t="s">
        <v>899</v>
      </c>
      <c r="F197" s="59" t="s">
        <v>900</v>
      </c>
      <c r="G197" s="59" t="s">
        <v>340</v>
      </c>
      <c r="H197" s="59" t="s">
        <v>348</v>
      </c>
      <c r="I197" s="59">
        <v>11</v>
      </c>
      <c r="J197" s="61">
        <v>1.1582175925925926E-2</v>
      </c>
      <c r="K197" s="61">
        <v>1.736111111111111E-3</v>
      </c>
      <c r="L197" s="61">
        <v>3.0590277777777779E-2</v>
      </c>
      <c r="M197" s="61">
        <v>8.0787037037037036E-4</v>
      </c>
      <c r="N197" s="61">
        <v>1.2498842592592594E-2</v>
      </c>
      <c r="O197" s="61">
        <v>5.7217592592592598E-2</v>
      </c>
      <c r="P197" s="59" t="s">
        <v>901</v>
      </c>
      <c r="Q197" s="8">
        <f t="shared" si="3"/>
        <v>683</v>
      </c>
    </row>
    <row r="198" spans="1:17" ht="15" customHeight="1">
      <c r="A198" s="59">
        <v>71</v>
      </c>
      <c r="B198" s="59">
        <v>162</v>
      </c>
      <c r="C198" s="60" t="s">
        <v>135</v>
      </c>
      <c r="D198" s="59" t="s">
        <v>902</v>
      </c>
      <c r="E198" s="59" t="s">
        <v>903</v>
      </c>
      <c r="F198" s="59"/>
      <c r="G198" s="59" t="s">
        <v>340</v>
      </c>
      <c r="H198" s="59" t="s">
        <v>420</v>
      </c>
      <c r="I198" s="59">
        <v>6</v>
      </c>
      <c r="J198" s="61">
        <v>1.2966435185185185E-2</v>
      </c>
      <c r="K198" s="61">
        <v>1.5312500000000001E-3</v>
      </c>
      <c r="L198" s="61">
        <v>2.8303240740740743E-2</v>
      </c>
      <c r="M198" s="61">
        <v>4.2361111111111115E-4</v>
      </c>
      <c r="N198" s="61">
        <v>1.4116898148148149E-2</v>
      </c>
      <c r="O198" s="61">
        <v>5.7343749999999999E-2</v>
      </c>
      <c r="P198" s="59" t="s">
        <v>904</v>
      </c>
      <c r="Q198" s="8">
        <f t="shared" si="3"/>
        <v>681</v>
      </c>
    </row>
    <row r="199" spans="1:17" ht="15" customHeight="1">
      <c r="A199" s="59">
        <v>72</v>
      </c>
      <c r="B199" s="59">
        <v>223</v>
      </c>
      <c r="C199" s="60" t="s">
        <v>135</v>
      </c>
      <c r="D199" s="59" t="s">
        <v>905</v>
      </c>
      <c r="E199" s="59" t="s">
        <v>906</v>
      </c>
      <c r="F199" s="59"/>
      <c r="G199" s="59" t="s">
        <v>340</v>
      </c>
      <c r="H199" s="59" t="s">
        <v>352</v>
      </c>
      <c r="I199" s="59">
        <v>7</v>
      </c>
      <c r="J199" s="61">
        <v>1.1866898148148147E-2</v>
      </c>
      <c r="K199" s="61">
        <v>1.3437499999999999E-3</v>
      </c>
      <c r="L199" s="61">
        <v>3.0087962962962962E-2</v>
      </c>
      <c r="M199" s="61">
        <v>4.9768518518518521E-4</v>
      </c>
      <c r="N199" s="61">
        <v>1.3546296296296298E-2</v>
      </c>
      <c r="O199" s="61">
        <v>5.7344907407407414E-2</v>
      </c>
      <c r="P199" s="59" t="s">
        <v>907</v>
      </c>
      <c r="Q199" s="8">
        <f t="shared" si="3"/>
        <v>681</v>
      </c>
    </row>
    <row r="200" spans="1:17" ht="15" customHeight="1">
      <c r="A200" s="59">
        <v>73</v>
      </c>
      <c r="B200" s="59">
        <v>230</v>
      </c>
      <c r="C200" s="60" t="s">
        <v>135</v>
      </c>
      <c r="D200" s="59" t="s">
        <v>908</v>
      </c>
      <c r="E200" s="59" t="s">
        <v>909</v>
      </c>
      <c r="F200" s="59" t="s">
        <v>173</v>
      </c>
      <c r="G200" s="59" t="s">
        <v>340</v>
      </c>
      <c r="H200" s="59" t="s">
        <v>357</v>
      </c>
      <c r="I200" s="59">
        <v>10</v>
      </c>
      <c r="J200" s="61">
        <v>1.165625E-2</v>
      </c>
      <c r="K200" s="61">
        <v>1.5787037037037037E-3</v>
      </c>
      <c r="L200" s="61">
        <v>3.0782407407407408E-2</v>
      </c>
      <c r="M200" s="61">
        <v>2.0601851851851852E-4</v>
      </c>
      <c r="N200" s="61">
        <v>1.325462962962963E-2</v>
      </c>
      <c r="O200" s="61">
        <v>5.748032407407408E-2</v>
      </c>
      <c r="P200" s="59" t="s">
        <v>910</v>
      </c>
      <c r="Q200" s="8">
        <f t="shared" si="3"/>
        <v>679</v>
      </c>
    </row>
    <row r="201" spans="1:17" ht="15" customHeight="1">
      <c r="A201" s="59">
        <v>74</v>
      </c>
      <c r="B201" s="59">
        <v>224</v>
      </c>
      <c r="C201" s="60" t="s">
        <v>135</v>
      </c>
      <c r="D201" s="59" t="s">
        <v>911</v>
      </c>
      <c r="E201" s="59" t="s">
        <v>912</v>
      </c>
      <c r="F201" s="59"/>
      <c r="G201" s="59" t="s">
        <v>319</v>
      </c>
      <c r="H201" s="59" t="s">
        <v>139</v>
      </c>
      <c r="I201" s="59">
        <v>1</v>
      </c>
      <c r="J201" s="61">
        <v>9.9027777777777777E-3</v>
      </c>
      <c r="K201" s="61">
        <v>9.814814814814814E-4</v>
      </c>
      <c r="L201" s="61">
        <v>3.0876157407407404E-2</v>
      </c>
      <c r="M201" s="61">
        <v>7.5115740740740752E-4</v>
      </c>
      <c r="N201" s="61">
        <v>1.5013888888888889E-2</v>
      </c>
      <c r="O201" s="61">
        <v>5.7526620370370374E-2</v>
      </c>
      <c r="P201" s="59" t="s">
        <v>913</v>
      </c>
      <c r="Q201" s="8">
        <f t="shared" si="3"/>
        <v>679</v>
      </c>
    </row>
    <row r="202" spans="1:17" ht="15" customHeight="1">
      <c r="A202" s="59">
        <v>75</v>
      </c>
      <c r="B202" s="59">
        <v>208</v>
      </c>
      <c r="C202" s="60" t="s">
        <v>135</v>
      </c>
      <c r="D202" s="59" t="s">
        <v>914</v>
      </c>
      <c r="E202" s="59" t="s">
        <v>915</v>
      </c>
      <c r="F202" s="59"/>
      <c r="G202" s="59" t="s">
        <v>340</v>
      </c>
      <c r="H202" s="59" t="s">
        <v>348</v>
      </c>
      <c r="I202" s="59">
        <v>12</v>
      </c>
      <c r="J202" s="61">
        <v>1.4282407407407407E-2</v>
      </c>
      <c r="K202" s="61">
        <v>1.1655092592592594E-3</v>
      </c>
      <c r="L202" s="61">
        <v>2.7815972222222225E-2</v>
      </c>
      <c r="M202" s="61">
        <v>8.6458333333333341E-4</v>
      </c>
      <c r="N202" s="61">
        <v>1.3586805555555557E-2</v>
      </c>
      <c r="O202" s="61">
        <v>5.7718749999999999E-2</v>
      </c>
      <c r="P202" s="59" t="s">
        <v>916</v>
      </c>
      <c r="Q202" s="8">
        <f t="shared" si="3"/>
        <v>677</v>
      </c>
    </row>
    <row r="203" spans="1:17" ht="15" customHeight="1">
      <c r="A203" s="59">
        <v>76</v>
      </c>
      <c r="B203" s="59">
        <v>159</v>
      </c>
      <c r="C203" s="60" t="s">
        <v>135</v>
      </c>
      <c r="D203" s="59" t="s">
        <v>917</v>
      </c>
      <c r="E203" s="59" t="s">
        <v>918</v>
      </c>
      <c r="F203" s="59"/>
      <c r="G203" s="59" t="s">
        <v>340</v>
      </c>
      <c r="H203" s="59" t="s">
        <v>344</v>
      </c>
      <c r="I203" s="59">
        <v>17</v>
      </c>
      <c r="J203" s="61">
        <v>1.244675925925926E-2</v>
      </c>
      <c r="K203" s="61">
        <v>1.9988425925925924E-3</v>
      </c>
      <c r="L203" s="61">
        <v>2.8365740740740743E-2</v>
      </c>
      <c r="M203" s="61">
        <v>7.0949074074074068E-4</v>
      </c>
      <c r="N203" s="61">
        <v>1.426273148148148E-2</v>
      </c>
      <c r="O203" s="61">
        <v>5.7785879629629625E-2</v>
      </c>
      <c r="P203" s="59" t="s">
        <v>919</v>
      </c>
      <c r="Q203" s="8">
        <f t="shared" si="3"/>
        <v>676</v>
      </c>
    </row>
    <row r="204" spans="1:17" ht="15" customHeight="1">
      <c r="A204" s="59">
        <v>77</v>
      </c>
      <c r="B204" s="59">
        <v>203</v>
      </c>
      <c r="C204" s="60" t="s">
        <v>135</v>
      </c>
      <c r="D204" s="59" t="s">
        <v>920</v>
      </c>
      <c r="E204" s="59" t="s">
        <v>921</v>
      </c>
      <c r="F204" s="59" t="s">
        <v>203</v>
      </c>
      <c r="G204" s="59" t="s">
        <v>319</v>
      </c>
      <c r="H204" s="59" t="s">
        <v>139</v>
      </c>
      <c r="I204" s="59">
        <v>2</v>
      </c>
      <c r="J204" s="61">
        <v>1.4087962962962964E-2</v>
      </c>
      <c r="K204" s="61">
        <v>1.3240740740740741E-3</v>
      </c>
      <c r="L204" s="61">
        <v>2.8862268518518516E-2</v>
      </c>
      <c r="M204" s="61">
        <v>4.4791666666666672E-4</v>
      </c>
      <c r="N204" s="61">
        <v>1.3155092592592591E-2</v>
      </c>
      <c r="O204" s="61">
        <v>5.7879629629629635E-2</v>
      </c>
      <c r="P204" s="59" t="s">
        <v>922</v>
      </c>
      <c r="Q204" s="8">
        <f t="shared" si="3"/>
        <v>675</v>
      </c>
    </row>
    <row r="205" spans="1:17" ht="15" customHeight="1">
      <c r="A205" s="59">
        <v>78</v>
      </c>
      <c r="B205" s="59">
        <v>207</v>
      </c>
      <c r="C205" s="60" t="s">
        <v>135</v>
      </c>
      <c r="D205" s="59" t="s">
        <v>923</v>
      </c>
      <c r="E205" s="59" t="s">
        <v>924</v>
      </c>
      <c r="F205" s="59" t="s">
        <v>199</v>
      </c>
      <c r="G205" s="59" t="s">
        <v>319</v>
      </c>
      <c r="H205" s="59" t="s">
        <v>149</v>
      </c>
      <c r="I205" s="59">
        <v>1</v>
      </c>
      <c r="J205" s="61">
        <v>1.0236111111111111E-2</v>
      </c>
      <c r="K205" s="61">
        <v>1.3078703703703703E-3</v>
      </c>
      <c r="L205" s="61">
        <v>3.0474537037037036E-2</v>
      </c>
      <c r="M205" s="61">
        <v>1.0798611111111111E-3</v>
      </c>
      <c r="N205" s="61">
        <v>1.4836805555555556E-2</v>
      </c>
      <c r="O205" s="61">
        <v>5.7936342592592588E-2</v>
      </c>
      <c r="P205" s="59" t="s">
        <v>925</v>
      </c>
      <c r="Q205" s="8">
        <f t="shared" si="3"/>
        <v>674</v>
      </c>
    </row>
    <row r="206" spans="1:17" ht="15" customHeight="1">
      <c r="A206" s="59">
        <v>79</v>
      </c>
      <c r="B206" s="59">
        <v>232</v>
      </c>
      <c r="C206" s="59"/>
      <c r="D206" s="59" t="s">
        <v>926</v>
      </c>
      <c r="E206" s="59" t="s">
        <v>927</v>
      </c>
      <c r="F206" s="59"/>
      <c r="G206" s="59" t="s">
        <v>340</v>
      </c>
      <c r="H206" s="59" t="s">
        <v>624</v>
      </c>
      <c r="I206" s="59">
        <v>2</v>
      </c>
      <c r="J206" s="61">
        <v>1.2109953703703703E-2</v>
      </c>
      <c r="K206" s="61">
        <v>1.8530092592592591E-3</v>
      </c>
      <c r="L206" s="61">
        <v>2.9326388888888891E-2</v>
      </c>
      <c r="M206" s="61">
        <v>1.3206018518518519E-3</v>
      </c>
      <c r="N206" s="61">
        <v>1.3878472222222221E-2</v>
      </c>
      <c r="O206" s="61">
        <v>5.8489583333333331E-2</v>
      </c>
      <c r="P206" s="59" t="s">
        <v>928</v>
      </c>
      <c r="Q206" s="8">
        <f t="shared" si="3"/>
        <v>668</v>
      </c>
    </row>
    <row r="207" spans="1:17" ht="15" customHeight="1">
      <c r="A207" s="59">
        <v>80</v>
      </c>
      <c r="B207" s="59">
        <v>192</v>
      </c>
      <c r="C207" s="60" t="s">
        <v>135</v>
      </c>
      <c r="D207" s="59" t="s">
        <v>929</v>
      </c>
      <c r="E207" s="59" t="s">
        <v>930</v>
      </c>
      <c r="F207" s="59" t="s">
        <v>138</v>
      </c>
      <c r="G207" s="59" t="s">
        <v>319</v>
      </c>
      <c r="H207" s="59" t="s">
        <v>163</v>
      </c>
      <c r="I207" s="59">
        <v>1</v>
      </c>
      <c r="J207" s="61">
        <v>1.1434027777777777E-2</v>
      </c>
      <c r="K207" s="61">
        <v>1.517361111111111E-3</v>
      </c>
      <c r="L207" s="61">
        <v>3.105092592592593E-2</v>
      </c>
      <c r="M207" s="61">
        <v>5.0462962962962961E-4</v>
      </c>
      <c r="N207" s="61">
        <v>1.423148148148148E-2</v>
      </c>
      <c r="O207" s="61">
        <v>5.8740740740740739E-2</v>
      </c>
      <c r="P207" s="59" t="s">
        <v>931</v>
      </c>
      <c r="Q207" s="8">
        <f t="shared" si="3"/>
        <v>665</v>
      </c>
    </row>
    <row r="208" spans="1:17" ht="15" customHeight="1">
      <c r="A208" s="59">
        <v>81</v>
      </c>
      <c r="B208" s="59">
        <v>242</v>
      </c>
      <c r="C208" s="60" t="s">
        <v>135</v>
      </c>
      <c r="D208" s="59" t="s">
        <v>932</v>
      </c>
      <c r="E208" s="59" t="s">
        <v>933</v>
      </c>
      <c r="F208" s="59" t="s">
        <v>199</v>
      </c>
      <c r="G208" s="59" t="s">
        <v>340</v>
      </c>
      <c r="H208" s="59" t="s">
        <v>348</v>
      </c>
      <c r="I208" s="59">
        <v>13</v>
      </c>
      <c r="J208" s="61">
        <v>1.4116898148148149E-2</v>
      </c>
      <c r="K208" s="61">
        <v>1.3703703703703705E-3</v>
      </c>
      <c r="L208" s="61">
        <v>2.938773148148148E-2</v>
      </c>
      <c r="M208" s="61">
        <v>4.918981481481481E-4</v>
      </c>
      <c r="N208" s="61">
        <v>1.3615740740740742E-2</v>
      </c>
      <c r="O208" s="61">
        <v>5.8984953703703706E-2</v>
      </c>
      <c r="P208" s="59" t="s">
        <v>934</v>
      </c>
      <c r="Q208" s="8">
        <f t="shared" si="3"/>
        <v>662</v>
      </c>
    </row>
    <row r="209" spans="1:17" ht="15" customHeight="1">
      <c r="A209" s="59">
        <v>82</v>
      </c>
      <c r="B209" s="59">
        <v>191</v>
      </c>
      <c r="C209" s="60" t="s">
        <v>135</v>
      </c>
      <c r="D209" s="59" t="s">
        <v>935</v>
      </c>
      <c r="E209" s="59" t="s">
        <v>936</v>
      </c>
      <c r="F209" s="59" t="s">
        <v>138</v>
      </c>
      <c r="G209" s="59" t="s">
        <v>319</v>
      </c>
      <c r="H209" s="59" t="s">
        <v>149</v>
      </c>
      <c r="I209" s="59">
        <v>2</v>
      </c>
      <c r="J209" s="61">
        <v>1.1370370370370371E-2</v>
      </c>
      <c r="K209" s="61">
        <v>1.5358796296296294E-3</v>
      </c>
      <c r="L209" s="61">
        <v>3.2890046296296292E-2</v>
      </c>
      <c r="M209" s="61">
        <v>3.2523148148148152E-4</v>
      </c>
      <c r="N209" s="61">
        <v>1.3200231481481481E-2</v>
      </c>
      <c r="O209" s="61">
        <v>5.9324074074074078E-2</v>
      </c>
      <c r="P209" s="59" t="s">
        <v>937</v>
      </c>
      <c r="Q209" s="8">
        <f t="shared" si="3"/>
        <v>658</v>
      </c>
    </row>
    <row r="210" spans="1:17" ht="15" customHeight="1">
      <c r="A210" s="59">
        <v>83</v>
      </c>
      <c r="B210" s="59">
        <v>178</v>
      </c>
      <c r="C210" s="60" t="s">
        <v>135</v>
      </c>
      <c r="D210" s="59" t="s">
        <v>938</v>
      </c>
      <c r="E210" s="59" t="s">
        <v>939</v>
      </c>
      <c r="F210" s="59" t="s">
        <v>940</v>
      </c>
      <c r="G210" s="59" t="s">
        <v>340</v>
      </c>
      <c r="H210" s="59" t="s">
        <v>624</v>
      </c>
      <c r="I210" s="59">
        <v>3</v>
      </c>
      <c r="J210" s="61">
        <v>1.4063657407407407E-2</v>
      </c>
      <c r="K210" s="61">
        <v>1.3391203703703705E-3</v>
      </c>
      <c r="L210" s="61">
        <v>3.1133101851851853E-2</v>
      </c>
      <c r="M210" s="61">
        <v>4.3865740740740741E-4</v>
      </c>
      <c r="N210" s="61">
        <v>1.2634259259259258E-2</v>
      </c>
      <c r="O210" s="61">
        <v>5.9611111111111108E-2</v>
      </c>
      <c r="P210" s="59" t="s">
        <v>941</v>
      </c>
      <c r="Q210" s="8">
        <f t="shared" si="3"/>
        <v>655</v>
      </c>
    </row>
    <row r="211" spans="1:17" ht="15" customHeight="1">
      <c r="A211" s="59">
        <v>84</v>
      </c>
      <c r="B211" s="59">
        <v>213</v>
      </c>
      <c r="C211" s="60" t="s">
        <v>135</v>
      </c>
      <c r="D211" s="59" t="s">
        <v>942</v>
      </c>
      <c r="E211" s="59" t="s">
        <v>943</v>
      </c>
      <c r="F211" s="59" t="s">
        <v>189</v>
      </c>
      <c r="G211" s="59" t="s">
        <v>319</v>
      </c>
      <c r="H211" s="59" t="s">
        <v>139</v>
      </c>
      <c r="I211" s="59">
        <v>3</v>
      </c>
      <c r="J211" s="61">
        <v>1.2501157407407407E-2</v>
      </c>
      <c r="K211" s="61">
        <v>1.5266203703703705E-3</v>
      </c>
      <c r="L211" s="61">
        <v>2.9959490740740741E-2</v>
      </c>
      <c r="M211" s="61">
        <v>7.4768518518518511E-4</v>
      </c>
      <c r="N211" s="61">
        <v>1.4873842592592591E-2</v>
      </c>
      <c r="O211" s="61">
        <v>5.9611111111111108E-2</v>
      </c>
      <c r="P211" s="59" t="s">
        <v>941</v>
      </c>
      <c r="Q211" s="8">
        <f t="shared" si="3"/>
        <v>655</v>
      </c>
    </row>
    <row r="212" spans="1:17" ht="15" customHeight="1">
      <c r="A212" s="59">
        <v>85</v>
      </c>
      <c r="B212" s="59">
        <v>204</v>
      </c>
      <c r="C212" s="60" t="s">
        <v>135</v>
      </c>
      <c r="D212" s="59" t="s">
        <v>312</v>
      </c>
      <c r="E212" s="59" t="s">
        <v>313</v>
      </c>
      <c r="F212" s="59" t="s">
        <v>138</v>
      </c>
      <c r="G212" s="59" t="s">
        <v>340</v>
      </c>
      <c r="H212" s="59" t="s">
        <v>344</v>
      </c>
      <c r="I212" s="59">
        <v>18</v>
      </c>
      <c r="J212" s="61">
        <v>1.532523148148148E-2</v>
      </c>
      <c r="K212" s="61">
        <v>1.3090277777777777E-3</v>
      </c>
      <c r="L212" s="61">
        <v>2.8483796296296295E-2</v>
      </c>
      <c r="M212" s="61">
        <v>4.4212962962962966E-4</v>
      </c>
      <c r="N212" s="61">
        <v>1.4469907407407409E-2</v>
      </c>
      <c r="O212" s="61">
        <v>6.0031250000000001E-2</v>
      </c>
      <c r="P212" s="59" t="s">
        <v>944</v>
      </c>
      <c r="Q212" s="8">
        <f t="shared" si="3"/>
        <v>651</v>
      </c>
    </row>
    <row r="213" spans="1:17" ht="15" customHeight="1">
      <c r="A213" s="59">
        <v>86</v>
      </c>
      <c r="B213" s="59">
        <v>225</v>
      </c>
      <c r="C213" s="60" t="s">
        <v>135</v>
      </c>
      <c r="D213" s="59" t="s">
        <v>945</v>
      </c>
      <c r="E213" s="59" t="s">
        <v>946</v>
      </c>
      <c r="F213" s="59" t="s">
        <v>947</v>
      </c>
      <c r="G213" s="59" t="s">
        <v>340</v>
      </c>
      <c r="H213" s="59" t="s">
        <v>357</v>
      </c>
      <c r="I213" s="59">
        <v>11</v>
      </c>
      <c r="J213" s="61">
        <v>1.0513888888888889E-2</v>
      </c>
      <c r="K213" s="61">
        <v>1.2326388888888888E-3</v>
      </c>
      <c r="L213" s="61">
        <v>3.145717592592593E-2</v>
      </c>
      <c r="M213" s="61">
        <v>7.7314814814814813E-4</v>
      </c>
      <c r="N213" s="61">
        <v>1.6244212962962964E-2</v>
      </c>
      <c r="O213" s="61">
        <v>6.0222222222222219E-2</v>
      </c>
      <c r="P213" s="59" t="s">
        <v>948</v>
      </c>
      <c r="Q213" s="8">
        <f t="shared" si="3"/>
        <v>649</v>
      </c>
    </row>
    <row r="214" spans="1:17" ht="15" customHeight="1">
      <c r="A214" s="59">
        <v>87</v>
      </c>
      <c r="B214" s="59">
        <v>179</v>
      </c>
      <c r="C214" s="60" t="s">
        <v>135</v>
      </c>
      <c r="D214" s="59" t="s">
        <v>949</v>
      </c>
      <c r="E214" s="59" t="s">
        <v>950</v>
      </c>
      <c r="F214" s="59" t="s">
        <v>199</v>
      </c>
      <c r="G214" s="59" t="s">
        <v>340</v>
      </c>
      <c r="H214" s="59" t="s">
        <v>348</v>
      </c>
      <c r="I214" s="59">
        <v>14</v>
      </c>
      <c r="J214" s="61">
        <v>1.2097222222222223E-2</v>
      </c>
      <c r="K214" s="61">
        <v>1.5162037037037036E-3</v>
      </c>
      <c r="L214" s="61">
        <v>3.0487268518518518E-2</v>
      </c>
      <c r="M214" s="61">
        <v>8.6342592592592591E-4</v>
      </c>
      <c r="N214" s="61">
        <v>1.5628472222222221E-2</v>
      </c>
      <c r="O214" s="61">
        <v>6.0596064814814818E-2</v>
      </c>
      <c r="P214" s="59" t="s">
        <v>951</v>
      </c>
      <c r="Q214" s="8">
        <f t="shared" si="3"/>
        <v>645</v>
      </c>
    </row>
    <row r="215" spans="1:17" ht="15" customHeight="1">
      <c r="A215" s="59">
        <v>88</v>
      </c>
      <c r="B215" s="59">
        <v>217</v>
      </c>
      <c r="C215" s="60" t="s">
        <v>135</v>
      </c>
      <c r="D215" s="59" t="s">
        <v>952</v>
      </c>
      <c r="E215" s="59" t="s">
        <v>953</v>
      </c>
      <c r="F215" s="59"/>
      <c r="G215" s="59" t="s">
        <v>340</v>
      </c>
      <c r="H215" s="59" t="s">
        <v>352</v>
      </c>
      <c r="I215" s="59">
        <v>8</v>
      </c>
      <c r="J215" s="61">
        <v>1.2496527777777778E-2</v>
      </c>
      <c r="K215" s="61">
        <v>1.7118055555555556E-3</v>
      </c>
      <c r="L215" s="61">
        <v>3.1739583333333335E-2</v>
      </c>
      <c r="M215" s="61">
        <v>6.4351851851851853E-4</v>
      </c>
      <c r="N215" s="61">
        <v>1.4237268518518517E-2</v>
      </c>
      <c r="O215" s="61">
        <v>6.0832175925925921E-2</v>
      </c>
      <c r="P215" s="59" t="s">
        <v>954</v>
      </c>
      <c r="Q215" s="8">
        <f t="shared" si="3"/>
        <v>642</v>
      </c>
    </row>
    <row r="216" spans="1:17" ht="15" customHeight="1">
      <c r="A216" s="59">
        <v>89</v>
      </c>
      <c r="B216" s="59">
        <v>185</v>
      </c>
      <c r="C216" s="60" t="s">
        <v>135</v>
      </c>
      <c r="D216" s="59" t="s">
        <v>955</v>
      </c>
      <c r="E216" s="59" t="s">
        <v>956</v>
      </c>
      <c r="F216" s="59" t="s">
        <v>199</v>
      </c>
      <c r="G216" s="59" t="s">
        <v>319</v>
      </c>
      <c r="H216" s="59" t="s">
        <v>149</v>
      </c>
      <c r="I216" s="59">
        <v>3</v>
      </c>
      <c r="J216" s="61">
        <v>1.0366898148148149E-2</v>
      </c>
      <c r="K216" s="61">
        <v>1.6412037037037037E-3</v>
      </c>
      <c r="L216" s="61">
        <v>3.2629629629629626E-2</v>
      </c>
      <c r="M216" s="61">
        <v>5.6481481481481476E-4</v>
      </c>
      <c r="N216" s="61">
        <v>1.5923611111111111E-2</v>
      </c>
      <c r="O216" s="61">
        <v>6.1129629629629631E-2</v>
      </c>
      <c r="P216" s="59" t="s">
        <v>957</v>
      </c>
      <c r="Q216" s="8">
        <f t="shared" si="3"/>
        <v>639</v>
      </c>
    </row>
    <row r="217" spans="1:17" ht="15" customHeight="1">
      <c r="A217" s="59">
        <v>90</v>
      </c>
      <c r="B217" s="59">
        <v>236</v>
      </c>
      <c r="C217" s="60" t="s">
        <v>135</v>
      </c>
      <c r="D217" s="59" t="s">
        <v>958</v>
      </c>
      <c r="E217" s="59" t="s">
        <v>959</v>
      </c>
      <c r="F217" s="59"/>
      <c r="G217" s="59" t="s">
        <v>340</v>
      </c>
      <c r="H217" s="59" t="s">
        <v>344</v>
      </c>
      <c r="I217" s="59">
        <v>19</v>
      </c>
      <c r="J217" s="61">
        <v>1.2166666666666668E-2</v>
      </c>
      <c r="K217" s="61">
        <v>1.4282407407407408E-3</v>
      </c>
      <c r="L217" s="61">
        <v>3.2620370370370369E-2</v>
      </c>
      <c r="M217" s="61">
        <v>4.1782407407407409E-4</v>
      </c>
      <c r="N217" s="61">
        <v>1.4579861111111111E-2</v>
      </c>
      <c r="O217" s="61">
        <v>6.1215277777777778E-2</v>
      </c>
      <c r="P217" s="59" t="s">
        <v>960</v>
      </c>
      <c r="Q217" s="8">
        <f t="shared" si="3"/>
        <v>638</v>
      </c>
    </row>
    <row r="218" spans="1:17" ht="15" customHeight="1">
      <c r="A218" s="59">
        <v>91</v>
      </c>
      <c r="B218" s="59">
        <v>216</v>
      </c>
      <c r="C218" s="60" t="s">
        <v>135</v>
      </c>
      <c r="D218" s="59" t="s">
        <v>961</v>
      </c>
      <c r="E218" s="59" t="s">
        <v>962</v>
      </c>
      <c r="F218" s="59"/>
      <c r="G218" s="59" t="s">
        <v>319</v>
      </c>
      <c r="H218" s="59" t="s">
        <v>159</v>
      </c>
      <c r="I218" s="59">
        <v>4</v>
      </c>
      <c r="J218" s="61">
        <v>1.4247685185185184E-2</v>
      </c>
      <c r="K218" s="61">
        <v>1.4675925925925926E-3</v>
      </c>
      <c r="L218" s="61">
        <v>3.2949074074074075E-2</v>
      </c>
      <c r="M218" s="61">
        <v>7.8472222222222214E-4</v>
      </c>
      <c r="N218" s="61">
        <v>1.2157407407407408E-2</v>
      </c>
      <c r="O218" s="61">
        <v>6.1608796296296293E-2</v>
      </c>
      <c r="P218" s="59" t="s">
        <v>963</v>
      </c>
      <c r="Q218" s="8">
        <f t="shared" si="3"/>
        <v>634</v>
      </c>
    </row>
    <row r="219" spans="1:17" ht="15" customHeight="1">
      <c r="A219" s="59">
        <v>92</v>
      </c>
      <c r="B219" s="59">
        <v>233</v>
      </c>
      <c r="C219" s="60" t="s">
        <v>135</v>
      </c>
      <c r="D219" s="59" t="s">
        <v>964</v>
      </c>
      <c r="E219" s="59" t="s">
        <v>965</v>
      </c>
      <c r="F219" s="59"/>
      <c r="G219" s="59" t="s">
        <v>340</v>
      </c>
      <c r="H219" s="59" t="s">
        <v>348</v>
      </c>
      <c r="I219" s="59">
        <v>15</v>
      </c>
      <c r="J219" s="61">
        <v>1.3947916666666666E-2</v>
      </c>
      <c r="K219" s="61">
        <v>1.7939814814814815E-3</v>
      </c>
      <c r="L219" s="61">
        <v>2.991898148148148E-2</v>
      </c>
      <c r="M219" s="61">
        <v>5.7638888888888887E-4</v>
      </c>
      <c r="N219" s="61">
        <v>1.5984953703703703E-2</v>
      </c>
      <c r="O219" s="61">
        <v>6.2225694444444445E-2</v>
      </c>
      <c r="P219" s="59" t="s">
        <v>966</v>
      </c>
      <c r="Q219" s="8">
        <f t="shared" si="3"/>
        <v>628</v>
      </c>
    </row>
    <row r="220" spans="1:17" ht="15" customHeight="1">
      <c r="A220" s="59">
        <v>93</v>
      </c>
      <c r="B220" s="59">
        <v>157</v>
      </c>
      <c r="C220" s="60" t="s">
        <v>135</v>
      </c>
      <c r="D220" s="59" t="s">
        <v>967</v>
      </c>
      <c r="E220" s="59" t="s">
        <v>968</v>
      </c>
      <c r="F220" s="59" t="s">
        <v>189</v>
      </c>
      <c r="G220" s="59" t="s">
        <v>319</v>
      </c>
      <c r="H220" s="59" t="s">
        <v>144</v>
      </c>
      <c r="I220" s="59">
        <v>2</v>
      </c>
      <c r="J220" s="61">
        <v>1.4843749999999999E-2</v>
      </c>
      <c r="K220" s="61">
        <v>1.8055555555555555E-3</v>
      </c>
      <c r="L220" s="61">
        <v>3.0844907407407408E-2</v>
      </c>
      <c r="M220" s="61">
        <v>9.0046296296296294E-4</v>
      </c>
      <c r="N220" s="61">
        <v>1.3858796296296298E-2</v>
      </c>
      <c r="O220" s="61">
        <v>6.2254629629629632E-2</v>
      </c>
      <c r="P220" s="59" t="s">
        <v>969</v>
      </c>
      <c r="Q220" s="8">
        <f t="shared" si="3"/>
        <v>627</v>
      </c>
    </row>
    <row r="221" spans="1:17" ht="15" customHeight="1">
      <c r="A221" s="59">
        <v>94</v>
      </c>
      <c r="B221" s="59">
        <v>161</v>
      </c>
      <c r="C221" s="60" t="s">
        <v>135</v>
      </c>
      <c r="D221" s="59" t="s">
        <v>970</v>
      </c>
      <c r="E221" s="59" t="s">
        <v>971</v>
      </c>
      <c r="F221" s="59"/>
      <c r="G221" s="59" t="s">
        <v>340</v>
      </c>
      <c r="H221" s="59" t="s">
        <v>352</v>
      </c>
      <c r="I221" s="59">
        <v>9</v>
      </c>
      <c r="J221" s="61">
        <v>1.2869212962962964E-2</v>
      </c>
      <c r="K221" s="61">
        <v>2.8356481481481483E-3</v>
      </c>
      <c r="L221" s="61">
        <v>3.1680555555555552E-2</v>
      </c>
      <c r="M221" s="61">
        <v>5.3356481481481484E-4</v>
      </c>
      <c r="N221" s="61">
        <v>1.461574074074074E-2</v>
      </c>
      <c r="O221" s="61">
        <v>6.2538194444444445E-2</v>
      </c>
      <c r="P221" s="59" t="s">
        <v>972</v>
      </c>
      <c r="Q221" s="8">
        <f t="shared" si="3"/>
        <v>625</v>
      </c>
    </row>
    <row r="222" spans="1:17" ht="15" customHeight="1">
      <c r="A222" s="59">
        <v>95</v>
      </c>
      <c r="B222" s="59">
        <v>252</v>
      </c>
      <c r="C222" s="60" t="s">
        <v>135</v>
      </c>
      <c r="D222" s="59" t="s">
        <v>973</v>
      </c>
      <c r="E222" s="59" t="s">
        <v>974</v>
      </c>
      <c r="F222" s="59" t="s">
        <v>975</v>
      </c>
      <c r="G222" s="59" t="s">
        <v>340</v>
      </c>
      <c r="H222" s="59" t="s">
        <v>357</v>
      </c>
      <c r="I222" s="59">
        <v>12</v>
      </c>
      <c r="J222" s="61">
        <v>1.4855324074074075E-2</v>
      </c>
      <c r="K222" s="61">
        <v>1.7870370370370371E-3</v>
      </c>
      <c r="L222" s="61">
        <v>3.0248842592592591E-2</v>
      </c>
      <c r="M222" s="61">
        <v>7.6157407407407402E-4</v>
      </c>
      <c r="N222" s="61">
        <v>1.5447916666666667E-2</v>
      </c>
      <c r="O222" s="61">
        <v>6.3105324074074071E-2</v>
      </c>
      <c r="P222" s="59" t="s">
        <v>976</v>
      </c>
      <c r="Q222" s="8">
        <f t="shared" si="3"/>
        <v>619</v>
      </c>
    </row>
    <row r="223" spans="1:17" ht="15" customHeight="1">
      <c r="A223" s="59">
        <v>96</v>
      </c>
      <c r="B223" s="59">
        <v>168</v>
      </c>
      <c r="C223" s="60" t="s">
        <v>135</v>
      </c>
      <c r="D223" s="59" t="s">
        <v>977</v>
      </c>
      <c r="E223" s="59" t="s">
        <v>978</v>
      </c>
      <c r="F223" s="59"/>
      <c r="G223" s="59" t="s">
        <v>340</v>
      </c>
      <c r="H223" s="59" t="s">
        <v>348</v>
      </c>
      <c r="I223" s="59">
        <v>16</v>
      </c>
      <c r="J223" s="61">
        <v>1.4784722222222223E-2</v>
      </c>
      <c r="K223" s="61">
        <v>2.0798611111111109E-3</v>
      </c>
      <c r="L223" s="61">
        <v>3.1373842592592592E-2</v>
      </c>
      <c r="M223" s="61">
        <v>7.2106481481481479E-4</v>
      </c>
      <c r="N223" s="61">
        <v>1.4555555555555554E-2</v>
      </c>
      <c r="O223" s="61">
        <v>6.35162037037037E-2</v>
      </c>
      <c r="P223" s="59" t="s">
        <v>979</v>
      </c>
      <c r="Q223" s="8">
        <f t="shared" si="3"/>
        <v>615</v>
      </c>
    </row>
    <row r="224" spans="1:17" ht="15" customHeight="1">
      <c r="A224" s="59">
        <v>97</v>
      </c>
      <c r="B224" s="59">
        <v>186</v>
      </c>
      <c r="C224" s="60" t="s">
        <v>135</v>
      </c>
      <c r="D224" s="59" t="s">
        <v>980</v>
      </c>
      <c r="E224" s="59" t="s">
        <v>981</v>
      </c>
      <c r="F224" s="59"/>
      <c r="G224" s="59" t="s">
        <v>340</v>
      </c>
      <c r="H224" s="59" t="s">
        <v>352</v>
      </c>
      <c r="I224" s="59">
        <v>10</v>
      </c>
      <c r="J224" s="61">
        <v>1.6853009259259259E-2</v>
      </c>
      <c r="K224" s="61">
        <v>1.7627314814814817E-3</v>
      </c>
      <c r="L224" s="61">
        <v>2.9724537037037035E-2</v>
      </c>
      <c r="M224" s="61">
        <v>8.3449074074074068E-4</v>
      </c>
      <c r="N224" s="61">
        <v>1.4412037037037037E-2</v>
      </c>
      <c r="O224" s="61">
        <v>6.3590277777777773E-2</v>
      </c>
      <c r="P224" s="59" t="s">
        <v>982</v>
      </c>
      <c r="Q224" s="8">
        <f t="shared" si="3"/>
        <v>614</v>
      </c>
    </row>
    <row r="225" spans="1:17" ht="15" customHeight="1">
      <c r="A225" s="59">
        <v>98</v>
      </c>
      <c r="B225" s="59">
        <v>228</v>
      </c>
      <c r="C225" s="60" t="s">
        <v>135</v>
      </c>
      <c r="D225" s="59" t="s">
        <v>983</v>
      </c>
      <c r="E225" s="59" t="s">
        <v>984</v>
      </c>
      <c r="F225" s="59" t="s">
        <v>985</v>
      </c>
      <c r="G225" s="59" t="s">
        <v>340</v>
      </c>
      <c r="H225" s="59" t="s">
        <v>352</v>
      </c>
      <c r="I225" s="59">
        <v>11</v>
      </c>
      <c r="J225" s="61">
        <v>1.6714120370370369E-2</v>
      </c>
      <c r="K225" s="61">
        <v>2.1238425925925925E-3</v>
      </c>
      <c r="L225" s="61">
        <v>2.9484953703703704E-2</v>
      </c>
      <c r="M225" s="61">
        <v>7.7777777777777784E-4</v>
      </c>
      <c r="N225" s="61">
        <v>1.4685185185185185E-2</v>
      </c>
      <c r="O225" s="61">
        <v>6.3787037037037031E-2</v>
      </c>
      <c r="P225" s="59" t="s">
        <v>986</v>
      </c>
      <c r="Q225" s="8">
        <f t="shared" si="3"/>
        <v>612</v>
      </c>
    </row>
    <row r="226" spans="1:17" ht="15" customHeight="1">
      <c r="A226" s="59">
        <v>99</v>
      </c>
      <c r="B226" s="59">
        <v>241</v>
      </c>
      <c r="C226" s="60" t="s">
        <v>135</v>
      </c>
      <c r="D226" s="59" t="s">
        <v>987</v>
      </c>
      <c r="E226" s="59" t="s">
        <v>988</v>
      </c>
      <c r="F226" s="59"/>
      <c r="G226" s="59" t="s">
        <v>340</v>
      </c>
      <c r="H226" s="59" t="s">
        <v>344</v>
      </c>
      <c r="I226" s="59">
        <v>20</v>
      </c>
      <c r="J226" s="61">
        <v>1.3843749999999998E-2</v>
      </c>
      <c r="K226" s="61">
        <v>1.9386574074074074E-3</v>
      </c>
      <c r="L226" s="61">
        <v>3.387847222222222E-2</v>
      </c>
      <c r="M226" s="61">
        <v>4.1898148148148149E-4</v>
      </c>
      <c r="N226" s="61">
        <v>1.5707175925925927E-2</v>
      </c>
      <c r="O226" s="61">
        <v>6.5789351851851849E-2</v>
      </c>
      <c r="P226" s="59" t="s">
        <v>989</v>
      </c>
      <c r="Q226" s="8">
        <f t="shared" si="3"/>
        <v>594</v>
      </c>
    </row>
    <row r="227" spans="1:17" ht="15" customHeight="1">
      <c r="A227" s="59">
        <v>100</v>
      </c>
      <c r="B227" s="59">
        <v>195</v>
      </c>
      <c r="C227" s="60" t="s">
        <v>135</v>
      </c>
      <c r="D227" s="59" t="s">
        <v>990</v>
      </c>
      <c r="E227" s="59" t="s">
        <v>991</v>
      </c>
      <c r="F227" s="59" t="s">
        <v>367</v>
      </c>
      <c r="G227" s="59" t="s">
        <v>319</v>
      </c>
      <c r="H227" s="59" t="s">
        <v>144</v>
      </c>
      <c r="I227" s="59">
        <v>3</v>
      </c>
      <c r="J227" s="61">
        <v>1.3843749999999998E-2</v>
      </c>
      <c r="K227" s="61">
        <v>1.7534722222222222E-3</v>
      </c>
      <c r="L227" s="61">
        <v>3.2994212962962961E-2</v>
      </c>
      <c r="M227" s="61">
        <v>8.5416666666666659E-4</v>
      </c>
      <c r="N227" s="61">
        <v>1.6481481481481482E-2</v>
      </c>
      <c r="O227" s="61">
        <v>6.5929398148148147E-2</v>
      </c>
      <c r="P227" s="59" t="s">
        <v>992</v>
      </c>
      <c r="Q227" s="8">
        <f t="shared" si="3"/>
        <v>592</v>
      </c>
    </row>
    <row r="228" spans="1:17" ht="15" customHeight="1">
      <c r="A228" s="59">
        <v>101</v>
      </c>
      <c r="B228" s="59">
        <v>347</v>
      </c>
      <c r="C228" s="60" t="s">
        <v>135</v>
      </c>
      <c r="D228" s="59" t="s">
        <v>993</v>
      </c>
      <c r="E228" s="59" t="s">
        <v>994</v>
      </c>
      <c r="F228" s="59"/>
      <c r="G228" s="59" t="s">
        <v>340</v>
      </c>
      <c r="H228" s="59" t="s">
        <v>344</v>
      </c>
      <c r="I228" s="59">
        <v>21</v>
      </c>
      <c r="J228" s="61">
        <v>1.5287037037037036E-2</v>
      </c>
      <c r="K228" s="61">
        <v>1.1793981481481482E-3</v>
      </c>
      <c r="L228" s="61">
        <v>3.5729166666666666E-2</v>
      </c>
      <c r="M228" s="61">
        <v>3.7152777777777781E-4</v>
      </c>
      <c r="N228" s="61">
        <v>1.4192129629629631E-2</v>
      </c>
      <c r="O228" s="61">
        <v>6.676157407407407E-2</v>
      </c>
      <c r="P228" s="59" t="s">
        <v>995</v>
      </c>
      <c r="Q228" s="8">
        <f t="shared" si="3"/>
        <v>585</v>
      </c>
    </row>
    <row r="229" spans="1:17" ht="15" customHeight="1">
      <c r="A229" s="59">
        <v>102</v>
      </c>
      <c r="B229" s="59">
        <v>247</v>
      </c>
      <c r="C229" s="60" t="s">
        <v>135</v>
      </c>
      <c r="D229" s="59" t="s">
        <v>996</v>
      </c>
      <c r="E229" s="59" t="s">
        <v>997</v>
      </c>
      <c r="F229" s="59" t="s">
        <v>998</v>
      </c>
      <c r="G229" s="59" t="s">
        <v>340</v>
      </c>
      <c r="H229" s="59" t="s">
        <v>448</v>
      </c>
      <c r="I229" s="59">
        <v>3</v>
      </c>
      <c r="J229" s="61">
        <v>1.3531249999999998E-2</v>
      </c>
      <c r="K229" s="61">
        <v>2.8148148148148147E-3</v>
      </c>
      <c r="L229" s="61">
        <v>3.5409722222222224E-2</v>
      </c>
      <c r="M229" s="61">
        <v>4.4907407407407407E-4</v>
      </c>
      <c r="N229" s="61">
        <v>1.4718750000000001E-2</v>
      </c>
      <c r="O229" s="61">
        <v>6.6925925925925916E-2</v>
      </c>
      <c r="P229" s="59" t="s">
        <v>999</v>
      </c>
      <c r="Q229" s="8">
        <f t="shared" si="3"/>
        <v>584</v>
      </c>
    </row>
    <row r="230" spans="1:17" ht="15" customHeight="1">
      <c r="A230" s="59">
        <v>103</v>
      </c>
      <c r="B230" s="59">
        <v>351</v>
      </c>
      <c r="C230" s="60" t="s">
        <v>135</v>
      </c>
      <c r="D230" s="59" t="s">
        <v>1000</v>
      </c>
      <c r="E230" s="59" t="s">
        <v>1001</v>
      </c>
      <c r="F230" s="59" t="s">
        <v>367</v>
      </c>
      <c r="G230" s="59" t="s">
        <v>340</v>
      </c>
      <c r="H230" s="59" t="s">
        <v>357</v>
      </c>
      <c r="I230" s="59">
        <v>13</v>
      </c>
      <c r="J230" s="61">
        <v>1.2158564814814815E-2</v>
      </c>
      <c r="K230" s="61">
        <v>1.8564814814814815E-3</v>
      </c>
      <c r="L230" s="61">
        <v>3.9086805555555555E-2</v>
      </c>
      <c r="M230" s="61">
        <v>6.5509259259259264E-4</v>
      </c>
      <c r="N230" s="61">
        <v>1.3719907407407408E-2</v>
      </c>
      <c r="O230" s="61">
        <v>6.7480324074074075E-2</v>
      </c>
      <c r="P230" s="59" t="s">
        <v>1002</v>
      </c>
      <c r="Q230" s="8">
        <f t="shared" si="3"/>
        <v>579</v>
      </c>
    </row>
    <row r="231" spans="1:17" ht="15" customHeight="1">
      <c r="A231" s="59">
        <v>104</v>
      </c>
      <c r="B231" s="59">
        <v>253</v>
      </c>
      <c r="C231" s="60" t="s">
        <v>135</v>
      </c>
      <c r="D231" s="59" t="s">
        <v>1003</v>
      </c>
      <c r="E231" s="59" t="s">
        <v>1004</v>
      </c>
      <c r="F231" s="59" t="s">
        <v>1005</v>
      </c>
      <c r="G231" s="59" t="s">
        <v>319</v>
      </c>
      <c r="H231" s="59" t="s">
        <v>163</v>
      </c>
      <c r="I231" s="59">
        <v>2</v>
      </c>
      <c r="J231" s="61">
        <v>1.2719907407407407E-2</v>
      </c>
      <c r="K231" s="61">
        <v>1.7974537037037039E-3</v>
      </c>
      <c r="L231" s="61">
        <v>3.4108796296296297E-2</v>
      </c>
      <c r="M231" s="61">
        <v>7.6157407407407402E-4</v>
      </c>
      <c r="N231" s="61">
        <v>1.8486111111111113E-2</v>
      </c>
      <c r="O231" s="61">
        <v>6.7877314814814821E-2</v>
      </c>
      <c r="P231" s="59" t="s">
        <v>1006</v>
      </c>
      <c r="Q231" s="8">
        <f t="shared" si="3"/>
        <v>575</v>
      </c>
    </row>
    <row r="232" spans="1:17" ht="15" customHeight="1">
      <c r="A232" s="59">
        <v>105</v>
      </c>
      <c r="B232" s="59">
        <v>200</v>
      </c>
      <c r="C232" s="60" t="s">
        <v>135</v>
      </c>
      <c r="D232" s="59" t="s">
        <v>1007</v>
      </c>
      <c r="E232" s="59" t="s">
        <v>1008</v>
      </c>
      <c r="F232" s="59" t="s">
        <v>1009</v>
      </c>
      <c r="G232" s="59" t="s">
        <v>340</v>
      </c>
      <c r="H232" s="59" t="s">
        <v>352</v>
      </c>
      <c r="I232" s="59">
        <v>12</v>
      </c>
      <c r="J232" s="61">
        <v>1.4658564814814815E-2</v>
      </c>
      <c r="K232" s="61">
        <v>2.0451388888888889E-3</v>
      </c>
      <c r="L232" s="61">
        <v>3.5318287037037037E-2</v>
      </c>
      <c r="M232" s="61">
        <v>2.6041666666666666E-4</v>
      </c>
      <c r="N232" s="61">
        <v>1.5875E-2</v>
      </c>
      <c r="O232" s="61">
        <v>6.8159722222222219E-2</v>
      </c>
      <c r="P232" s="59" t="s">
        <v>1010</v>
      </c>
      <c r="Q232" s="8">
        <f t="shared" si="3"/>
        <v>573</v>
      </c>
    </row>
    <row r="233" spans="1:17" ht="15" customHeight="1">
      <c r="A233" s="59">
        <v>106</v>
      </c>
      <c r="B233" s="59">
        <v>214</v>
      </c>
      <c r="C233" s="60" t="s">
        <v>135</v>
      </c>
      <c r="D233" s="59" t="s">
        <v>1011</v>
      </c>
      <c r="E233" s="59" t="s">
        <v>1012</v>
      </c>
      <c r="F233" s="59"/>
      <c r="G233" s="59" t="s">
        <v>319</v>
      </c>
      <c r="H233" s="59" t="s">
        <v>139</v>
      </c>
      <c r="I233" s="59">
        <v>4</v>
      </c>
      <c r="J233" s="61">
        <v>1.603125E-2</v>
      </c>
      <c r="K233" s="61">
        <v>1.6655092592592594E-3</v>
      </c>
      <c r="L233" s="61">
        <v>3.5386574074074077E-2</v>
      </c>
      <c r="M233" s="61">
        <v>5.8449074074074078E-4</v>
      </c>
      <c r="N233" s="61">
        <v>1.5827546296296298E-2</v>
      </c>
      <c r="O233" s="61">
        <v>6.9498842592592591E-2</v>
      </c>
      <c r="P233" s="59" t="s">
        <v>1013</v>
      </c>
      <c r="Q233" s="8">
        <f t="shared" si="3"/>
        <v>562</v>
      </c>
    </row>
    <row r="234" spans="1:17" ht="15" customHeight="1">
      <c r="A234" s="59">
        <v>107</v>
      </c>
      <c r="B234" s="59">
        <v>222</v>
      </c>
      <c r="C234" s="60" t="s">
        <v>135</v>
      </c>
      <c r="D234" s="59" t="s">
        <v>1014</v>
      </c>
      <c r="E234" s="59" t="s">
        <v>1015</v>
      </c>
      <c r="F234" s="59" t="s">
        <v>153</v>
      </c>
      <c r="G234" s="59" t="s">
        <v>319</v>
      </c>
      <c r="H234" s="59" t="s">
        <v>238</v>
      </c>
      <c r="I234" s="59">
        <v>1</v>
      </c>
      <c r="J234" s="61">
        <v>1.4282407407407407E-2</v>
      </c>
      <c r="K234" s="61">
        <v>3.9375E-3</v>
      </c>
      <c r="L234" s="61">
        <v>3.3857638888888889E-2</v>
      </c>
      <c r="M234" s="61">
        <v>1.0486111111111111E-3</v>
      </c>
      <c r="N234" s="61">
        <v>1.7929398148148146E-2</v>
      </c>
      <c r="O234" s="61">
        <v>7.1055555555555552E-2</v>
      </c>
      <c r="P234" s="59" t="s">
        <v>1016</v>
      </c>
      <c r="Q234" s="8">
        <f t="shared" si="3"/>
        <v>550</v>
      </c>
    </row>
    <row r="235" spans="1:17" ht="15" customHeight="1">
      <c r="A235" s="59">
        <v>108</v>
      </c>
      <c r="B235" s="59">
        <v>234</v>
      </c>
      <c r="C235" s="60" t="s">
        <v>135</v>
      </c>
      <c r="D235" s="59" t="s">
        <v>1017</v>
      </c>
      <c r="E235" s="59" t="s">
        <v>1018</v>
      </c>
      <c r="F235" s="59" t="s">
        <v>189</v>
      </c>
      <c r="G235" s="59" t="s">
        <v>319</v>
      </c>
      <c r="H235" s="59" t="s">
        <v>139</v>
      </c>
      <c r="I235" s="59">
        <v>5</v>
      </c>
      <c r="J235" s="61">
        <v>1.9644675925925927E-2</v>
      </c>
      <c r="K235" s="61">
        <v>1.502314814814815E-3</v>
      </c>
      <c r="L235" s="61">
        <v>3.4626157407407404E-2</v>
      </c>
      <c r="M235" s="61">
        <v>3.8541666666666661E-4</v>
      </c>
      <c r="N235" s="61">
        <v>1.5719907407407408E-2</v>
      </c>
      <c r="O235" s="61">
        <v>7.1881944444444443E-2</v>
      </c>
      <c r="P235" s="59" t="s">
        <v>1019</v>
      </c>
      <c r="Q235" s="8">
        <f t="shared" si="3"/>
        <v>543</v>
      </c>
    </row>
    <row r="236" spans="1:17" ht="15" customHeight="1">
      <c r="A236" s="59">
        <v>109</v>
      </c>
      <c r="B236" s="59">
        <v>98</v>
      </c>
      <c r="C236" s="60" t="s">
        <v>135</v>
      </c>
      <c r="D236" s="59" t="s">
        <v>1020</v>
      </c>
      <c r="E236" s="59" t="s">
        <v>1021</v>
      </c>
      <c r="F236" s="59"/>
      <c r="G236" s="59" t="s">
        <v>340</v>
      </c>
      <c r="H236" s="59" t="s">
        <v>348</v>
      </c>
      <c r="I236" s="59">
        <v>17</v>
      </c>
      <c r="J236" s="61">
        <v>1.474074074074074E-2</v>
      </c>
      <c r="K236" s="61">
        <v>1.9618055555555556E-3</v>
      </c>
      <c r="L236" s="61">
        <v>3.8232638888888892E-2</v>
      </c>
      <c r="M236" s="61">
        <v>9.6064814814814819E-4</v>
      </c>
      <c r="N236" s="61">
        <v>1.6467592592592593E-2</v>
      </c>
      <c r="O236" s="61">
        <v>7.236574074074073E-2</v>
      </c>
      <c r="P236" s="59" t="s">
        <v>1022</v>
      </c>
      <c r="Q236" s="8">
        <f t="shared" si="3"/>
        <v>540</v>
      </c>
    </row>
    <row r="237" spans="1:17" ht="15" customHeight="1">
      <c r="A237" s="59" t="s">
        <v>683</v>
      </c>
      <c r="B237" s="59">
        <v>220</v>
      </c>
      <c r="C237" s="60" t="s">
        <v>135</v>
      </c>
      <c r="D237" s="59" t="s">
        <v>156</v>
      </c>
      <c r="E237" s="59" t="s">
        <v>157</v>
      </c>
      <c r="F237" s="59" t="s">
        <v>158</v>
      </c>
      <c r="G237" s="59" t="s">
        <v>340</v>
      </c>
      <c r="H237" s="59" t="s">
        <v>352</v>
      </c>
      <c r="I237" s="59"/>
      <c r="J237" s="61">
        <v>8.4027777777777781E-3</v>
      </c>
      <c r="K237" s="61">
        <v>4.4907407407407407E-4</v>
      </c>
      <c r="L237" s="59"/>
      <c r="M237" s="59"/>
      <c r="N237" s="59"/>
      <c r="O237" s="59" t="s">
        <v>686</v>
      </c>
      <c r="P237" s="59"/>
      <c r="Q237" s="8">
        <f t="shared" si="3"/>
        <v>0</v>
      </c>
    </row>
  </sheetData>
  <autoFilter ref="A1:U1" xr:uid="{00000000-0001-0000-0300-000000000000}"/>
  <conditionalFormatting sqref="K1:K35 O1:O35">
    <cfRule type="cellIs" dxfId="36" priority="6" operator="equal">
      <formula>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D7BA1-683F-40CB-9205-8C90270697F6}">
  <dimension ref="A1:R309"/>
  <sheetViews>
    <sheetView topLeftCell="C1" workbookViewId="0">
      <selection activeCell="Q2" sqref="Q2"/>
    </sheetView>
  </sheetViews>
  <sheetFormatPr defaultColWidth="8.85546875" defaultRowHeight="14.45"/>
  <cols>
    <col min="2" max="2" width="14.85546875" bestFit="1" customWidth="1"/>
    <col min="3" max="3" width="9" customWidth="1"/>
    <col min="4" max="5" width="29.5703125" customWidth="1"/>
    <col min="6" max="6" width="23.42578125" customWidth="1"/>
    <col min="7" max="7" width="22" customWidth="1"/>
    <col min="19" max="19" width="10.28515625" customWidth="1"/>
    <col min="20" max="20" width="22.42578125" bestFit="1" customWidth="1"/>
  </cols>
  <sheetData>
    <row r="1" spans="1:18" ht="29.1">
      <c r="A1" s="58" t="s">
        <v>121</v>
      </c>
      <c r="B1" s="58" t="s">
        <v>122</v>
      </c>
      <c r="C1" s="58"/>
      <c r="D1" s="58" t="s">
        <v>123</v>
      </c>
      <c r="E1" s="59" t="s">
        <v>124</v>
      </c>
      <c r="F1" s="58" t="s">
        <v>125</v>
      </c>
      <c r="G1" s="58" t="s">
        <v>333</v>
      </c>
      <c r="H1" s="58" t="s">
        <v>126</v>
      </c>
      <c r="I1" s="58" t="s">
        <v>127</v>
      </c>
      <c r="J1" s="58" t="s">
        <v>1023</v>
      </c>
      <c r="K1" s="58" t="s">
        <v>129</v>
      </c>
      <c r="L1" s="58" t="s">
        <v>335</v>
      </c>
      <c r="M1" s="58" t="s">
        <v>131</v>
      </c>
      <c r="N1" s="58" t="s">
        <v>336</v>
      </c>
      <c r="O1" s="58" t="s">
        <v>133</v>
      </c>
      <c r="P1" s="58" t="s">
        <v>134</v>
      </c>
      <c r="Q1" s="10"/>
      <c r="R1" s="9"/>
    </row>
    <row r="2" spans="1:18">
      <c r="A2" s="59">
        <v>1</v>
      </c>
      <c r="B2" s="59">
        <v>14</v>
      </c>
      <c r="C2" s="60" t="s">
        <v>135</v>
      </c>
      <c r="D2" s="59" t="s">
        <v>337</v>
      </c>
      <c r="E2" s="59" t="s">
        <v>338</v>
      </c>
      <c r="F2" s="59" t="s">
        <v>1024</v>
      </c>
      <c r="G2" s="59" t="s">
        <v>340</v>
      </c>
      <c r="H2" s="59" t="s">
        <v>341</v>
      </c>
      <c r="I2" s="59"/>
      <c r="J2" s="61">
        <v>1.633796296296296E-2</v>
      </c>
      <c r="K2" s="61">
        <v>9.745370370370371E-4</v>
      </c>
      <c r="L2" s="61">
        <v>3.7715277777777778E-2</v>
      </c>
      <c r="M2" s="61">
        <v>6.0532407407407399E-4</v>
      </c>
      <c r="N2" s="61">
        <v>2.554398148148148E-2</v>
      </c>
      <c r="O2" s="61">
        <v>8.1179398148148146E-2</v>
      </c>
      <c r="P2" s="59"/>
      <c r="Q2" s="8">
        <f>IFERROR(ROUND($O$2/O2*1000,0),0)</f>
        <v>1000</v>
      </c>
      <c r="R2" s="14"/>
    </row>
    <row r="3" spans="1:18">
      <c r="A3" s="59">
        <v>2</v>
      </c>
      <c r="B3" s="59">
        <v>38</v>
      </c>
      <c r="C3" s="60" t="s">
        <v>135</v>
      </c>
      <c r="D3" s="59" t="s">
        <v>136</v>
      </c>
      <c r="E3" s="59" t="s">
        <v>137</v>
      </c>
      <c r="F3" s="59" t="s">
        <v>138</v>
      </c>
      <c r="G3" s="59" t="s">
        <v>340</v>
      </c>
      <c r="H3" s="59" t="s">
        <v>348</v>
      </c>
      <c r="I3" s="59"/>
      <c r="J3" s="61">
        <v>1.6437500000000001E-2</v>
      </c>
      <c r="K3" s="61">
        <v>1.0636574074074075E-3</v>
      </c>
      <c r="L3" s="61">
        <v>3.9978009259259255E-2</v>
      </c>
      <c r="M3" s="61">
        <v>6.2500000000000001E-4</v>
      </c>
      <c r="N3" s="61">
        <v>2.5636574074074076E-2</v>
      </c>
      <c r="O3" s="61">
        <v>8.3741898148148156E-2</v>
      </c>
      <c r="P3" s="59" t="s">
        <v>1025</v>
      </c>
      <c r="Q3" s="8">
        <f t="shared" ref="Q3:Q66" si="0">IFERROR(ROUND($O$2/O3*1000,0),0)</f>
        <v>969</v>
      </c>
      <c r="R3" s="14"/>
    </row>
    <row r="4" spans="1:18">
      <c r="A4" s="59">
        <v>3</v>
      </c>
      <c r="B4" s="59">
        <v>105</v>
      </c>
      <c r="C4" s="60" t="s">
        <v>135</v>
      </c>
      <c r="D4" s="59" t="s">
        <v>350</v>
      </c>
      <c r="E4" s="59" t="s">
        <v>351</v>
      </c>
      <c r="F4" s="59"/>
      <c r="G4" s="59" t="s">
        <v>340</v>
      </c>
      <c r="H4" s="59" t="s">
        <v>352</v>
      </c>
      <c r="I4" s="59"/>
      <c r="J4" s="61">
        <v>1.8484953703703701E-2</v>
      </c>
      <c r="K4" s="61">
        <v>1.1863425925925926E-3</v>
      </c>
      <c r="L4" s="61">
        <v>4.0744212962962968E-2</v>
      </c>
      <c r="M4" s="61">
        <v>3.4259259259259263E-4</v>
      </c>
      <c r="N4" s="61">
        <v>2.5158564814814814E-2</v>
      </c>
      <c r="O4" s="61">
        <v>8.5920138888888886E-2</v>
      </c>
      <c r="P4" s="59" t="s">
        <v>1026</v>
      </c>
      <c r="Q4" s="8">
        <f t="shared" si="0"/>
        <v>945</v>
      </c>
      <c r="R4" s="14"/>
    </row>
    <row r="5" spans="1:18">
      <c r="A5" s="59">
        <v>4</v>
      </c>
      <c r="B5" s="59">
        <v>76</v>
      </c>
      <c r="C5" s="60" t="s">
        <v>135</v>
      </c>
      <c r="D5" s="59" t="s">
        <v>1027</v>
      </c>
      <c r="E5" s="59" t="s">
        <v>1028</v>
      </c>
      <c r="F5" s="59" t="s">
        <v>199</v>
      </c>
      <c r="G5" s="59" t="s">
        <v>340</v>
      </c>
      <c r="H5" s="59" t="s">
        <v>348</v>
      </c>
      <c r="I5" s="59">
        <v>1</v>
      </c>
      <c r="J5" s="61">
        <v>1.7692129629629627E-2</v>
      </c>
      <c r="K5" s="61">
        <v>7.8125000000000004E-4</v>
      </c>
      <c r="L5" s="61">
        <v>4.1596064814814815E-2</v>
      </c>
      <c r="M5" s="61">
        <v>4.6412037037037038E-4</v>
      </c>
      <c r="N5" s="61">
        <v>2.5974537037037036E-2</v>
      </c>
      <c r="O5" s="61">
        <v>8.6510416666666673E-2</v>
      </c>
      <c r="P5" s="59" t="s">
        <v>1029</v>
      </c>
      <c r="Q5" s="8">
        <f t="shared" si="0"/>
        <v>938</v>
      </c>
      <c r="R5" s="14"/>
    </row>
    <row r="6" spans="1:18">
      <c r="A6" s="59">
        <v>5</v>
      </c>
      <c r="B6" s="59">
        <v>107</v>
      </c>
      <c r="C6" s="60" t="s">
        <v>135</v>
      </c>
      <c r="D6" s="59" t="s">
        <v>362</v>
      </c>
      <c r="E6" s="59" t="s">
        <v>363</v>
      </c>
      <c r="F6" s="59" t="s">
        <v>252</v>
      </c>
      <c r="G6" s="59" t="s">
        <v>340</v>
      </c>
      <c r="H6" s="59" t="s">
        <v>341</v>
      </c>
      <c r="I6" s="59">
        <v>1</v>
      </c>
      <c r="J6" s="61">
        <v>1.7347222222222222E-2</v>
      </c>
      <c r="K6" s="61">
        <v>8.8773148148148153E-4</v>
      </c>
      <c r="L6" s="61">
        <v>4.1943287037037036E-2</v>
      </c>
      <c r="M6" s="61">
        <v>3.3449074074074072E-4</v>
      </c>
      <c r="N6" s="61">
        <v>2.6744212962962959E-2</v>
      </c>
      <c r="O6" s="61">
        <v>8.7258101851851858E-2</v>
      </c>
      <c r="P6" s="59" t="s">
        <v>1030</v>
      </c>
      <c r="Q6" s="8">
        <f t="shared" si="0"/>
        <v>930</v>
      </c>
      <c r="R6" s="14"/>
    </row>
    <row r="7" spans="1:18" ht="29.1">
      <c r="A7" s="59">
        <v>6</v>
      </c>
      <c r="B7" s="59">
        <v>64</v>
      </c>
      <c r="C7" s="60" t="s">
        <v>135</v>
      </c>
      <c r="D7" s="59" t="s">
        <v>354</v>
      </c>
      <c r="E7" s="59" t="s">
        <v>355</v>
      </c>
      <c r="F7" s="59" t="s">
        <v>356</v>
      </c>
      <c r="G7" s="59" t="s">
        <v>340</v>
      </c>
      <c r="H7" s="59" t="s">
        <v>357</v>
      </c>
      <c r="I7" s="59">
        <v>1</v>
      </c>
      <c r="J7" s="61">
        <v>1.7105324074074075E-2</v>
      </c>
      <c r="K7" s="61">
        <v>1.2152777777777778E-3</v>
      </c>
      <c r="L7" s="61">
        <v>4.3127314814814813E-2</v>
      </c>
      <c r="M7" s="61">
        <v>4.8379629629629624E-4</v>
      </c>
      <c r="N7" s="61">
        <v>2.661111111111111E-2</v>
      </c>
      <c r="O7" s="61">
        <v>8.8545138888888889E-2</v>
      </c>
      <c r="P7" s="59" t="s">
        <v>1031</v>
      </c>
      <c r="Q7" s="8">
        <f t="shared" si="0"/>
        <v>917</v>
      </c>
      <c r="R7" s="14"/>
    </row>
    <row r="8" spans="1:18">
      <c r="A8" s="59">
        <v>7</v>
      </c>
      <c r="B8" s="59">
        <v>13</v>
      </c>
      <c r="C8" s="60" t="s">
        <v>135</v>
      </c>
      <c r="D8" s="59" t="s">
        <v>1032</v>
      </c>
      <c r="E8" s="59" t="s">
        <v>1033</v>
      </c>
      <c r="F8" s="59" t="s">
        <v>1024</v>
      </c>
      <c r="G8" s="59" t="s">
        <v>340</v>
      </c>
      <c r="H8" s="59" t="s">
        <v>344</v>
      </c>
      <c r="I8" s="59">
        <v>1</v>
      </c>
      <c r="J8" s="61">
        <v>1.7988425925925925E-2</v>
      </c>
      <c r="K8" s="61">
        <v>1.1712962962962964E-3</v>
      </c>
      <c r="L8" s="61">
        <v>4.2653935185185191E-2</v>
      </c>
      <c r="M8" s="61">
        <v>4.0856481481481478E-4</v>
      </c>
      <c r="N8" s="61">
        <v>2.7224537037037033E-2</v>
      </c>
      <c r="O8" s="61">
        <v>8.9450231481481485E-2</v>
      </c>
      <c r="P8" s="59" t="s">
        <v>1034</v>
      </c>
      <c r="Q8" s="8">
        <f t="shared" si="0"/>
        <v>908</v>
      </c>
      <c r="R8" s="14"/>
    </row>
    <row r="9" spans="1:18">
      <c r="A9" s="59">
        <v>8</v>
      </c>
      <c r="B9" s="59">
        <v>78</v>
      </c>
      <c r="C9" s="60" t="s">
        <v>135</v>
      </c>
      <c r="D9" s="59" t="s">
        <v>1035</v>
      </c>
      <c r="E9" s="59" t="s">
        <v>1036</v>
      </c>
      <c r="F9" s="59"/>
      <c r="G9" s="59" t="s">
        <v>340</v>
      </c>
      <c r="H9" s="59" t="s">
        <v>348</v>
      </c>
      <c r="I9" s="59">
        <v>2</v>
      </c>
      <c r="J9" s="61">
        <v>1.5628472222222221E-2</v>
      </c>
      <c r="K9" s="61">
        <v>1.1030092592592593E-3</v>
      </c>
      <c r="L9" s="61">
        <v>4.4945601851851855E-2</v>
      </c>
      <c r="M9" s="61">
        <v>7.6388888888888893E-4</v>
      </c>
      <c r="N9" s="61">
        <v>2.9233796296296299E-2</v>
      </c>
      <c r="O9" s="61">
        <v>9.1677083333333326E-2</v>
      </c>
      <c r="P9" s="59" t="s">
        <v>1037</v>
      </c>
      <c r="Q9" s="8">
        <f t="shared" si="0"/>
        <v>885</v>
      </c>
      <c r="R9" s="14"/>
    </row>
    <row r="10" spans="1:18">
      <c r="A10" s="59">
        <v>9</v>
      </c>
      <c r="B10" s="59">
        <v>75</v>
      </c>
      <c r="C10" s="60" t="s">
        <v>135</v>
      </c>
      <c r="D10" s="59" t="s">
        <v>372</v>
      </c>
      <c r="E10" s="59" t="s">
        <v>373</v>
      </c>
      <c r="F10" s="59"/>
      <c r="G10" s="59" t="s">
        <v>340</v>
      </c>
      <c r="H10" s="59" t="s">
        <v>348</v>
      </c>
      <c r="I10" s="59">
        <v>3</v>
      </c>
      <c r="J10" s="61">
        <v>1.99375E-2</v>
      </c>
      <c r="K10" s="61">
        <v>9.0740740740740745E-4</v>
      </c>
      <c r="L10" s="61">
        <v>4.1670138888888889E-2</v>
      </c>
      <c r="M10" s="61">
        <v>5.5787037037037036E-4</v>
      </c>
      <c r="N10" s="61">
        <v>2.9337962962962965E-2</v>
      </c>
      <c r="O10" s="61">
        <v>9.2413194444444444E-2</v>
      </c>
      <c r="P10" s="59" t="s">
        <v>1038</v>
      </c>
      <c r="Q10" s="8">
        <f t="shared" si="0"/>
        <v>878</v>
      </c>
      <c r="R10" s="14"/>
    </row>
    <row r="11" spans="1:18">
      <c r="A11" s="59">
        <v>10</v>
      </c>
      <c r="B11" s="59">
        <v>111</v>
      </c>
      <c r="C11" s="60" t="s">
        <v>135</v>
      </c>
      <c r="D11" s="59" t="s">
        <v>187</v>
      </c>
      <c r="E11" s="59" t="s">
        <v>188</v>
      </c>
      <c r="F11" s="59" t="s">
        <v>189</v>
      </c>
      <c r="G11" s="59" t="s">
        <v>340</v>
      </c>
      <c r="H11" s="59" t="s">
        <v>341</v>
      </c>
      <c r="I11" s="59">
        <v>2</v>
      </c>
      <c r="J11" s="61">
        <v>1.7371527777777777E-2</v>
      </c>
      <c r="K11" s="61">
        <v>1.1273148148148149E-3</v>
      </c>
      <c r="L11" s="61">
        <v>4.4236111111111108E-2</v>
      </c>
      <c r="M11" s="61">
        <v>4.7453703703703704E-4</v>
      </c>
      <c r="N11" s="61">
        <v>3.012847222222222E-2</v>
      </c>
      <c r="O11" s="61">
        <v>9.3341435185185187E-2</v>
      </c>
      <c r="P11" s="59" t="s">
        <v>1039</v>
      </c>
      <c r="Q11" s="8">
        <f t="shared" si="0"/>
        <v>870</v>
      </c>
      <c r="R11" s="14"/>
    </row>
    <row r="12" spans="1:18">
      <c r="A12" s="59">
        <v>11</v>
      </c>
      <c r="B12" s="59">
        <v>49</v>
      </c>
      <c r="C12" s="60" t="s">
        <v>135</v>
      </c>
      <c r="D12" s="59" t="s">
        <v>375</v>
      </c>
      <c r="E12" s="59" t="s">
        <v>376</v>
      </c>
      <c r="F12" s="59" t="s">
        <v>189</v>
      </c>
      <c r="G12" s="59" t="s">
        <v>340</v>
      </c>
      <c r="H12" s="59" t="s">
        <v>352</v>
      </c>
      <c r="I12" s="59">
        <v>1</v>
      </c>
      <c r="J12" s="61">
        <v>1.7436342592592594E-2</v>
      </c>
      <c r="K12" s="61">
        <v>1.0601851851851851E-3</v>
      </c>
      <c r="L12" s="61">
        <v>4.6288194444444444E-2</v>
      </c>
      <c r="M12" s="61">
        <v>4.8379629629629624E-4</v>
      </c>
      <c r="N12" s="61">
        <v>2.8495370370370369E-2</v>
      </c>
      <c r="O12" s="61">
        <v>9.3767361111111114E-2</v>
      </c>
      <c r="P12" s="59" t="s">
        <v>1040</v>
      </c>
      <c r="Q12" s="8">
        <f t="shared" si="0"/>
        <v>866</v>
      </c>
      <c r="R12" s="14"/>
    </row>
    <row r="13" spans="1:18">
      <c r="A13" s="59">
        <v>12</v>
      </c>
      <c r="B13" s="59">
        <v>87</v>
      </c>
      <c r="C13" s="60" t="s">
        <v>135</v>
      </c>
      <c r="D13" s="59" t="s">
        <v>1041</v>
      </c>
      <c r="E13" s="59" t="s">
        <v>1042</v>
      </c>
      <c r="F13" s="59" t="s">
        <v>173</v>
      </c>
      <c r="G13" s="59" t="s">
        <v>340</v>
      </c>
      <c r="H13" s="59" t="s">
        <v>352</v>
      </c>
      <c r="I13" s="59">
        <v>2</v>
      </c>
      <c r="J13" s="61">
        <v>1.7749999999999998E-2</v>
      </c>
      <c r="K13" s="61">
        <v>1.4293981481481482E-3</v>
      </c>
      <c r="L13" s="61">
        <v>4.4793981481481476E-2</v>
      </c>
      <c r="M13" s="61">
        <v>7.418981481481481E-4</v>
      </c>
      <c r="N13" s="61">
        <v>2.928587962962963E-2</v>
      </c>
      <c r="O13" s="61">
        <v>9.4003472222222217E-2</v>
      </c>
      <c r="P13" s="59" t="s">
        <v>1043</v>
      </c>
      <c r="Q13" s="8">
        <f t="shared" si="0"/>
        <v>864</v>
      </c>
      <c r="R13" s="14"/>
    </row>
    <row r="14" spans="1:18">
      <c r="A14" s="59">
        <v>13</v>
      </c>
      <c r="B14" s="59">
        <v>60</v>
      </c>
      <c r="C14" s="60" t="s">
        <v>135</v>
      </c>
      <c r="D14" s="59" t="s">
        <v>165</v>
      </c>
      <c r="E14" s="59" t="s">
        <v>166</v>
      </c>
      <c r="F14" s="59" t="s">
        <v>138</v>
      </c>
      <c r="G14" s="59" t="s">
        <v>340</v>
      </c>
      <c r="H14" s="59" t="s">
        <v>341</v>
      </c>
      <c r="I14" s="59">
        <v>3</v>
      </c>
      <c r="J14" s="61">
        <v>1.8118055555555557E-2</v>
      </c>
      <c r="K14" s="61">
        <v>1.5949074074074075E-3</v>
      </c>
      <c r="L14" s="61">
        <v>4.4927083333333333E-2</v>
      </c>
      <c r="M14" s="61">
        <v>5.1157407407407412E-4</v>
      </c>
      <c r="N14" s="61">
        <v>2.8966435185185182E-2</v>
      </c>
      <c r="O14" s="61">
        <v>9.4120370370370368E-2</v>
      </c>
      <c r="P14" s="59" t="s">
        <v>1044</v>
      </c>
      <c r="Q14" s="8">
        <f t="shared" si="0"/>
        <v>863</v>
      </c>
      <c r="R14" s="14"/>
    </row>
    <row r="15" spans="1:18">
      <c r="A15" s="59">
        <v>14</v>
      </c>
      <c r="B15" s="59">
        <v>51</v>
      </c>
      <c r="C15" s="60" t="s">
        <v>135</v>
      </c>
      <c r="D15" s="59" t="s">
        <v>724</v>
      </c>
      <c r="E15" s="59" t="s">
        <v>725</v>
      </c>
      <c r="F15" s="59"/>
      <c r="G15" s="59" t="s">
        <v>340</v>
      </c>
      <c r="H15" s="59" t="s">
        <v>348</v>
      </c>
      <c r="I15" s="59">
        <v>4</v>
      </c>
      <c r="J15" s="61">
        <v>1.9848379629629629E-2</v>
      </c>
      <c r="K15" s="61">
        <v>1.0416666666666667E-3</v>
      </c>
      <c r="L15" s="61">
        <v>4.6393518518518521E-2</v>
      </c>
      <c r="M15" s="61">
        <v>4.1666666666666669E-4</v>
      </c>
      <c r="N15" s="61">
        <v>2.6494212962962962E-2</v>
      </c>
      <c r="O15" s="61">
        <v>9.4196759259259258E-2</v>
      </c>
      <c r="P15" s="59" t="s">
        <v>1045</v>
      </c>
      <c r="Q15" s="8">
        <f t="shared" si="0"/>
        <v>862</v>
      </c>
      <c r="R15" s="14"/>
    </row>
    <row r="16" spans="1:18">
      <c r="A16" s="59">
        <v>15</v>
      </c>
      <c r="B16" s="59">
        <v>27</v>
      </c>
      <c r="C16" s="60" t="s">
        <v>135</v>
      </c>
      <c r="D16" s="59" t="s">
        <v>208</v>
      </c>
      <c r="E16" s="59" t="s">
        <v>209</v>
      </c>
      <c r="F16" s="59" t="s">
        <v>199</v>
      </c>
      <c r="G16" s="59" t="s">
        <v>340</v>
      </c>
      <c r="H16" s="59" t="s">
        <v>348</v>
      </c>
      <c r="I16" s="59">
        <v>5</v>
      </c>
      <c r="J16" s="61">
        <v>2.0625000000000001E-2</v>
      </c>
      <c r="K16" s="61">
        <v>1.3379629629629629E-3</v>
      </c>
      <c r="L16" s="61">
        <v>4.3997685185185188E-2</v>
      </c>
      <c r="M16" s="61">
        <v>4.2361111111111115E-4</v>
      </c>
      <c r="N16" s="61">
        <v>2.7922453703703703E-2</v>
      </c>
      <c r="O16" s="61">
        <v>9.4309027777777776E-2</v>
      </c>
      <c r="P16" s="59" t="s">
        <v>1046</v>
      </c>
      <c r="Q16" s="8">
        <f t="shared" si="0"/>
        <v>861</v>
      </c>
      <c r="R16" s="14"/>
    </row>
    <row r="17" spans="1:18">
      <c r="A17" s="59">
        <v>16</v>
      </c>
      <c r="B17" s="59">
        <v>31</v>
      </c>
      <c r="C17" s="60" t="s">
        <v>135</v>
      </c>
      <c r="D17" s="59" t="s">
        <v>395</v>
      </c>
      <c r="E17" s="59" t="s">
        <v>396</v>
      </c>
      <c r="F17" s="59" t="s">
        <v>138</v>
      </c>
      <c r="G17" s="59" t="s">
        <v>340</v>
      </c>
      <c r="H17" s="59" t="s">
        <v>357</v>
      </c>
      <c r="I17" s="59">
        <v>2</v>
      </c>
      <c r="J17" s="61">
        <v>1.9291666666666665E-2</v>
      </c>
      <c r="K17" s="61">
        <v>1.2858796296296297E-3</v>
      </c>
      <c r="L17" s="61">
        <v>4.418402777777778E-2</v>
      </c>
      <c r="M17" s="61">
        <v>6.3194444444444442E-4</v>
      </c>
      <c r="N17" s="61">
        <v>2.9097222222222222E-2</v>
      </c>
      <c r="O17" s="61">
        <v>9.4491898148148151E-2</v>
      </c>
      <c r="P17" s="59" t="s">
        <v>1047</v>
      </c>
      <c r="Q17" s="8">
        <f t="shared" si="0"/>
        <v>859</v>
      </c>
      <c r="R17" s="14"/>
    </row>
    <row r="18" spans="1:18">
      <c r="A18" s="59">
        <v>17</v>
      </c>
      <c r="B18" s="59">
        <v>57</v>
      </c>
      <c r="C18" s="60" t="s">
        <v>135</v>
      </c>
      <c r="D18" s="59" t="s">
        <v>432</v>
      </c>
      <c r="E18" s="59" t="s">
        <v>433</v>
      </c>
      <c r="F18" s="59" t="s">
        <v>434</v>
      </c>
      <c r="G18" s="59" t="s">
        <v>340</v>
      </c>
      <c r="H18" s="59" t="s">
        <v>352</v>
      </c>
      <c r="I18" s="59">
        <v>3</v>
      </c>
      <c r="J18" s="61">
        <v>1.9399305555555555E-2</v>
      </c>
      <c r="K18" s="61">
        <v>1.0543981481481481E-3</v>
      </c>
      <c r="L18" s="61">
        <v>4.6188657407407407E-2</v>
      </c>
      <c r="M18" s="61">
        <v>6.3773148148148153E-4</v>
      </c>
      <c r="N18" s="61">
        <v>2.783796296296296E-2</v>
      </c>
      <c r="O18" s="61">
        <v>9.5120370370370369E-2</v>
      </c>
      <c r="P18" s="59" t="s">
        <v>1048</v>
      </c>
      <c r="Q18" s="8">
        <f t="shared" si="0"/>
        <v>853</v>
      </c>
      <c r="R18" s="14"/>
    </row>
    <row r="19" spans="1:18">
      <c r="A19" s="59">
        <v>18</v>
      </c>
      <c r="B19" s="59">
        <v>28</v>
      </c>
      <c r="C19" s="60" t="s">
        <v>135</v>
      </c>
      <c r="D19" s="59" t="s">
        <v>386</v>
      </c>
      <c r="E19" s="59" t="s">
        <v>387</v>
      </c>
      <c r="F19" s="59"/>
      <c r="G19" s="59" t="s">
        <v>340</v>
      </c>
      <c r="H19" s="59" t="s">
        <v>344</v>
      </c>
      <c r="I19" s="59">
        <v>2</v>
      </c>
      <c r="J19" s="61">
        <v>2.0043981481481482E-2</v>
      </c>
      <c r="K19" s="61">
        <v>1.0590277777777779E-3</v>
      </c>
      <c r="L19" s="61">
        <v>4.4918981481481483E-2</v>
      </c>
      <c r="M19" s="61">
        <v>2.9282407407407409E-4</v>
      </c>
      <c r="N19" s="61">
        <v>2.8818287037037038E-2</v>
      </c>
      <c r="O19" s="61">
        <v>9.5136574074074068E-2</v>
      </c>
      <c r="P19" s="59" t="s">
        <v>1049</v>
      </c>
      <c r="Q19" s="8">
        <f t="shared" si="0"/>
        <v>853</v>
      </c>
      <c r="R19" s="14"/>
    </row>
    <row r="20" spans="1:18">
      <c r="A20" s="59">
        <v>19</v>
      </c>
      <c r="B20" s="59">
        <v>82</v>
      </c>
      <c r="C20" s="60" t="s">
        <v>135</v>
      </c>
      <c r="D20" s="59" t="s">
        <v>384</v>
      </c>
      <c r="E20" s="59" t="s">
        <v>262</v>
      </c>
      <c r="F20" s="59"/>
      <c r="G20" s="59" t="s">
        <v>340</v>
      </c>
      <c r="H20" s="59" t="s">
        <v>344</v>
      </c>
      <c r="I20" s="59">
        <v>3</v>
      </c>
      <c r="J20" s="61">
        <v>2.2479166666666668E-2</v>
      </c>
      <c r="K20" s="61">
        <v>2.0833333333333333E-3</v>
      </c>
      <c r="L20" s="61">
        <v>4.470023148148148E-2</v>
      </c>
      <c r="M20" s="61">
        <v>8.9236111111111102E-4</v>
      </c>
      <c r="N20" s="61">
        <v>2.5746527777777778E-2</v>
      </c>
      <c r="O20" s="61">
        <v>9.5903935185185196E-2</v>
      </c>
      <c r="P20" s="59" t="s">
        <v>1050</v>
      </c>
      <c r="Q20" s="8">
        <f t="shared" si="0"/>
        <v>846</v>
      </c>
      <c r="R20" s="14"/>
    </row>
    <row r="21" spans="1:18">
      <c r="A21" s="59">
        <v>20</v>
      </c>
      <c r="B21" s="59">
        <v>54</v>
      </c>
      <c r="C21" s="60" t="s">
        <v>135</v>
      </c>
      <c r="D21" s="59" t="s">
        <v>1051</v>
      </c>
      <c r="E21" s="59" t="s">
        <v>1052</v>
      </c>
      <c r="F21" s="59" t="s">
        <v>367</v>
      </c>
      <c r="G21" s="59" t="s">
        <v>340</v>
      </c>
      <c r="H21" s="59" t="s">
        <v>344</v>
      </c>
      <c r="I21" s="59">
        <v>4</v>
      </c>
      <c r="J21" s="61">
        <v>2.4128472222222221E-2</v>
      </c>
      <c r="K21" s="61">
        <v>1.1863425925925926E-3</v>
      </c>
      <c r="L21" s="61">
        <v>4.1953703703703708E-2</v>
      </c>
      <c r="M21" s="61">
        <v>6.4236111111111113E-4</v>
      </c>
      <c r="N21" s="61">
        <v>2.8783564814814817E-2</v>
      </c>
      <c r="O21" s="61">
        <v>9.6697916666666675E-2</v>
      </c>
      <c r="P21" s="59" t="s">
        <v>1053</v>
      </c>
      <c r="Q21" s="8">
        <f t="shared" si="0"/>
        <v>840</v>
      </c>
      <c r="R21" s="14"/>
    </row>
    <row r="22" spans="1:18">
      <c r="A22" s="59">
        <v>21</v>
      </c>
      <c r="B22" s="59">
        <v>7</v>
      </c>
      <c r="C22" s="60" t="s">
        <v>135</v>
      </c>
      <c r="D22" s="59" t="s">
        <v>425</v>
      </c>
      <c r="E22" s="59" t="s">
        <v>426</v>
      </c>
      <c r="F22" s="59"/>
      <c r="G22" s="59" t="s">
        <v>340</v>
      </c>
      <c r="H22" s="59" t="s">
        <v>348</v>
      </c>
      <c r="I22" s="59">
        <v>6</v>
      </c>
      <c r="J22" s="61">
        <v>2.2269675925925925E-2</v>
      </c>
      <c r="K22" s="61">
        <v>1.451388888888889E-3</v>
      </c>
      <c r="L22" s="61">
        <v>4.4571759259259262E-2</v>
      </c>
      <c r="M22" s="61">
        <v>4.907407407407407E-4</v>
      </c>
      <c r="N22" s="61">
        <v>2.7916666666666666E-2</v>
      </c>
      <c r="O22" s="61">
        <v>9.6702546296296307E-2</v>
      </c>
      <c r="P22" s="59" t="s">
        <v>1054</v>
      </c>
      <c r="Q22" s="8">
        <f t="shared" si="0"/>
        <v>839</v>
      </c>
      <c r="R22" s="14"/>
    </row>
    <row r="23" spans="1:18">
      <c r="A23" s="59">
        <v>22</v>
      </c>
      <c r="B23" s="59">
        <v>90</v>
      </c>
      <c r="C23" s="60" t="s">
        <v>135</v>
      </c>
      <c r="D23" s="59" t="s">
        <v>224</v>
      </c>
      <c r="E23" s="59" t="s">
        <v>225</v>
      </c>
      <c r="F23" s="59" t="s">
        <v>138</v>
      </c>
      <c r="G23" s="59" t="s">
        <v>340</v>
      </c>
      <c r="H23" s="59" t="s">
        <v>341</v>
      </c>
      <c r="I23" s="59">
        <v>4</v>
      </c>
      <c r="J23" s="61">
        <v>2.0048611111111111E-2</v>
      </c>
      <c r="K23" s="61">
        <v>1.1423611111111111E-3</v>
      </c>
      <c r="L23" s="61">
        <v>4.5751157407407407E-2</v>
      </c>
      <c r="M23" s="61">
        <v>8.7731481481481482E-4</v>
      </c>
      <c r="N23" s="61">
        <v>2.9121527777777777E-2</v>
      </c>
      <c r="O23" s="61">
        <v>9.6944444444444444E-2</v>
      </c>
      <c r="P23" s="59" t="s">
        <v>1055</v>
      </c>
      <c r="Q23" s="8">
        <f t="shared" si="0"/>
        <v>837</v>
      </c>
      <c r="R23" s="14"/>
    </row>
    <row r="24" spans="1:18">
      <c r="A24" s="59">
        <v>23</v>
      </c>
      <c r="B24" s="59">
        <v>98</v>
      </c>
      <c r="C24" s="60" t="s">
        <v>135</v>
      </c>
      <c r="D24" s="59" t="s">
        <v>1056</v>
      </c>
      <c r="E24" s="59" t="s">
        <v>1057</v>
      </c>
      <c r="F24" s="59" t="s">
        <v>1058</v>
      </c>
      <c r="G24" s="59" t="s">
        <v>340</v>
      </c>
      <c r="H24" s="59" t="s">
        <v>341</v>
      </c>
      <c r="I24" s="59">
        <v>5</v>
      </c>
      <c r="J24" s="61">
        <v>1.7880787037037039E-2</v>
      </c>
      <c r="K24" s="61">
        <v>1.6898148148148148E-3</v>
      </c>
      <c r="L24" s="61">
        <v>4.527662037037037E-2</v>
      </c>
      <c r="M24" s="61">
        <v>8.1597222222222227E-4</v>
      </c>
      <c r="N24" s="61">
        <v>3.136111111111111E-2</v>
      </c>
      <c r="O24" s="61">
        <v>9.7026620370370381E-2</v>
      </c>
      <c r="P24" s="59" t="s">
        <v>1059</v>
      </c>
      <c r="Q24" s="8">
        <f t="shared" si="0"/>
        <v>837</v>
      </c>
      <c r="R24" s="14"/>
    </row>
    <row r="25" spans="1:18">
      <c r="A25" s="59">
        <v>24</v>
      </c>
      <c r="B25" s="59">
        <v>29</v>
      </c>
      <c r="C25" s="60" t="s">
        <v>135</v>
      </c>
      <c r="D25" s="59" t="s">
        <v>214</v>
      </c>
      <c r="E25" s="59" t="s">
        <v>215</v>
      </c>
      <c r="F25" s="59"/>
      <c r="G25" s="59" t="s">
        <v>340</v>
      </c>
      <c r="H25" s="59" t="s">
        <v>357</v>
      </c>
      <c r="I25" s="59">
        <v>3</v>
      </c>
      <c r="J25" s="61">
        <v>1.8351851851851852E-2</v>
      </c>
      <c r="K25" s="61">
        <v>2.0347222222222225E-3</v>
      </c>
      <c r="L25" s="61">
        <v>4.6436342592592592E-2</v>
      </c>
      <c r="M25" s="61">
        <v>7.5462962962962962E-4</v>
      </c>
      <c r="N25" s="61">
        <v>3.0715277777777779E-2</v>
      </c>
      <c r="O25" s="61">
        <v>9.8293981481481482E-2</v>
      </c>
      <c r="P25" s="59" t="s">
        <v>1060</v>
      </c>
      <c r="Q25" s="8">
        <f t="shared" si="0"/>
        <v>826</v>
      </c>
      <c r="R25" s="14"/>
    </row>
    <row r="26" spans="1:18">
      <c r="A26" s="59">
        <v>25</v>
      </c>
      <c r="B26" s="59">
        <v>3</v>
      </c>
      <c r="C26" s="60" t="s">
        <v>135</v>
      </c>
      <c r="D26" s="59" t="s">
        <v>402</v>
      </c>
      <c r="E26" s="59" t="s">
        <v>403</v>
      </c>
      <c r="F26" s="59" t="s">
        <v>199</v>
      </c>
      <c r="G26" s="59" t="s">
        <v>340</v>
      </c>
      <c r="H26" s="59" t="s">
        <v>348</v>
      </c>
      <c r="I26" s="59">
        <v>7</v>
      </c>
      <c r="J26" s="61">
        <v>2.1519675925925925E-2</v>
      </c>
      <c r="K26" s="61">
        <v>1.7893518518518519E-3</v>
      </c>
      <c r="L26" s="61">
        <v>4.6936342592592592E-2</v>
      </c>
      <c r="M26" s="61">
        <v>4.1782407407407409E-4</v>
      </c>
      <c r="N26" s="61">
        <v>2.8127314814814813E-2</v>
      </c>
      <c r="O26" s="61">
        <v>9.8791666666666667E-2</v>
      </c>
      <c r="P26" s="59" t="s">
        <v>1061</v>
      </c>
      <c r="Q26" s="8">
        <f t="shared" si="0"/>
        <v>822</v>
      </c>
      <c r="R26" s="14"/>
    </row>
    <row r="27" spans="1:18">
      <c r="A27" s="59">
        <v>26</v>
      </c>
      <c r="B27" s="59">
        <v>26</v>
      </c>
      <c r="C27" s="60" t="s">
        <v>135</v>
      </c>
      <c r="D27" s="59" t="s">
        <v>445</v>
      </c>
      <c r="E27" s="59" t="s">
        <v>446</v>
      </c>
      <c r="F27" s="59" t="s">
        <v>189</v>
      </c>
      <c r="G27" s="59" t="s">
        <v>340</v>
      </c>
      <c r="H27" s="59" t="s">
        <v>352</v>
      </c>
      <c r="I27" s="59">
        <v>4</v>
      </c>
      <c r="J27" s="61">
        <v>1.921875E-2</v>
      </c>
      <c r="K27" s="61">
        <v>1.5069444444444442E-3</v>
      </c>
      <c r="L27" s="61">
        <v>4.5898148148148146E-2</v>
      </c>
      <c r="M27" s="61">
        <v>5.8449074074074078E-4</v>
      </c>
      <c r="N27" s="61">
        <v>3.1721064814814813E-2</v>
      </c>
      <c r="O27" s="61">
        <v>9.8931712962962978E-2</v>
      </c>
      <c r="P27" s="59" t="s">
        <v>1062</v>
      </c>
      <c r="Q27" s="8">
        <f t="shared" si="0"/>
        <v>821</v>
      </c>
      <c r="R27" s="14"/>
    </row>
    <row r="28" spans="1:18">
      <c r="A28" s="59">
        <v>27</v>
      </c>
      <c r="B28" s="59">
        <v>50</v>
      </c>
      <c r="C28" s="60" t="s">
        <v>135</v>
      </c>
      <c r="D28" s="59" t="s">
        <v>240</v>
      </c>
      <c r="E28" s="59" t="s">
        <v>241</v>
      </c>
      <c r="F28" s="59" t="s">
        <v>138</v>
      </c>
      <c r="G28" s="59" t="s">
        <v>340</v>
      </c>
      <c r="H28" s="59" t="s">
        <v>420</v>
      </c>
      <c r="I28" s="59">
        <v>1</v>
      </c>
      <c r="J28" s="61">
        <v>1.776851851851852E-2</v>
      </c>
      <c r="K28" s="61">
        <v>1.7175925925925926E-3</v>
      </c>
      <c r="L28" s="61">
        <v>4.7060185185185184E-2</v>
      </c>
      <c r="M28" s="61">
        <v>5.0925925925925921E-4</v>
      </c>
      <c r="N28" s="61">
        <v>3.2812500000000001E-2</v>
      </c>
      <c r="O28" s="61">
        <v>9.9869212962962972E-2</v>
      </c>
      <c r="P28" s="59" t="s">
        <v>1063</v>
      </c>
      <c r="Q28" s="8">
        <f t="shared" si="0"/>
        <v>813</v>
      </c>
      <c r="R28" s="14"/>
    </row>
    <row r="29" spans="1:18" ht="29.1">
      <c r="A29" s="59">
        <v>28</v>
      </c>
      <c r="B29" s="59">
        <v>67</v>
      </c>
      <c r="C29" s="60" t="s">
        <v>135</v>
      </c>
      <c r="D29" s="59" t="s">
        <v>489</v>
      </c>
      <c r="E29" s="59" t="s">
        <v>490</v>
      </c>
      <c r="F29" s="59" t="s">
        <v>491</v>
      </c>
      <c r="G29" s="59" t="s">
        <v>340</v>
      </c>
      <c r="H29" s="59" t="s">
        <v>348</v>
      </c>
      <c r="I29" s="59">
        <v>8</v>
      </c>
      <c r="J29" s="61">
        <v>1.8863425925925926E-2</v>
      </c>
      <c r="K29" s="61">
        <v>1.4108796296296298E-3</v>
      </c>
      <c r="L29" s="61">
        <v>4.8097222222222229E-2</v>
      </c>
      <c r="M29" s="61">
        <v>4.8379629629629624E-4</v>
      </c>
      <c r="N29" s="61">
        <v>3.1447916666666666E-2</v>
      </c>
      <c r="O29" s="61">
        <v>0.10030439814814814</v>
      </c>
      <c r="P29" s="59" t="s">
        <v>1064</v>
      </c>
      <c r="Q29" s="8">
        <f t="shared" si="0"/>
        <v>809</v>
      </c>
      <c r="R29" s="14"/>
    </row>
    <row r="30" spans="1:18">
      <c r="A30" s="59">
        <v>29</v>
      </c>
      <c r="B30" s="59">
        <v>33</v>
      </c>
      <c r="C30" s="60" t="s">
        <v>135</v>
      </c>
      <c r="D30" s="59" t="s">
        <v>1065</v>
      </c>
      <c r="E30" s="59" t="s">
        <v>1066</v>
      </c>
      <c r="F30" s="59" t="s">
        <v>189</v>
      </c>
      <c r="G30" s="59" t="s">
        <v>340</v>
      </c>
      <c r="H30" s="59" t="s">
        <v>344</v>
      </c>
      <c r="I30" s="59">
        <v>5</v>
      </c>
      <c r="J30" s="61">
        <v>2.0393518518518519E-2</v>
      </c>
      <c r="K30" s="61">
        <v>1.7511574074074074E-3</v>
      </c>
      <c r="L30" s="61">
        <v>4.7135416666666666E-2</v>
      </c>
      <c r="M30" s="61">
        <v>6.0069444444444439E-4</v>
      </c>
      <c r="N30" s="61">
        <v>3.0449074074074076E-2</v>
      </c>
      <c r="O30" s="61">
        <v>0.10033217592592593</v>
      </c>
      <c r="P30" s="59" t="s">
        <v>1067</v>
      </c>
      <c r="Q30" s="8">
        <f t="shared" si="0"/>
        <v>809</v>
      </c>
      <c r="R30" s="14"/>
    </row>
    <row r="31" spans="1:18">
      <c r="A31" s="59">
        <v>30</v>
      </c>
      <c r="B31" s="59">
        <v>80</v>
      </c>
      <c r="C31" s="60" t="s">
        <v>135</v>
      </c>
      <c r="D31" s="59" t="s">
        <v>450</v>
      </c>
      <c r="E31" s="59" t="s">
        <v>451</v>
      </c>
      <c r="F31" s="59"/>
      <c r="G31" s="59" t="s">
        <v>340</v>
      </c>
      <c r="H31" s="59" t="s">
        <v>344</v>
      </c>
      <c r="I31" s="59">
        <v>6</v>
      </c>
      <c r="J31" s="61">
        <v>2.1703703703703704E-2</v>
      </c>
      <c r="K31" s="61">
        <v>1.4502314814814814E-3</v>
      </c>
      <c r="L31" s="61">
        <v>4.4560185185185182E-2</v>
      </c>
      <c r="M31" s="61">
        <v>6.5625000000000004E-4</v>
      </c>
      <c r="N31" s="61">
        <v>3.209027777777778E-2</v>
      </c>
      <c r="O31" s="61">
        <v>0.10046180555555555</v>
      </c>
      <c r="P31" s="59" t="s">
        <v>1068</v>
      </c>
      <c r="Q31" s="8">
        <f t="shared" si="0"/>
        <v>808</v>
      </c>
      <c r="R31" s="14"/>
    </row>
    <row r="32" spans="1:18">
      <c r="A32" s="59">
        <v>31</v>
      </c>
      <c r="B32" s="59">
        <v>45</v>
      </c>
      <c r="C32" s="60" t="s">
        <v>135</v>
      </c>
      <c r="D32" s="59" t="s">
        <v>442</v>
      </c>
      <c r="E32" s="59" t="s">
        <v>443</v>
      </c>
      <c r="F32" s="59"/>
      <c r="G32" s="59" t="s">
        <v>340</v>
      </c>
      <c r="H32" s="59" t="s">
        <v>352</v>
      </c>
      <c r="I32" s="59">
        <v>5</v>
      </c>
      <c r="J32" s="61">
        <v>2.1991898148148146E-2</v>
      </c>
      <c r="K32" s="61">
        <v>1.8136574074074073E-3</v>
      </c>
      <c r="L32" s="61">
        <v>4.6232638888888886E-2</v>
      </c>
      <c r="M32" s="61">
        <v>1.0254629629629628E-3</v>
      </c>
      <c r="N32" s="61">
        <v>2.9819444444444447E-2</v>
      </c>
      <c r="O32" s="61">
        <v>0.10088541666666667</v>
      </c>
      <c r="P32" s="59" t="s">
        <v>1069</v>
      </c>
      <c r="Q32" s="8">
        <f t="shared" si="0"/>
        <v>805</v>
      </c>
      <c r="R32" s="14"/>
    </row>
    <row r="33" spans="1:18">
      <c r="A33" s="59">
        <v>32</v>
      </c>
      <c r="B33" s="59">
        <v>100</v>
      </c>
      <c r="C33" s="60" t="s">
        <v>135</v>
      </c>
      <c r="D33" s="59" t="s">
        <v>409</v>
      </c>
      <c r="E33" s="59" t="s">
        <v>410</v>
      </c>
      <c r="F33" s="59" t="s">
        <v>138</v>
      </c>
      <c r="G33" s="59" t="s">
        <v>340</v>
      </c>
      <c r="H33" s="59" t="s">
        <v>341</v>
      </c>
      <c r="I33" s="59">
        <v>6</v>
      </c>
      <c r="J33" s="61">
        <v>1.948263888888889E-2</v>
      </c>
      <c r="K33" s="61">
        <v>1.5208333333333335E-3</v>
      </c>
      <c r="L33" s="61">
        <v>4.6057870370370374E-2</v>
      </c>
      <c r="M33" s="61">
        <v>3.7268518518518521E-4</v>
      </c>
      <c r="N33" s="61">
        <v>3.3545138888888888E-2</v>
      </c>
      <c r="O33" s="61">
        <v>0.10098148148148148</v>
      </c>
      <c r="P33" s="59" t="s">
        <v>1070</v>
      </c>
      <c r="Q33" s="8">
        <f t="shared" si="0"/>
        <v>804</v>
      </c>
      <c r="R33" s="14"/>
    </row>
    <row r="34" spans="1:18">
      <c r="A34" s="59">
        <v>33</v>
      </c>
      <c r="B34" s="59">
        <v>44</v>
      </c>
      <c r="C34" s="60" t="s">
        <v>135</v>
      </c>
      <c r="D34" s="59" t="s">
        <v>406</v>
      </c>
      <c r="E34" s="59" t="s">
        <v>407</v>
      </c>
      <c r="F34" s="59"/>
      <c r="G34" s="59" t="s">
        <v>340</v>
      </c>
      <c r="H34" s="59" t="s">
        <v>352</v>
      </c>
      <c r="I34" s="59">
        <v>6</v>
      </c>
      <c r="J34" s="61">
        <v>2.1754629629629627E-2</v>
      </c>
      <c r="K34" s="61">
        <v>1.6689814814814814E-3</v>
      </c>
      <c r="L34" s="61">
        <v>4.4074074074074071E-2</v>
      </c>
      <c r="M34" s="61">
        <v>1.0011574074074074E-3</v>
      </c>
      <c r="N34" s="61">
        <v>3.2626157407407409E-2</v>
      </c>
      <c r="O34" s="61">
        <v>0.10112731481481481</v>
      </c>
      <c r="P34" s="59" t="s">
        <v>1071</v>
      </c>
      <c r="Q34" s="8">
        <f t="shared" si="0"/>
        <v>803</v>
      </c>
      <c r="R34" s="14"/>
    </row>
    <row r="35" spans="1:18">
      <c r="A35" s="59">
        <v>34</v>
      </c>
      <c r="B35" s="59">
        <v>109</v>
      </c>
      <c r="C35" s="60" t="s">
        <v>135</v>
      </c>
      <c r="D35" s="59" t="s">
        <v>201</v>
      </c>
      <c r="E35" s="59" t="s">
        <v>202</v>
      </c>
      <c r="F35" s="59"/>
      <c r="G35" s="59" t="s">
        <v>340</v>
      </c>
      <c r="H35" s="59" t="s">
        <v>341</v>
      </c>
      <c r="I35" s="59">
        <v>7</v>
      </c>
      <c r="J35" s="61">
        <v>2.1800925925925925E-2</v>
      </c>
      <c r="K35" s="61">
        <v>1.6400462962962961E-3</v>
      </c>
      <c r="L35" s="61">
        <v>4.8748842592592587E-2</v>
      </c>
      <c r="M35" s="61">
        <v>6.6203703703703704E-4</v>
      </c>
      <c r="N35" s="61">
        <v>2.8726851851851851E-2</v>
      </c>
      <c r="O35" s="61">
        <v>0.10158101851851853</v>
      </c>
      <c r="P35" s="59" t="s">
        <v>1072</v>
      </c>
      <c r="Q35" s="8">
        <f t="shared" si="0"/>
        <v>799</v>
      </c>
      <c r="R35" s="14"/>
    </row>
    <row r="36" spans="1:18">
      <c r="A36" s="59">
        <v>35</v>
      </c>
      <c r="B36" s="59">
        <v>103</v>
      </c>
      <c r="C36" s="60" t="s">
        <v>135</v>
      </c>
      <c r="D36" s="59" t="s">
        <v>254</v>
      </c>
      <c r="E36" s="59" t="s">
        <v>255</v>
      </c>
      <c r="F36" s="59" t="s">
        <v>199</v>
      </c>
      <c r="G36" s="59" t="s">
        <v>340</v>
      </c>
      <c r="H36" s="59" t="s">
        <v>348</v>
      </c>
      <c r="I36" s="59">
        <v>9</v>
      </c>
      <c r="J36" s="61">
        <v>2.1656249999999998E-2</v>
      </c>
      <c r="K36" s="61">
        <v>1.8240740740740741E-3</v>
      </c>
      <c r="L36" s="61">
        <v>4.7972222222222222E-2</v>
      </c>
      <c r="M36" s="61">
        <v>5.2430555555555553E-4</v>
      </c>
      <c r="N36" s="61">
        <v>2.9667824074074076E-2</v>
      </c>
      <c r="O36" s="61">
        <v>0.10164699074074074</v>
      </c>
      <c r="P36" s="59" t="s">
        <v>1073</v>
      </c>
      <c r="Q36" s="8">
        <f t="shared" si="0"/>
        <v>799</v>
      </c>
      <c r="R36" s="14"/>
    </row>
    <row r="37" spans="1:18">
      <c r="A37" s="59">
        <v>36</v>
      </c>
      <c r="B37" s="59">
        <v>70</v>
      </c>
      <c r="C37" s="60" t="s">
        <v>135</v>
      </c>
      <c r="D37" s="59" t="s">
        <v>233</v>
      </c>
      <c r="E37" s="59" t="s">
        <v>234</v>
      </c>
      <c r="F37" s="59" t="s">
        <v>199</v>
      </c>
      <c r="G37" s="59" t="s">
        <v>340</v>
      </c>
      <c r="H37" s="59" t="s">
        <v>352</v>
      </c>
      <c r="I37" s="59">
        <v>7</v>
      </c>
      <c r="J37" s="61">
        <v>2.0026620370370368E-2</v>
      </c>
      <c r="K37" s="61">
        <v>1.451388888888889E-3</v>
      </c>
      <c r="L37" s="61">
        <v>4.8387731481481476E-2</v>
      </c>
      <c r="M37" s="61">
        <v>6.8749999999999996E-4</v>
      </c>
      <c r="N37" s="61">
        <v>3.1092592592592595E-2</v>
      </c>
      <c r="O37" s="61">
        <v>0.10164814814814814</v>
      </c>
      <c r="P37" s="59" t="s">
        <v>1074</v>
      </c>
      <c r="Q37" s="8">
        <f t="shared" si="0"/>
        <v>799</v>
      </c>
      <c r="R37" s="14"/>
    </row>
    <row r="38" spans="1:18">
      <c r="A38" s="59">
        <v>37</v>
      </c>
      <c r="B38" s="59">
        <v>56</v>
      </c>
      <c r="C38" s="60" t="s">
        <v>135</v>
      </c>
      <c r="D38" s="59" t="s">
        <v>486</v>
      </c>
      <c r="E38" s="59" t="s">
        <v>487</v>
      </c>
      <c r="F38" s="59" t="s">
        <v>173</v>
      </c>
      <c r="G38" s="59" t="s">
        <v>340</v>
      </c>
      <c r="H38" s="59" t="s">
        <v>420</v>
      </c>
      <c r="I38" s="59">
        <v>2</v>
      </c>
      <c r="J38" s="61">
        <v>1.9903935185185184E-2</v>
      </c>
      <c r="K38" s="61">
        <v>1.4155092592592592E-3</v>
      </c>
      <c r="L38" s="61">
        <v>4.726388888888889E-2</v>
      </c>
      <c r="M38" s="61">
        <v>8.1944444444444437E-4</v>
      </c>
      <c r="N38" s="61">
        <v>3.2603009259259262E-2</v>
      </c>
      <c r="O38" s="61">
        <v>0.10200694444444444</v>
      </c>
      <c r="P38" s="59" t="s">
        <v>1075</v>
      </c>
      <c r="Q38" s="8">
        <f t="shared" si="0"/>
        <v>796</v>
      </c>
      <c r="R38" s="14"/>
    </row>
    <row r="39" spans="1:18">
      <c r="A39" s="59">
        <v>38</v>
      </c>
      <c r="B39" s="59">
        <v>39</v>
      </c>
      <c r="C39" s="60" t="s">
        <v>135</v>
      </c>
      <c r="D39" s="59" t="s">
        <v>461</v>
      </c>
      <c r="E39" s="59" t="s">
        <v>462</v>
      </c>
      <c r="F39" s="59"/>
      <c r="G39" s="59" t="s">
        <v>340</v>
      </c>
      <c r="H39" s="59" t="s">
        <v>344</v>
      </c>
      <c r="I39" s="59">
        <v>7</v>
      </c>
      <c r="J39" s="61">
        <v>2.1638888888888888E-2</v>
      </c>
      <c r="K39" s="61">
        <v>2.8680555555555555E-3</v>
      </c>
      <c r="L39" s="61">
        <v>4.7781250000000004E-2</v>
      </c>
      <c r="M39" s="61">
        <v>6.076388888888889E-4</v>
      </c>
      <c r="N39" s="61">
        <v>2.9315972222222222E-2</v>
      </c>
      <c r="O39" s="61">
        <v>0.10221412037037036</v>
      </c>
      <c r="P39" s="59" t="s">
        <v>1076</v>
      </c>
      <c r="Q39" s="8">
        <f t="shared" si="0"/>
        <v>794</v>
      </c>
      <c r="R39" s="14"/>
    </row>
    <row r="40" spans="1:18">
      <c r="A40" s="59">
        <v>39</v>
      </c>
      <c r="B40" s="59">
        <v>6</v>
      </c>
      <c r="C40" s="60" t="s">
        <v>135</v>
      </c>
      <c r="D40" s="59" t="s">
        <v>250</v>
      </c>
      <c r="E40" s="59" t="s">
        <v>251</v>
      </c>
      <c r="F40" s="59" t="s">
        <v>252</v>
      </c>
      <c r="G40" s="59" t="s">
        <v>340</v>
      </c>
      <c r="H40" s="59" t="s">
        <v>348</v>
      </c>
      <c r="I40" s="59">
        <v>10</v>
      </c>
      <c r="J40" s="61">
        <v>2.3932870370370372E-2</v>
      </c>
      <c r="K40" s="61">
        <v>1.6365740740740741E-3</v>
      </c>
      <c r="L40" s="61">
        <v>4.8023148148148148E-2</v>
      </c>
      <c r="M40" s="61">
        <v>3.8541666666666661E-4</v>
      </c>
      <c r="N40" s="61">
        <v>2.9084490740740741E-2</v>
      </c>
      <c r="O40" s="61">
        <v>0.10306365740740742</v>
      </c>
      <c r="P40" s="59" t="s">
        <v>1077</v>
      </c>
      <c r="Q40" s="8">
        <f t="shared" si="0"/>
        <v>788</v>
      </c>
      <c r="R40" s="14"/>
    </row>
    <row r="41" spans="1:18">
      <c r="A41" s="59">
        <v>40</v>
      </c>
      <c r="B41" s="59">
        <v>10</v>
      </c>
      <c r="C41" s="60" t="s">
        <v>135</v>
      </c>
      <c r="D41" s="59" t="s">
        <v>477</v>
      </c>
      <c r="E41" s="59" t="s">
        <v>478</v>
      </c>
      <c r="F41" s="59"/>
      <c r="G41" s="59" t="s">
        <v>340</v>
      </c>
      <c r="H41" s="59" t="s">
        <v>357</v>
      </c>
      <c r="I41" s="59">
        <v>4</v>
      </c>
      <c r="J41" s="61">
        <v>2.2675925925925926E-2</v>
      </c>
      <c r="K41" s="61">
        <v>1.1157407407407407E-3</v>
      </c>
      <c r="L41" s="61">
        <v>4.4388888888888887E-2</v>
      </c>
      <c r="M41" s="61">
        <v>5.7870370370370367E-4</v>
      </c>
      <c r="N41" s="61">
        <v>3.43275462962963E-2</v>
      </c>
      <c r="O41" s="61">
        <v>0.10308912037037037</v>
      </c>
      <c r="P41" s="59" t="s">
        <v>1078</v>
      </c>
      <c r="Q41" s="8">
        <f t="shared" si="0"/>
        <v>787</v>
      </c>
      <c r="R41" s="14"/>
    </row>
    <row r="42" spans="1:18">
      <c r="A42" s="59">
        <v>41</v>
      </c>
      <c r="B42" s="59">
        <v>110</v>
      </c>
      <c r="C42" s="60" t="s">
        <v>135</v>
      </c>
      <c r="D42" s="59" t="s">
        <v>762</v>
      </c>
      <c r="E42" s="59" t="s">
        <v>763</v>
      </c>
      <c r="F42" s="59" t="s">
        <v>138</v>
      </c>
      <c r="G42" s="59" t="s">
        <v>340</v>
      </c>
      <c r="H42" s="59" t="s">
        <v>341</v>
      </c>
      <c r="I42" s="59">
        <v>8</v>
      </c>
      <c r="J42" s="61">
        <v>2.1341435185185186E-2</v>
      </c>
      <c r="K42" s="61">
        <v>1.0960648148148149E-3</v>
      </c>
      <c r="L42" s="61">
        <v>4.9332175925925925E-2</v>
      </c>
      <c r="M42" s="61">
        <v>4.4097222222222226E-4</v>
      </c>
      <c r="N42" s="61">
        <v>3.1390046296296298E-2</v>
      </c>
      <c r="O42" s="61">
        <v>0.10360300925925925</v>
      </c>
      <c r="P42" s="59" t="s">
        <v>1079</v>
      </c>
      <c r="Q42" s="8">
        <f t="shared" si="0"/>
        <v>784</v>
      </c>
      <c r="R42" s="14"/>
    </row>
    <row r="43" spans="1:18">
      <c r="A43" s="59">
        <v>42</v>
      </c>
      <c r="B43" s="59">
        <v>30</v>
      </c>
      <c r="C43" s="60" t="s">
        <v>135</v>
      </c>
      <c r="D43" s="59" t="s">
        <v>523</v>
      </c>
      <c r="E43" s="59" t="s">
        <v>524</v>
      </c>
      <c r="F43" s="59"/>
      <c r="G43" s="59" t="s">
        <v>340</v>
      </c>
      <c r="H43" s="59" t="s">
        <v>348</v>
      </c>
      <c r="I43" s="59">
        <v>11</v>
      </c>
      <c r="J43" s="61">
        <v>1.9325231481481481E-2</v>
      </c>
      <c r="K43" s="61">
        <v>1.6157407407407407E-3</v>
      </c>
      <c r="L43" s="61">
        <v>4.8484953703703711E-2</v>
      </c>
      <c r="M43" s="61">
        <v>3.9930555555555558E-4</v>
      </c>
      <c r="N43" s="61">
        <v>3.4607638888888889E-2</v>
      </c>
      <c r="O43" s="61">
        <v>0.10443402777777779</v>
      </c>
      <c r="P43" s="59" t="s">
        <v>1080</v>
      </c>
      <c r="Q43" s="8">
        <f t="shared" si="0"/>
        <v>777</v>
      </c>
      <c r="R43" s="14"/>
    </row>
    <row r="44" spans="1:18">
      <c r="A44" s="59">
        <v>43</v>
      </c>
      <c r="B44" s="59">
        <v>2</v>
      </c>
      <c r="C44" s="60" t="s">
        <v>135</v>
      </c>
      <c r="D44" s="59" t="s">
        <v>261</v>
      </c>
      <c r="E44" s="59" t="s">
        <v>262</v>
      </c>
      <c r="F44" s="59" t="s">
        <v>199</v>
      </c>
      <c r="G44" s="59" t="s">
        <v>340</v>
      </c>
      <c r="H44" s="59" t="s">
        <v>357</v>
      </c>
      <c r="I44" s="59">
        <v>5</v>
      </c>
      <c r="J44" s="61">
        <v>1.8684027777777779E-2</v>
      </c>
      <c r="K44" s="61">
        <v>2.3773148148148147E-3</v>
      </c>
      <c r="L44" s="61">
        <v>5.1216435185185191E-2</v>
      </c>
      <c r="M44" s="61">
        <v>1.0370370370370371E-3</v>
      </c>
      <c r="N44" s="61">
        <v>3.1524305555555555E-2</v>
      </c>
      <c r="O44" s="61">
        <v>0.10484027777777778</v>
      </c>
      <c r="P44" s="59" t="s">
        <v>1081</v>
      </c>
      <c r="Q44" s="8">
        <f t="shared" si="0"/>
        <v>774</v>
      </c>
      <c r="R44" s="14"/>
    </row>
    <row r="45" spans="1:18">
      <c r="A45" s="59">
        <v>44</v>
      </c>
      <c r="B45" s="59">
        <v>16</v>
      </c>
      <c r="C45" s="60" t="s">
        <v>135</v>
      </c>
      <c r="D45" s="59" t="s">
        <v>1082</v>
      </c>
      <c r="E45" s="59" t="s">
        <v>1083</v>
      </c>
      <c r="F45" s="59" t="s">
        <v>1084</v>
      </c>
      <c r="G45" s="59" t="s">
        <v>340</v>
      </c>
      <c r="H45" s="59" t="s">
        <v>352</v>
      </c>
      <c r="I45" s="59">
        <v>8</v>
      </c>
      <c r="J45" s="61">
        <v>1.9993055555555556E-2</v>
      </c>
      <c r="K45" s="61">
        <v>1.9456018518518518E-3</v>
      </c>
      <c r="L45" s="61">
        <v>4.9929398148148146E-2</v>
      </c>
      <c r="M45" s="61">
        <v>1.199074074074074E-3</v>
      </c>
      <c r="N45" s="61">
        <v>3.1811342592592592E-2</v>
      </c>
      <c r="O45" s="61">
        <v>0.10487962962962963</v>
      </c>
      <c r="P45" s="59" t="s">
        <v>1085</v>
      </c>
      <c r="Q45" s="8">
        <f t="shared" si="0"/>
        <v>774</v>
      </c>
      <c r="R45" s="14"/>
    </row>
    <row r="46" spans="1:18">
      <c r="A46" s="59">
        <v>45</v>
      </c>
      <c r="B46" s="59">
        <v>91</v>
      </c>
      <c r="C46" s="60" t="s">
        <v>135</v>
      </c>
      <c r="D46" s="59" t="s">
        <v>280</v>
      </c>
      <c r="E46" s="59" t="s">
        <v>281</v>
      </c>
      <c r="F46" s="59" t="s">
        <v>199</v>
      </c>
      <c r="G46" s="59" t="s">
        <v>340</v>
      </c>
      <c r="H46" s="59" t="s">
        <v>357</v>
      </c>
      <c r="I46" s="59">
        <v>6</v>
      </c>
      <c r="J46" s="61">
        <v>2.395138888888889E-2</v>
      </c>
      <c r="K46" s="61">
        <v>1.8761574074074073E-3</v>
      </c>
      <c r="L46" s="61">
        <v>4.3690972222222221E-2</v>
      </c>
      <c r="M46" s="61">
        <v>4.6296296296296298E-4</v>
      </c>
      <c r="N46" s="61">
        <v>3.5635416666666669E-2</v>
      </c>
      <c r="O46" s="61">
        <v>0.10561921296296296</v>
      </c>
      <c r="P46" s="59" t="s">
        <v>1086</v>
      </c>
      <c r="Q46" s="8">
        <f t="shared" si="0"/>
        <v>769</v>
      </c>
      <c r="R46" s="14"/>
    </row>
    <row r="47" spans="1:18">
      <c r="A47" s="59">
        <v>46</v>
      </c>
      <c r="B47" s="59">
        <v>12</v>
      </c>
      <c r="C47" s="60" t="s">
        <v>135</v>
      </c>
      <c r="D47" s="59" t="s">
        <v>496</v>
      </c>
      <c r="E47" s="59" t="s">
        <v>497</v>
      </c>
      <c r="F47" s="59" t="s">
        <v>259</v>
      </c>
      <c r="G47" s="59" t="s">
        <v>340</v>
      </c>
      <c r="H47" s="59" t="s">
        <v>448</v>
      </c>
      <c r="I47" s="59">
        <v>1</v>
      </c>
      <c r="J47" s="61">
        <v>2.1754629629629627E-2</v>
      </c>
      <c r="K47" s="61">
        <v>1.9097222222222222E-3</v>
      </c>
      <c r="L47" s="61">
        <v>5.0428240740740739E-2</v>
      </c>
      <c r="M47" s="61">
        <v>1.0300925925925926E-3</v>
      </c>
      <c r="N47" s="61">
        <v>3.0921296296296294E-2</v>
      </c>
      <c r="O47" s="61">
        <v>0.10604398148148149</v>
      </c>
      <c r="P47" s="59" t="s">
        <v>1087</v>
      </c>
      <c r="Q47" s="8">
        <f t="shared" si="0"/>
        <v>766</v>
      </c>
      <c r="R47" s="14"/>
    </row>
    <row r="48" spans="1:18">
      <c r="A48" s="59">
        <v>47</v>
      </c>
      <c r="B48" s="59">
        <v>42</v>
      </c>
      <c r="C48" s="60" t="s">
        <v>135</v>
      </c>
      <c r="D48" s="59" t="s">
        <v>774</v>
      </c>
      <c r="E48" s="59" t="s">
        <v>775</v>
      </c>
      <c r="F48" s="59"/>
      <c r="G48" s="59" t="s">
        <v>340</v>
      </c>
      <c r="H48" s="59" t="s">
        <v>348</v>
      </c>
      <c r="I48" s="59">
        <v>12</v>
      </c>
      <c r="J48" s="61">
        <v>1.9334490740740742E-2</v>
      </c>
      <c r="K48" s="61">
        <v>1.1574074074074073E-3</v>
      </c>
      <c r="L48" s="61">
        <v>5.0312500000000003E-2</v>
      </c>
      <c r="M48" s="61">
        <v>3.2407407407407406E-4</v>
      </c>
      <c r="N48" s="61">
        <v>3.5125000000000003E-2</v>
      </c>
      <c r="O48" s="61">
        <v>0.10625462962962963</v>
      </c>
      <c r="P48" s="59" t="s">
        <v>1088</v>
      </c>
      <c r="Q48" s="8">
        <f t="shared" si="0"/>
        <v>764</v>
      </c>
      <c r="R48" s="14"/>
    </row>
    <row r="49" spans="1:18">
      <c r="A49" s="59">
        <v>48</v>
      </c>
      <c r="B49" s="59">
        <v>1</v>
      </c>
      <c r="C49" s="60" t="s">
        <v>135</v>
      </c>
      <c r="D49" s="59" t="s">
        <v>1089</v>
      </c>
      <c r="E49" s="59" t="s">
        <v>1090</v>
      </c>
      <c r="F49" s="59" t="s">
        <v>189</v>
      </c>
      <c r="G49" s="59" t="s">
        <v>340</v>
      </c>
      <c r="H49" s="59" t="s">
        <v>348</v>
      </c>
      <c r="I49" s="59">
        <v>13</v>
      </c>
      <c r="J49" s="61">
        <v>2.288078703703704E-2</v>
      </c>
      <c r="K49" s="61">
        <v>2.0474537037037037E-3</v>
      </c>
      <c r="L49" s="61">
        <v>4.8603009259259262E-2</v>
      </c>
      <c r="M49" s="61">
        <v>1.0995370370370371E-3</v>
      </c>
      <c r="N49" s="61">
        <v>3.1885416666666666E-2</v>
      </c>
      <c r="O49" s="61">
        <v>0.10651851851851853</v>
      </c>
      <c r="P49" s="59" t="s">
        <v>1091</v>
      </c>
      <c r="Q49" s="8">
        <f t="shared" si="0"/>
        <v>762</v>
      </c>
      <c r="R49" s="14"/>
    </row>
    <row r="50" spans="1:18">
      <c r="A50" s="59">
        <v>49</v>
      </c>
      <c r="B50" s="59">
        <v>93</v>
      </c>
      <c r="C50" s="60" t="s">
        <v>135</v>
      </c>
      <c r="D50" s="59" t="s">
        <v>277</v>
      </c>
      <c r="E50" s="59" t="s">
        <v>278</v>
      </c>
      <c r="F50" s="59" t="s">
        <v>199</v>
      </c>
      <c r="G50" s="59" t="s">
        <v>340</v>
      </c>
      <c r="H50" s="59" t="s">
        <v>352</v>
      </c>
      <c r="I50" s="59">
        <v>9</v>
      </c>
      <c r="J50" s="61">
        <v>2.2725694444444444E-2</v>
      </c>
      <c r="K50" s="61">
        <v>1.5092592592592592E-3</v>
      </c>
      <c r="L50" s="61">
        <v>4.9538194444444447E-2</v>
      </c>
      <c r="M50" s="61">
        <v>7.8703703703703705E-4</v>
      </c>
      <c r="N50" s="61">
        <v>3.2109953703703703E-2</v>
      </c>
      <c r="O50" s="61">
        <v>0.10667245370370371</v>
      </c>
      <c r="P50" s="59" t="s">
        <v>1092</v>
      </c>
      <c r="Q50" s="8">
        <f t="shared" si="0"/>
        <v>761</v>
      </c>
      <c r="R50" s="14"/>
    </row>
    <row r="51" spans="1:18">
      <c r="A51" s="59">
        <v>50</v>
      </c>
      <c r="B51" s="59">
        <v>95</v>
      </c>
      <c r="C51" s="60" t="s">
        <v>135</v>
      </c>
      <c r="D51" s="59" t="s">
        <v>1093</v>
      </c>
      <c r="E51" s="59" t="s">
        <v>1094</v>
      </c>
      <c r="F51" s="59" t="s">
        <v>138</v>
      </c>
      <c r="G51" s="59" t="s">
        <v>319</v>
      </c>
      <c r="H51" s="59" t="s">
        <v>149</v>
      </c>
      <c r="I51" s="59"/>
      <c r="J51" s="61">
        <v>1.8918981481481481E-2</v>
      </c>
      <c r="K51" s="61">
        <v>1.445601851851852E-3</v>
      </c>
      <c r="L51" s="61">
        <v>5.2412037037037035E-2</v>
      </c>
      <c r="M51" s="61">
        <v>5.1273148148148141E-4</v>
      </c>
      <c r="N51" s="61">
        <v>3.3526620370370366E-2</v>
      </c>
      <c r="O51" s="61">
        <v>0.10681828703703704</v>
      </c>
      <c r="P51" s="59" t="s">
        <v>1095</v>
      </c>
      <c r="Q51" s="8">
        <f t="shared" si="0"/>
        <v>760</v>
      </c>
      <c r="R51" s="14"/>
    </row>
    <row r="52" spans="1:18">
      <c r="A52" s="59">
        <v>51</v>
      </c>
      <c r="B52" s="59">
        <v>89</v>
      </c>
      <c r="C52" s="60" t="s">
        <v>135</v>
      </c>
      <c r="D52" s="59" t="s">
        <v>290</v>
      </c>
      <c r="E52" s="59" t="s">
        <v>291</v>
      </c>
      <c r="F52" s="59"/>
      <c r="G52" s="59" t="s">
        <v>340</v>
      </c>
      <c r="H52" s="59" t="s">
        <v>344</v>
      </c>
      <c r="I52" s="59">
        <v>8</v>
      </c>
      <c r="J52" s="61">
        <v>2.2834490740740742E-2</v>
      </c>
      <c r="K52" s="61">
        <v>1.8194444444444443E-3</v>
      </c>
      <c r="L52" s="61">
        <v>5.0246527777777779E-2</v>
      </c>
      <c r="M52" s="61">
        <v>4.918981481481481E-4</v>
      </c>
      <c r="N52" s="61">
        <v>3.1461805555555555E-2</v>
      </c>
      <c r="O52" s="61">
        <v>0.10685648148148148</v>
      </c>
      <c r="P52" s="59" t="s">
        <v>1096</v>
      </c>
      <c r="Q52" s="8">
        <f t="shared" si="0"/>
        <v>760</v>
      </c>
      <c r="R52" s="14"/>
    </row>
    <row r="53" spans="1:18">
      <c r="A53" s="59">
        <v>52</v>
      </c>
      <c r="B53" s="59">
        <v>37</v>
      </c>
      <c r="C53" s="60" t="s">
        <v>135</v>
      </c>
      <c r="D53" s="59" t="s">
        <v>639</v>
      </c>
      <c r="E53" s="59" t="s">
        <v>640</v>
      </c>
      <c r="F53" s="59"/>
      <c r="G53" s="59" t="s">
        <v>340</v>
      </c>
      <c r="H53" s="59" t="s">
        <v>641</v>
      </c>
      <c r="I53" s="59">
        <v>1</v>
      </c>
      <c r="J53" s="61">
        <v>2.2113425925925925E-2</v>
      </c>
      <c r="K53" s="61">
        <v>1.8148148148148149E-3</v>
      </c>
      <c r="L53" s="61">
        <v>5.2487268518518516E-2</v>
      </c>
      <c r="M53" s="61">
        <v>1.1550925925925925E-3</v>
      </c>
      <c r="N53" s="61">
        <v>2.9380787037037039E-2</v>
      </c>
      <c r="O53" s="61">
        <v>0.10695370370370369</v>
      </c>
      <c r="P53" s="59" t="s">
        <v>1097</v>
      </c>
      <c r="Q53" s="8">
        <f t="shared" si="0"/>
        <v>759</v>
      </c>
      <c r="R53" s="14"/>
    </row>
    <row r="54" spans="1:18">
      <c r="A54" s="59">
        <v>53</v>
      </c>
      <c r="B54" s="59">
        <v>69</v>
      </c>
      <c r="C54" s="60" t="s">
        <v>135</v>
      </c>
      <c r="D54" s="59" t="s">
        <v>502</v>
      </c>
      <c r="E54" s="59" t="s">
        <v>503</v>
      </c>
      <c r="F54" s="59" t="s">
        <v>504</v>
      </c>
      <c r="G54" s="59" t="s">
        <v>340</v>
      </c>
      <c r="H54" s="59" t="s">
        <v>348</v>
      </c>
      <c r="I54" s="59">
        <v>14</v>
      </c>
      <c r="J54" s="61">
        <v>2.2997685185185184E-2</v>
      </c>
      <c r="K54" s="61">
        <v>1.2731481481481483E-3</v>
      </c>
      <c r="L54" s="61">
        <v>5.2651620370370376E-2</v>
      </c>
      <c r="M54" s="61">
        <v>9.1087962962962965E-4</v>
      </c>
      <c r="N54" s="61">
        <v>2.9171296296296296E-2</v>
      </c>
      <c r="O54" s="61">
        <v>0.10700694444444445</v>
      </c>
      <c r="P54" s="59" t="s">
        <v>1098</v>
      </c>
      <c r="Q54" s="8">
        <f t="shared" si="0"/>
        <v>759</v>
      </c>
      <c r="R54" s="14"/>
    </row>
    <row r="55" spans="1:18">
      <c r="A55" s="59">
        <v>54</v>
      </c>
      <c r="B55" s="59">
        <v>34</v>
      </c>
      <c r="C55" s="60" t="s">
        <v>135</v>
      </c>
      <c r="D55" s="59" t="s">
        <v>550</v>
      </c>
      <c r="E55" s="59" t="s">
        <v>551</v>
      </c>
      <c r="F55" s="59" t="s">
        <v>1099</v>
      </c>
      <c r="G55" s="59" t="s">
        <v>340</v>
      </c>
      <c r="H55" s="59" t="s">
        <v>348</v>
      </c>
      <c r="I55" s="59">
        <v>15</v>
      </c>
      <c r="J55" s="61">
        <v>2.2469907407407407E-2</v>
      </c>
      <c r="K55" s="61">
        <v>2.1770833333333334E-3</v>
      </c>
      <c r="L55" s="61">
        <v>5.1390046296296302E-2</v>
      </c>
      <c r="M55" s="61">
        <v>6.9675925925925927E-4</v>
      </c>
      <c r="N55" s="61">
        <v>3.1267361111111114E-2</v>
      </c>
      <c r="O55" s="61">
        <v>0.10800347222222222</v>
      </c>
      <c r="P55" s="59" t="s">
        <v>1100</v>
      </c>
      <c r="Q55" s="8">
        <f t="shared" si="0"/>
        <v>752</v>
      </c>
      <c r="R55" s="14"/>
    </row>
    <row r="56" spans="1:18">
      <c r="A56" s="59">
        <v>55</v>
      </c>
      <c r="B56" s="59">
        <v>62</v>
      </c>
      <c r="C56" s="60" t="s">
        <v>135</v>
      </c>
      <c r="D56" s="59" t="s">
        <v>1101</v>
      </c>
      <c r="E56" s="59" t="s">
        <v>1102</v>
      </c>
      <c r="F56" s="59"/>
      <c r="G56" s="59" t="s">
        <v>340</v>
      </c>
      <c r="H56" s="59" t="s">
        <v>352</v>
      </c>
      <c r="I56" s="59">
        <v>10</v>
      </c>
      <c r="J56" s="61">
        <v>2.3002314814814816E-2</v>
      </c>
      <c r="K56" s="61">
        <v>1.6377314814814815E-3</v>
      </c>
      <c r="L56" s="61">
        <v>4.9511574074074076E-2</v>
      </c>
      <c r="M56" s="61">
        <v>5.9722222222222219E-4</v>
      </c>
      <c r="N56" s="61">
        <v>3.362037037037037E-2</v>
      </c>
      <c r="O56" s="61">
        <v>0.10837037037037038</v>
      </c>
      <c r="P56" s="59" t="s">
        <v>1103</v>
      </c>
      <c r="Q56" s="8">
        <f t="shared" si="0"/>
        <v>749</v>
      </c>
      <c r="R56" s="14"/>
    </row>
    <row r="57" spans="1:18">
      <c r="A57" s="59">
        <v>56</v>
      </c>
      <c r="B57" s="59">
        <v>25</v>
      </c>
      <c r="C57" s="60" t="s">
        <v>135</v>
      </c>
      <c r="D57" s="59" t="s">
        <v>1104</v>
      </c>
      <c r="E57" s="59" t="s">
        <v>1105</v>
      </c>
      <c r="F57" s="59" t="s">
        <v>1058</v>
      </c>
      <c r="G57" s="59" t="s">
        <v>340</v>
      </c>
      <c r="H57" s="59" t="s">
        <v>344</v>
      </c>
      <c r="I57" s="59">
        <v>9</v>
      </c>
      <c r="J57" s="61">
        <v>2.332638888888889E-2</v>
      </c>
      <c r="K57" s="61">
        <v>2.5775462962962961E-3</v>
      </c>
      <c r="L57" s="61">
        <v>4.7025462962962963E-2</v>
      </c>
      <c r="M57" s="61">
        <v>1.1122685185185185E-3</v>
      </c>
      <c r="N57" s="61">
        <v>3.4378472222222227E-2</v>
      </c>
      <c r="O57" s="61">
        <v>0.10842361111111111</v>
      </c>
      <c r="P57" s="59" t="s">
        <v>1106</v>
      </c>
      <c r="Q57" s="8">
        <f t="shared" si="0"/>
        <v>749</v>
      </c>
      <c r="R57" s="14"/>
    </row>
    <row r="58" spans="1:18">
      <c r="A58" s="59">
        <v>57</v>
      </c>
      <c r="B58" s="59">
        <v>58</v>
      </c>
      <c r="C58" s="60" t="s">
        <v>135</v>
      </c>
      <c r="D58" s="59" t="s">
        <v>274</v>
      </c>
      <c r="E58" s="59" t="s">
        <v>275</v>
      </c>
      <c r="F58" s="59" t="s">
        <v>138</v>
      </c>
      <c r="G58" s="59" t="s">
        <v>340</v>
      </c>
      <c r="H58" s="59" t="s">
        <v>420</v>
      </c>
      <c r="I58" s="59">
        <v>3</v>
      </c>
      <c r="J58" s="61">
        <v>2.1413194444444443E-2</v>
      </c>
      <c r="K58" s="61">
        <v>1.7407407407407408E-3</v>
      </c>
      <c r="L58" s="61">
        <v>5.2760416666666664E-2</v>
      </c>
      <c r="M58" s="61">
        <v>6.4351851851851853E-4</v>
      </c>
      <c r="N58" s="61">
        <v>3.2377314814814817E-2</v>
      </c>
      <c r="O58" s="61">
        <v>0.10893750000000001</v>
      </c>
      <c r="P58" s="59" t="s">
        <v>1107</v>
      </c>
      <c r="Q58" s="8">
        <f t="shared" si="0"/>
        <v>745</v>
      </c>
      <c r="R58" s="14"/>
    </row>
    <row r="59" spans="1:18">
      <c r="A59" s="59">
        <v>58</v>
      </c>
      <c r="B59" s="59">
        <v>68</v>
      </c>
      <c r="C59" s="60" t="s">
        <v>135</v>
      </c>
      <c r="D59" s="59" t="s">
        <v>1108</v>
      </c>
      <c r="E59" s="59" t="s">
        <v>1109</v>
      </c>
      <c r="F59" s="59"/>
      <c r="G59" s="59" t="s">
        <v>340</v>
      </c>
      <c r="H59" s="59" t="s">
        <v>344</v>
      </c>
      <c r="I59" s="59">
        <v>10</v>
      </c>
      <c r="J59" s="61">
        <v>2.4642361111111111E-2</v>
      </c>
      <c r="K59" s="61">
        <v>1.6006944444444445E-3</v>
      </c>
      <c r="L59" s="61">
        <v>5.0189814814814812E-2</v>
      </c>
      <c r="M59" s="61">
        <v>6.2037037037037041E-4</v>
      </c>
      <c r="N59" s="61">
        <v>3.1976851851851854E-2</v>
      </c>
      <c r="O59" s="61">
        <v>0.10903356481481481</v>
      </c>
      <c r="P59" s="59" t="s">
        <v>1110</v>
      </c>
      <c r="Q59" s="8">
        <f t="shared" si="0"/>
        <v>745</v>
      </c>
      <c r="R59" s="14"/>
    </row>
    <row r="60" spans="1:18">
      <c r="A60" s="59">
        <v>59</v>
      </c>
      <c r="B60" s="59">
        <v>41</v>
      </c>
      <c r="C60" s="60" t="s">
        <v>135</v>
      </c>
      <c r="D60" s="59" t="s">
        <v>1111</v>
      </c>
      <c r="E60" s="59" t="s">
        <v>1112</v>
      </c>
      <c r="F60" s="59" t="s">
        <v>199</v>
      </c>
      <c r="G60" s="59" t="s">
        <v>319</v>
      </c>
      <c r="H60" s="59" t="s">
        <v>159</v>
      </c>
      <c r="I60" s="59"/>
      <c r="J60" s="61">
        <v>2.3844907407407405E-2</v>
      </c>
      <c r="K60" s="61">
        <v>1.4282407407407408E-3</v>
      </c>
      <c r="L60" s="61">
        <v>5.046875E-2</v>
      </c>
      <c r="M60" s="61">
        <v>4.259259259259259E-4</v>
      </c>
      <c r="N60" s="61">
        <v>3.2940972222222219E-2</v>
      </c>
      <c r="O60" s="61">
        <v>0.10911111111111112</v>
      </c>
      <c r="P60" s="59" t="s">
        <v>1113</v>
      </c>
      <c r="Q60" s="8">
        <f t="shared" si="0"/>
        <v>744</v>
      </c>
      <c r="R60" s="14"/>
    </row>
    <row r="61" spans="1:18">
      <c r="A61" s="59">
        <v>60</v>
      </c>
      <c r="B61" s="59">
        <v>9</v>
      </c>
      <c r="C61" s="60" t="s">
        <v>135</v>
      </c>
      <c r="D61" s="59" t="s">
        <v>830</v>
      </c>
      <c r="E61" s="59" t="s">
        <v>831</v>
      </c>
      <c r="F61" s="59"/>
      <c r="G61" s="59" t="s">
        <v>340</v>
      </c>
      <c r="H61" s="59" t="s">
        <v>348</v>
      </c>
      <c r="I61" s="59">
        <v>16</v>
      </c>
      <c r="J61" s="61">
        <v>2.1452546296296296E-2</v>
      </c>
      <c r="K61" s="61">
        <v>1.6712962962962964E-3</v>
      </c>
      <c r="L61" s="61">
        <v>5.3055555555555557E-2</v>
      </c>
      <c r="M61" s="61">
        <v>4.3287037037037035E-4</v>
      </c>
      <c r="N61" s="61">
        <v>3.259837962962963E-2</v>
      </c>
      <c r="O61" s="61">
        <v>0.10921296296296296</v>
      </c>
      <c r="P61" s="59" t="s">
        <v>1114</v>
      </c>
      <c r="Q61" s="8">
        <f t="shared" si="0"/>
        <v>743</v>
      </c>
      <c r="R61" s="14"/>
    </row>
    <row r="62" spans="1:18">
      <c r="A62" s="59">
        <v>61</v>
      </c>
      <c r="B62" s="59">
        <v>63</v>
      </c>
      <c r="C62" s="60" t="s">
        <v>135</v>
      </c>
      <c r="D62" s="59" t="s">
        <v>1115</v>
      </c>
      <c r="E62" s="59" t="s">
        <v>1116</v>
      </c>
      <c r="F62" s="59" t="s">
        <v>367</v>
      </c>
      <c r="G62" s="59" t="s">
        <v>340</v>
      </c>
      <c r="H62" s="59" t="s">
        <v>420</v>
      </c>
      <c r="I62" s="59">
        <v>4</v>
      </c>
      <c r="J62" s="61">
        <v>2.193287037037037E-2</v>
      </c>
      <c r="K62" s="61">
        <v>1.2337962962962962E-3</v>
      </c>
      <c r="L62" s="61">
        <v>5.0864583333333331E-2</v>
      </c>
      <c r="M62" s="61">
        <v>7.407407407407407E-4</v>
      </c>
      <c r="N62" s="61">
        <v>3.4457175925925926E-2</v>
      </c>
      <c r="O62" s="61">
        <v>0.10923148148148148</v>
      </c>
      <c r="P62" s="59" t="s">
        <v>1117</v>
      </c>
      <c r="Q62" s="8">
        <f t="shared" si="0"/>
        <v>743</v>
      </c>
      <c r="R62" s="14"/>
    </row>
    <row r="63" spans="1:18">
      <c r="A63" s="59">
        <v>62</v>
      </c>
      <c r="B63" s="59">
        <v>5</v>
      </c>
      <c r="C63" s="60" t="s">
        <v>135</v>
      </c>
      <c r="D63" s="59" t="s">
        <v>1118</v>
      </c>
      <c r="E63" s="59" t="s">
        <v>1119</v>
      </c>
      <c r="F63" s="59" t="s">
        <v>367</v>
      </c>
      <c r="G63" s="59" t="s">
        <v>340</v>
      </c>
      <c r="H63" s="59" t="s">
        <v>341</v>
      </c>
      <c r="I63" s="59">
        <v>9</v>
      </c>
      <c r="J63" s="61">
        <v>2.5165509259259262E-2</v>
      </c>
      <c r="K63" s="61">
        <v>1.9108796296296296E-3</v>
      </c>
      <c r="L63" s="61">
        <v>4.9138888888888892E-2</v>
      </c>
      <c r="M63" s="61">
        <v>5.7986111111111118E-4</v>
      </c>
      <c r="N63" s="61">
        <v>3.2619212962962968E-2</v>
      </c>
      <c r="O63" s="61">
        <v>0.10941550925925926</v>
      </c>
      <c r="P63" s="59" t="s">
        <v>1120</v>
      </c>
      <c r="Q63" s="8">
        <f t="shared" si="0"/>
        <v>742</v>
      </c>
      <c r="R63" s="14"/>
    </row>
    <row r="64" spans="1:18">
      <c r="A64" s="59">
        <v>63</v>
      </c>
      <c r="B64" s="59">
        <v>15</v>
      </c>
      <c r="C64" s="60" t="s">
        <v>1121</v>
      </c>
      <c r="D64" s="59" t="s">
        <v>836</v>
      </c>
      <c r="E64" s="59" t="s">
        <v>837</v>
      </c>
      <c r="F64" s="59" t="s">
        <v>838</v>
      </c>
      <c r="G64" s="59" t="s">
        <v>340</v>
      </c>
      <c r="H64" s="59" t="s">
        <v>344</v>
      </c>
      <c r="I64" s="59">
        <v>11</v>
      </c>
      <c r="J64" s="61">
        <v>2.8268518518518519E-2</v>
      </c>
      <c r="K64" s="61">
        <v>1.908564814814815E-3</v>
      </c>
      <c r="L64" s="61">
        <v>5.0600694444444441E-2</v>
      </c>
      <c r="M64" s="61">
        <v>9.8842592592592602E-4</v>
      </c>
      <c r="N64" s="61">
        <v>2.821527777777778E-2</v>
      </c>
      <c r="O64" s="61">
        <v>0.10998495370370372</v>
      </c>
      <c r="P64" s="59" t="s">
        <v>1122</v>
      </c>
      <c r="Q64" s="8">
        <f t="shared" si="0"/>
        <v>738</v>
      </c>
      <c r="R64" s="14"/>
    </row>
    <row r="65" spans="1:18">
      <c r="A65" s="59">
        <v>64</v>
      </c>
      <c r="B65" s="59">
        <v>20</v>
      </c>
      <c r="C65" s="60" t="s">
        <v>135</v>
      </c>
      <c r="D65" s="59" t="s">
        <v>1123</v>
      </c>
      <c r="E65" s="59" t="s">
        <v>1124</v>
      </c>
      <c r="F65" s="59" t="s">
        <v>1125</v>
      </c>
      <c r="G65" s="59" t="s">
        <v>340</v>
      </c>
      <c r="H65" s="59" t="s">
        <v>641</v>
      </c>
      <c r="I65" s="59">
        <v>2</v>
      </c>
      <c r="J65" s="61">
        <v>1.9876157407407408E-2</v>
      </c>
      <c r="K65" s="61">
        <v>1.6782407407407408E-3</v>
      </c>
      <c r="L65" s="61">
        <v>5.5959490740740733E-2</v>
      </c>
      <c r="M65" s="61">
        <v>6.3888888888888893E-4</v>
      </c>
      <c r="N65" s="61">
        <v>3.300115740740741E-2</v>
      </c>
      <c r="O65" s="61">
        <v>0.11115625</v>
      </c>
      <c r="P65" s="59" t="s">
        <v>1126</v>
      </c>
      <c r="Q65" s="8">
        <f t="shared" si="0"/>
        <v>730</v>
      </c>
      <c r="R65" s="14"/>
    </row>
    <row r="66" spans="1:18">
      <c r="A66" s="59">
        <v>65</v>
      </c>
      <c r="B66" s="59">
        <v>86</v>
      </c>
      <c r="C66" s="60" t="s">
        <v>135</v>
      </c>
      <c r="D66" s="59" t="s">
        <v>1127</v>
      </c>
      <c r="E66" s="59" t="s">
        <v>1128</v>
      </c>
      <c r="F66" s="59" t="s">
        <v>153</v>
      </c>
      <c r="G66" s="59" t="s">
        <v>319</v>
      </c>
      <c r="H66" s="59" t="s">
        <v>154</v>
      </c>
      <c r="I66" s="59"/>
      <c r="J66" s="61">
        <v>2.2716435185185187E-2</v>
      </c>
      <c r="K66" s="61">
        <v>2.1493055555555553E-3</v>
      </c>
      <c r="L66" s="61">
        <v>5.276273148148148E-2</v>
      </c>
      <c r="M66" s="61">
        <v>1.2002314814814816E-3</v>
      </c>
      <c r="N66" s="61">
        <v>3.2373842592592593E-2</v>
      </c>
      <c r="O66" s="61">
        <v>0.11120486111111111</v>
      </c>
      <c r="P66" s="59" t="s">
        <v>1129</v>
      </c>
      <c r="Q66" s="8">
        <f t="shared" si="0"/>
        <v>730</v>
      </c>
      <c r="R66" s="14"/>
    </row>
    <row r="67" spans="1:18">
      <c r="A67" s="59">
        <v>66</v>
      </c>
      <c r="B67" s="59">
        <v>21</v>
      </c>
      <c r="C67" s="60" t="s">
        <v>135</v>
      </c>
      <c r="D67" s="59" t="s">
        <v>1130</v>
      </c>
      <c r="E67" s="59" t="s">
        <v>1131</v>
      </c>
      <c r="F67" s="59" t="s">
        <v>1132</v>
      </c>
      <c r="G67" s="59" t="s">
        <v>340</v>
      </c>
      <c r="H67" s="59" t="s">
        <v>341</v>
      </c>
      <c r="I67" s="59">
        <v>10</v>
      </c>
      <c r="J67" s="61">
        <v>2.1993055555555557E-2</v>
      </c>
      <c r="K67" s="61">
        <v>1.8738425925925927E-3</v>
      </c>
      <c r="L67" s="61">
        <v>5.1811342592592589E-2</v>
      </c>
      <c r="M67" s="61">
        <v>6.7476851851851845E-4</v>
      </c>
      <c r="N67" s="61">
        <v>3.4950231481481478E-2</v>
      </c>
      <c r="O67" s="61">
        <v>0.11130671296296296</v>
      </c>
      <c r="P67" s="59" t="s">
        <v>1133</v>
      </c>
      <c r="Q67" s="8">
        <f t="shared" ref="Q67:Q77" si="1">IFERROR(ROUND($O$2/O67*1000,0),0)</f>
        <v>729</v>
      </c>
      <c r="R67" s="14"/>
    </row>
    <row r="68" spans="1:18">
      <c r="A68" s="59">
        <v>67</v>
      </c>
      <c r="B68" s="59">
        <v>43</v>
      </c>
      <c r="C68" s="60" t="s">
        <v>135</v>
      </c>
      <c r="D68" s="59" t="s">
        <v>1134</v>
      </c>
      <c r="E68" s="59" t="s">
        <v>1135</v>
      </c>
      <c r="F68" s="59"/>
      <c r="G68" s="59" t="s">
        <v>340</v>
      </c>
      <c r="H68" s="59" t="s">
        <v>348</v>
      </c>
      <c r="I68" s="59">
        <v>17</v>
      </c>
      <c r="J68" s="61">
        <v>2.6469907407407407E-2</v>
      </c>
      <c r="K68" s="61">
        <v>2.1875000000000002E-3</v>
      </c>
      <c r="L68" s="61">
        <v>4.9979166666666665E-2</v>
      </c>
      <c r="M68" s="61">
        <v>1.1377314814814815E-3</v>
      </c>
      <c r="N68" s="61">
        <v>3.1611111111111111E-2</v>
      </c>
      <c r="O68" s="61">
        <v>0.11138773148148148</v>
      </c>
      <c r="P68" s="59" t="s">
        <v>1136</v>
      </c>
      <c r="Q68" s="8">
        <f t="shared" si="1"/>
        <v>729</v>
      </c>
      <c r="R68" s="14"/>
    </row>
    <row r="69" spans="1:18">
      <c r="A69" s="59">
        <v>68</v>
      </c>
      <c r="B69" s="59">
        <v>84</v>
      </c>
      <c r="C69" s="60" t="s">
        <v>135</v>
      </c>
      <c r="D69" s="59" t="s">
        <v>594</v>
      </c>
      <c r="E69" s="59" t="s">
        <v>595</v>
      </c>
      <c r="F69" s="59" t="s">
        <v>199</v>
      </c>
      <c r="G69" s="59" t="s">
        <v>340</v>
      </c>
      <c r="H69" s="59" t="s">
        <v>344</v>
      </c>
      <c r="I69" s="59">
        <v>12</v>
      </c>
      <c r="J69" s="61">
        <v>2.3386574074074074E-2</v>
      </c>
      <c r="K69" s="61">
        <v>1.673611111111111E-3</v>
      </c>
      <c r="L69" s="61">
        <v>5.2346064814814811E-2</v>
      </c>
      <c r="M69" s="61">
        <v>3.6111111111111109E-4</v>
      </c>
      <c r="N69" s="61">
        <v>3.439236111111111E-2</v>
      </c>
      <c r="O69" s="61">
        <v>0.11216203703703703</v>
      </c>
      <c r="P69" s="59" t="s">
        <v>1137</v>
      </c>
      <c r="Q69" s="8">
        <f t="shared" si="1"/>
        <v>724</v>
      </c>
      <c r="R69" s="14"/>
    </row>
    <row r="70" spans="1:18">
      <c r="A70" s="59">
        <v>69</v>
      </c>
      <c r="B70" s="59">
        <v>47</v>
      </c>
      <c r="C70" s="60" t="s">
        <v>135</v>
      </c>
      <c r="D70" s="59" t="s">
        <v>315</v>
      </c>
      <c r="E70" s="59" t="s">
        <v>316</v>
      </c>
      <c r="F70" s="59" t="s">
        <v>199</v>
      </c>
      <c r="G70" s="59" t="s">
        <v>340</v>
      </c>
      <c r="H70" s="59" t="s">
        <v>420</v>
      </c>
      <c r="I70" s="59">
        <v>5</v>
      </c>
      <c r="J70" s="61">
        <v>2.3123842592592595E-2</v>
      </c>
      <c r="K70" s="61">
        <v>1.773148148148148E-3</v>
      </c>
      <c r="L70" s="61">
        <v>5.1384259259259261E-2</v>
      </c>
      <c r="M70" s="61">
        <v>4.3634259259259261E-4</v>
      </c>
      <c r="N70" s="61">
        <v>3.5532407407407408E-2</v>
      </c>
      <c r="O70" s="61">
        <v>0.11225231481481482</v>
      </c>
      <c r="P70" s="59" t="s">
        <v>1138</v>
      </c>
      <c r="Q70" s="8">
        <f t="shared" si="1"/>
        <v>723</v>
      </c>
      <c r="R70" s="14"/>
    </row>
    <row r="71" spans="1:18">
      <c r="A71" s="59">
        <v>70</v>
      </c>
      <c r="B71" s="59">
        <v>66</v>
      </c>
      <c r="C71" s="60" t="s">
        <v>135</v>
      </c>
      <c r="D71" s="59" t="s">
        <v>1139</v>
      </c>
      <c r="E71" s="59" t="s">
        <v>1140</v>
      </c>
      <c r="F71" s="59" t="s">
        <v>173</v>
      </c>
      <c r="G71" s="59" t="s">
        <v>319</v>
      </c>
      <c r="H71" s="59" t="s">
        <v>154</v>
      </c>
      <c r="I71" s="59">
        <v>1</v>
      </c>
      <c r="J71" s="61">
        <v>2.1939814814814815E-2</v>
      </c>
      <c r="K71" s="61">
        <v>2.244212962962963E-3</v>
      </c>
      <c r="L71" s="61">
        <v>5.2587962962962968E-2</v>
      </c>
      <c r="M71" s="61">
        <v>1.0358796296296297E-3</v>
      </c>
      <c r="N71" s="61">
        <v>3.4520833333333334E-2</v>
      </c>
      <c r="O71" s="61">
        <v>0.11233101851851851</v>
      </c>
      <c r="P71" s="59" t="s">
        <v>1141</v>
      </c>
      <c r="Q71" s="8">
        <f t="shared" si="1"/>
        <v>723</v>
      </c>
      <c r="R71" s="14"/>
    </row>
    <row r="72" spans="1:18">
      <c r="A72" s="59">
        <v>71</v>
      </c>
      <c r="B72" s="59">
        <v>106</v>
      </c>
      <c r="C72" s="60" t="s">
        <v>135</v>
      </c>
      <c r="D72" s="59" t="s">
        <v>1142</v>
      </c>
      <c r="E72" s="59" t="s">
        <v>1143</v>
      </c>
      <c r="F72" s="59"/>
      <c r="G72" s="59" t="s">
        <v>340</v>
      </c>
      <c r="H72" s="59" t="s">
        <v>352</v>
      </c>
      <c r="I72" s="59">
        <v>11</v>
      </c>
      <c r="J72" s="61">
        <v>2.4288194444444446E-2</v>
      </c>
      <c r="K72" s="61">
        <v>2.2523148148148146E-3</v>
      </c>
      <c r="L72" s="61">
        <v>4.8437500000000001E-2</v>
      </c>
      <c r="M72" s="61">
        <v>1.0509259259259259E-3</v>
      </c>
      <c r="N72" s="61">
        <v>3.6506944444444439E-2</v>
      </c>
      <c r="O72" s="61">
        <v>0.11253935185185185</v>
      </c>
      <c r="P72" s="59" t="s">
        <v>1144</v>
      </c>
      <c r="Q72" s="8">
        <f t="shared" si="1"/>
        <v>721</v>
      </c>
      <c r="R72" s="14"/>
    </row>
    <row r="73" spans="1:18">
      <c r="A73" s="59">
        <v>72</v>
      </c>
      <c r="B73" s="59">
        <v>104</v>
      </c>
      <c r="C73" s="60" t="s">
        <v>135</v>
      </c>
      <c r="D73" s="59" t="s">
        <v>1145</v>
      </c>
      <c r="E73" s="59" t="s">
        <v>1146</v>
      </c>
      <c r="F73" s="59" t="s">
        <v>538</v>
      </c>
      <c r="G73" s="59" t="s">
        <v>340</v>
      </c>
      <c r="H73" s="59" t="s">
        <v>624</v>
      </c>
      <c r="I73" s="59">
        <v>1</v>
      </c>
      <c r="J73" s="61">
        <v>2.5497685185185186E-2</v>
      </c>
      <c r="K73" s="61">
        <v>2.0960648148148149E-3</v>
      </c>
      <c r="L73" s="61">
        <v>4.9555555555555561E-2</v>
      </c>
      <c r="M73" s="61">
        <v>1.1770833333333334E-3</v>
      </c>
      <c r="N73" s="61">
        <v>3.4269675925925926E-2</v>
      </c>
      <c r="O73" s="61">
        <v>0.11259837962962962</v>
      </c>
      <c r="P73" s="59" t="s">
        <v>1147</v>
      </c>
      <c r="Q73" s="8">
        <f t="shared" si="1"/>
        <v>721</v>
      </c>
      <c r="R73" s="14"/>
    </row>
    <row r="74" spans="1:18">
      <c r="A74" s="59">
        <v>73</v>
      </c>
      <c r="B74" s="59">
        <v>71</v>
      </c>
      <c r="C74" s="60" t="s">
        <v>135</v>
      </c>
      <c r="D74" s="59" t="s">
        <v>1148</v>
      </c>
      <c r="E74" s="59" t="s">
        <v>1149</v>
      </c>
      <c r="F74" s="59" t="s">
        <v>153</v>
      </c>
      <c r="G74" s="59" t="s">
        <v>340</v>
      </c>
      <c r="H74" s="59" t="s">
        <v>357</v>
      </c>
      <c r="I74" s="59">
        <v>7</v>
      </c>
      <c r="J74" s="61">
        <v>2.1259259259259259E-2</v>
      </c>
      <c r="K74" s="61">
        <v>1.2430555555555556E-3</v>
      </c>
      <c r="L74" s="61">
        <v>5.1210648148148151E-2</v>
      </c>
      <c r="M74" s="61">
        <v>4.9768518518518521E-4</v>
      </c>
      <c r="N74" s="61">
        <v>3.8475694444444444E-2</v>
      </c>
      <c r="O74" s="61">
        <v>0.1126886574074074</v>
      </c>
      <c r="P74" s="59" t="s">
        <v>1150</v>
      </c>
      <c r="Q74" s="8">
        <f t="shared" si="1"/>
        <v>720</v>
      </c>
      <c r="R74" s="14"/>
    </row>
    <row r="75" spans="1:18">
      <c r="A75" s="59">
        <v>74</v>
      </c>
      <c r="B75" s="59">
        <v>18</v>
      </c>
      <c r="C75" s="60" t="s">
        <v>135</v>
      </c>
      <c r="D75" s="59" t="s">
        <v>633</v>
      </c>
      <c r="E75" s="59" t="s">
        <v>634</v>
      </c>
      <c r="F75" s="59"/>
      <c r="G75" s="59" t="s">
        <v>340</v>
      </c>
      <c r="H75" s="59" t="s">
        <v>348</v>
      </c>
      <c r="I75" s="59">
        <v>18</v>
      </c>
      <c r="J75" s="61">
        <v>2.3488425925925926E-2</v>
      </c>
      <c r="K75" s="61">
        <v>1.8194444444444443E-3</v>
      </c>
      <c r="L75" s="61">
        <v>5.1664351851851857E-2</v>
      </c>
      <c r="M75" s="61">
        <v>8.1597222222222227E-4</v>
      </c>
      <c r="N75" s="61">
        <v>3.5347222222222224E-2</v>
      </c>
      <c r="O75" s="61">
        <v>0.1131388888888889</v>
      </c>
      <c r="P75" s="59" t="s">
        <v>1151</v>
      </c>
      <c r="Q75" s="8">
        <f t="shared" si="1"/>
        <v>718</v>
      </c>
      <c r="R75" s="14"/>
    </row>
    <row r="76" spans="1:18">
      <c r="A76" s="59">
        <v>75</v>
      </c>
      <c r="B76" s="59">
        <v>17</v>
      </c>
      <c r="C76" s="60" t="s">
        <v>135</v>
      </c>
      <c r="D76" s="59" t="s">
        <v>1152</v>
      </c>
      <c r="E76" s="59" t="s">
        <v>1153</v>
      </c>
      <c r="F76" s="59"/>
      <c r="G76" s="59" t="s">
        <v>340</v>
      </c>
      <c r="H76" s="59" t="s">
        <v>348</v>
      </c>
      <c r="I76" s="59">
        <v>19</v>
      </c>
      <c r="J76" s="61">
        <v>2.3554398148148147E-2</v>
      </c>
      <c r="K76" s="61">
        <v>2.8194444444444443E-3</v>
      </c>
      <c r="L76" s="61">
        <v>5.1508101851851854E-2</v>
      </c>
      <c r="M76" s="61">
        <v>7.1643518518518519E-4</v>
      </c>
      <c r="N76" s="61">
        <v>3.473842592592593E-2</v>
      </c>
      <c r="O76" s="61">
        <v>0.11333796296296296</v>
      </c>
      <c r="P76" s="59" t="s">
        <v>1154</v>
      </c>
      <c r="Q76" s="8">
        <f t="shared" si="1"/>
        <v>716</v>
      </c>
      <c r="R76" s="14"/>
    </row>
    <row r="77" spans="1:18">
      <c r="A77" s="59">
        <v>76</v>
      </c>
      <c r="B77" s="59">
        <v>81</v>
      </c>
      <c r="C77" s="60" t="s">
        <v>135</v>
      </c>
      <c r="D77" s="59" t="s">
        <v>1155</v>
      </c>
      <c r="E77" s="59" t="s">
        <v>1156</v>
      </c>
      <c r="F77" s="59"/>
      <c r="G77" s="59" t="s">
        <v>340</v>
      </c>
      <c r="H77" s="59" t="s">
        <v>448</v>
      </c>
      <c r="I77" s="59">
        <v>2</v>
      </c>
      <c r="J77" s="61">
        <v>2.2969907407407408E-2</v>
      </c>
      <c r="K77" s="61">
        <v>2.5775462962962961E-3</v>
      </c>
      <c r="L77" s="61">
        <v>5.3961805555555555E-2</v>
      </c>
      <c r="M77" s="61">
        <v>1.2314814814814816E-3</v>
      </c>
      <c r="N77" s="61">
        <v>3.2675925925925921E-2</v>
      </c>
      <c r="O77" s="61">
        <v>0.11341898148148148</v>
      </c>
      <c r="P77" s="59" t="s">
        <v>1157</v>
      </c>
      <c r="Q77" s="8">
        <f t="shared" si="1"/>
        <v>716</v>
      </c>
      <c r="R77" s="14"/>
    </row>
    <row r="78" spans="1:18">
      <c r="A78" s="59">
        <v>77</v>
      </c>
      <c r="B78" s="59">
        <v>48</v>
      </c>
      <c r="C78" s="60" t="s">
        <v>135</v>
      </c>
      <c r="D78" s="59" t="s">
        <v>544</v>
      </c>
      <c r="E78" s="59" t="s">
        <v>545</v>
      </c>
      <c r="F78" s="59"/>
      <c r="G78" s="59" t="s">
        <v>319</v>
      </c>
      <c r="H78" s="59" t="s">
        <v>159</v>
      </c>
      <c r="I78" s="59">
        <v>1</v>
      </c>
      <c r="J78" s="61">
        <v>2.1766203703703704E-2</v>
      </c>
      <c r="K78" s="61">
        <v>1.1226851851851851E-3</v>
      </c>
      <c r="L78" s="61">
        <v>5.3273148148148153E-2</v>
      </c>
      <c r="M78" s="61">
        <v>6.145833333333333E-4</v>
      </c>
      <c r="N78" s="61">
        <v>3.7120370370370366E-2</v>
      </c>
      <c r="O78" s="61">
        <v>0.11389814814814814</v>
      </c>
      <c r="P78" s="59" t="s">
        <v>1158</v>
      </c>
      <c r="Q78" s="8">
        <f t="shared" ref="Q78:Q105" si="2">IFERROR(ROUND($O$2/O78*1000,0),0)</f>
        <v>713</v>
      </c>
      <c r="R78" s="14"/>
    </row>
    <row r="79" spans="1:18">
      <c r="A79" s="59">
        <v>78</v>
      </c>
      <c r="B79" s="59">
        <v>22</v>
      </c>
      <c r="C79" s="60" t="s">
        <v>135</v>
      </c>
      <c r="D79" s="59" t="s">
        <v>1159</v>
      </c>
      <c r="E79" s="59" t="s">
        <v>1160</v>
      </c>
      <c r="F79" s="59" t="s">
        <v>199</v>
      </c>
      <c r="G79" s="59" t="s">
        <v>319</v>
      </c>
      <c r="H79" s="59" t="s">
        <v>154</v>
      </c>
      <c r="I79" s="59">
        <v>2</v>
      </c>
      <c r="J79" s="61">
        <v>2.1582175925925925E-2</v>
      </c>
      <c r="K79" s="61">
        <v>1.1134259259259259E-3</v>
      </c>
      <c r="L79" s="61">
        <v>5.3402777777777778E-2</v>
      </c>
      <c r="M79" s="61">
        <v>3.1597222222222221E-4</v>
      </c>
      <c r="N79" s="61">
        <v>3.7877314814814815E-2</v>
      </c>
      <c r="O79" s="61">
        <v>0.1142951388888889</v>
      </c>
      <c r="P79" s="59" t="s">
        <v>1161</v>
      </c>
      <c r="Q79" s="8">
        <f t="shared" si="2"/>
        <v>710</v>
      </c>
      <c r="R79" s="14"/>
    </row>
    <row r="80" spans="1:18">
      <c r="A80" s="59">
        <v>79</v>
      </c>
      <c r="B80" s="59">
        <v>73</v>
      </c>
      <c r="C80" s="60" t="s">
        <v>135</v>
      </c>
      <c r="D80" s="59" t="s">
        <v>619</v>
      </c>
      <c r="E80" s="59" t="s">
        <v>620</v>
      </c>
      <c r="F80" s="59"/>
      <c r="G80" s="59" t="s">
        <v>340</v>
      </c>
      <c r="H80" s="59" t="s">
        <v>341</v>
      </c>
      <c r="I80" s="59">
        <v>11</v>
      </c>
      <c r="J80" s="61">
        <v>2.3815972222222221E-2</v>
      </c>
      <c r="K80" s="61">
        <v>2.0277777777777777E-3</v>
      </c>
      <c r="L80" s="61">
        <v>5.518981481481481E-2</v>
      </c>
      <c r="M80" s="61">
        <v>8.0787037037037036E-4</v>
      </c>
      <c r="N80" s="61">
        <v>3.3156249999999998E-2</v>
      </c>
      <c r="O80" s="61">
        <v>0.115</v>
      </c>
      <c r="P80" s="59" t="s">
        <v>1162</v>
      </c>
      <c r="Q80" s="8">
        <f t="shared" si="2"/>
        <v>706</v>
      </c>
      <c r="R80" s="14"/>
    </row>
    <row r="81" spans="1:18">
      <c r="A81" s="59">
        <v>80</v>
      </c>
      <c r="B81" s="59">
        <v>59</v>
      </c>
      <c r="C81" s="60" t="s">
        <v>135</v>
      </c>
      <c r="D81" s="59" t="s">
        <v>597</v>
      </c>
      <c r="E81" s="59" t="s">
        <v>598</v>
      </c>
      <c r="F81" s="59" t="s">
        <v>189</v>
      </c>
      <c r="G81" s="59" t="s">
        <v>319</v>
      </c>
      <c r="H81" s="59" t="s">
        <v>139</v>
      </c>
      <c r="I81" s="59">
        <v>1</v>
      </c>
      <c r="J81" s="61">
        <v>2.2085648148148149E-2</v>
      </c>
      <c r="K81" s="61">
        <v>1.3437499999999999E-3</v>
      </c>
      <c r="L81" s="61">
        <v>5.4287037037037029E-2</v>
      </c>
      <c r="M81" s="61">
        <v>4.861111111111111E-4</v>
      </c>
      <c r="N81" s="61">
        <v>3.7531249999999995E-2</v>
      </c>
      <c r="O81" s="61">
        <v>0.11573495370370371</v>
      </c>
      <c r="P81" s="59" t="s">
        <v>1163</v>
      </c>
      <c r="Q81" s="8">
        <f t="shared" si="2"/>
        <v>701</v>
      </c>
      <c r="R81" s="14"/>
    </row>
    <row r="82" spans="1:18">
      <c r="A82" s="59">
        <v>81</v>
      </c>
      <c r="B82" s="59">
        <v>4</v>
      </c>
      <c r="C82" s="60" t="s">
        <v>135</v>
      </c>
      <c r="D82" s="59" t="s">
        <v>1164</v>
      </c>
      <c r="E82" s="59" t="s">
        <v>1165</v>
      </c>
      <c r="F82" s="59"/>
      <c r="G82" s="59" t="s">
        <v>340</v>
      </c>
      <c r="H82" s="59" t="s">
        <v>344</v>
      </c>
      <c r="I82" s="59">
        <v>13</v>
      </c>
      <c r="J82" s="61">
        <v>2.1843749999999999E-2</v>
      </c>
      <c r="K82" s="61">
        <v>1.8506944444444445E-3</v>
      </c>
      <c r="L82" s="61">
        <v>5.3104166666666668E-2</v>
      </c>
      <c r="M82" s="61">
        <v>5.2430555555555553E-4</v>
      </c>
      <c r="N82" s="61">
        <v>3.8410879629629628E-2</v>
      </c>
      <c r="O82" s="61">
        <v>0.11573611111111111</v>
      </c>
      <c r="P82" s="59" t="s">
        <v>1166</v>
      </c>
      <c r="Q82" s="8">
        <f t="shared" si="2"/>
        <v>701</v>
      </c>
      <c r="R82" s="14"/>
    </row>
    <row r="83" spans="1:18">
      <c r="A83" s="59">
        <v>82</v>
      </c>
      <c r="B83" s="59">
        <v>11</v>
      </c>
      <c r="C83" s="60" t="s">
        <v>135</v>
      </c>
      <c r="D83" s="59" t="s">
        <v>1167</v>
      </c>
      <c r="E83" s="59" t="s">
        <v>1168</v>
      </c>
      <c r="F83" s="59" t="s">
        <v>1169</v>
      </c>
      <c r="G83" s="59" t="s">
        <v>340</v>
      </c>
      <c r="H83" s="59" t="s">
        <v>344</v>
      </c>
      <c r="I83" s="59">
        <v>14</v>
      </c>
      <c r="J83" s="61">
        <v>2.5689814814814815E-2</v>
      </c>
      <c r="K83" s="61">
        <v>2.3113425925925923E-3</v>
      </c>
      <c r="L83" s="61">
        <v>5.2300925925925931E-2</v>
      </c>
      <c r="M83" s="61">
        <v>1.0208333333333334E-3</v>
      </c>
      <c r="N83" s="61">
        <v>3.5033564814814816E-2</v>
      </c>
      <c r="O83" s="61">
        <v>0.11635995370370371</v>
      </c>
      <c r="P83" s="59" t="s">
        <v>1170</v>
      </c>
      <c r="Q83" s="8">
        <f t="shared" si="2"/>
        <v>698</v>
      </c>
      <c r="R83" s="14"/>
    </row>
    <row r="84" spans="1:18">
      <c r="A84" s="59">
        <v>83</v>
      </c>
      <c r="B84" s="59">
        <v>99</v>
      </c>
      <c r="C84" s="60" t="s">
        <v>135</v>
      </c>
      <c r="D84" s="59" t="s">
        <v>888</v>
      </c>
      <c r="E84" s="59" t="s">
        <v>889</v>
      </c>
      <c r="F84" s="59" t="s">
        <v>890</v>
      </c>
      <c r="G84" s="59" t="s">
        <v>340</v>
      </c>
      <c r="H84" s="59" t="s">
        <v>341</v>
      </c>
      <c r="I84" s="59">
        <v>12</v>
      </c>
      <c r="J84" s="61">
        <v>2.3208333333333334E-2</v>
      </c>
      <c r="K84" s="61">
        <v>2.1423611111111109E-3</v>
      </c>
      <c r="L84" s="61">
        <v>5.3913194444444451E-2</v>
      </c>
      <c r="M84" s="61">
        <v>1.2430555555555556E-3</v>
      </c>
      <c r="N84" s="61">
        <v>3.6079861111111111E-2</v>
      </c>
      <c r="O84" s="61">
        <v>0.11659027777777778</v>
      </c>
      <c r="P84" s="59" t="s">
        <v>1171</v>
      </c>
      <c r="Q84" s="8">
        <f t="shared" si="2"/>
        <v>696</v>
      </c>
      <c r="R84" s="14"/>
    </row>
    <row r="85" spans="1:18">
      <c r="A85" s="59">
        <v>84</v>
      </c>
      <c r="B85" s="59">
        <v>97</v>
      </c>
      <c r="C85" s="60" t="s">
        <v>135</v>
      </c>
      <c r="D85" s="59" t="s">
        <v>908</v>
      </c>
      <c r="E85" s="59" t="s">
        <v>909</v>
      </c>
      <c r="F85" s="59" t="s">
        <v>173</v>
      </c>
      <c r="G85" s="59" t="s">
        <v>340</v>
      </c>
      <c r="H85" s="59" t="s">
        <v>357</v>
      </c>
      <c r="I85" s="59">
        <v>8</v>
      </c>
      <c r="J85" s="61">
        <v>2.2300925925925925E-2</v>
      </c>
      <c r="K85" s="61">
        <v>1.4675925925925926E-3</v>
      </c>
      <c r="L85" s="61">
        <v>5.7365740740740738E-2</v>
      </c>
      <c r="M85" s="61">
        <v>9.9884259259259262E-4</v>
      </c>
      <c r="N85" s="61">
        <v>3.4866898148148147E-2</v>
      </c>
      <c r="O85" s="61">
        <v>0.11700231481481481</v>
      </c>
      <c r="P85" s="59" t="s">
        <v>1172</v>
      </c>
      <c r="Q85" s="8">
        <f t="shared" si="2"/>
        <v>694</v>
      </c>
      <c r="R85" s="14"/>
    </row>
    <row r="86" spans="1:18">
      <c r="A86" s="59">
        <v>85</v>
      </c>
      <c r="B86" s="59">
        <v>23</v>
      </c>
      <c r="C86" s="60" t="s">
        <v>135</v>
      </c>
      <c r="D86" s="59" t="s">
        <v>308</v>
      </c>
      <c r="E86" s="59" t="s">
        <v>309</v>
      </c>
      <c r="F86" s="59"/>
      <c r="G86" s="59" t="s">
        <v>340</v>
      </c>
      <c r="H86" s="59" t="s">
        <v>420</v>
      </c>
      <c r="I86" s="59">
        <v>6</v>
      </c>
      <c r="J86" s="61">
        <v>2.205787037037037E-2</v>
      </c>
      <c r="K86" s="61">
        <v>1.976851851851852E-3</v>
      </c>
      <c r="L86" s="61">
        <v>5.2842592592592594E-2</v>
      </c>
      <c r="M86" s="61">
        <v>9.0162037037037044E-4</v>
      </c>
      <c r="N86" s="61">
        <v>3.9520833333333331E-2</v>
      </c>
      <c r="O86" s="61">
        <v>0.11730208333333333</v>
      </c>
      <c r="P86" s="59" t="s">
        <v>1173</v>
      </c>
      <c r="Q86" s="8">
        <f t="shared" si="2"/>
        <v>692</v>
      </c>
      <c r="R86" s="14"/>
    </row>
    <row r="87" spans="1:18">
      <c r="A87" s="59">
        <v>86</v>
      </c>
      <c r="B87" s="59">
        <v>40</v>
      </c>
      <c r="C87" s="60" t="s">
        <v>135</v>
      </c>
      <c r="D87" s="59" t="s">
        <v>526</v>
      </c>
      <c r="E87" s="59" t="s">
        <v>527</v>
      </c>
      <c r="F87" s="59"/>
      <c r="G87" s="59" t="s">
        <v>340</v>
      </c>
      <c r="H87" s="59" t="s">
        <v>341</v>
      </c>
      <c r="I87" s="59">
        <v>13</v>
      </c>
      <c r="J87" s="61">
        <v>2.3900462962962964E-2</v>
      </c>
      <c r="K87" s="61">
        <v>1.3495370370370369E-3</v>
      </c>
      <c r="L87" s="61">
        <v>5.0223379629629632E-2</v>
      </c>
      <c r="M87" s="61">
        <v>4.8379629629629624E-4</v>
      </c>
      <c r="N87" s="61">
        <v>4.1700231481481484E-2</v>
      </c>
      <c r="O87" s="61">
        <v>0.11765972222222221</v>
      </c>
      <c r="P87" s="59" t="s">
        <v>1174</v>
      </c>
      <c r="Q87" s="8">
        <f t="shared" si="2"/>
        <v>690</v>
      </c>
      <c r="R87" s="14"/>
    </row>
    <row r="88" spans="1:18">
      <c r="A88" s="59">
        <v>87</v>
      </c>
      <c r="B88" s="59">
        <v>46</v>
      </c>
      <c r="C88" s="60" t="s">
        <v>135</v>
      </c>
      <c r="D88" s="59" t="s">
        <v>612</v>
      </c>
      <c r="E88" s="59" t="s">
        <v>613</v>
      </c>
      <c r="F88" s="59" t="s">
        <v>138</v>
      </c>
      <c r="G88" s="59" t="s">
        <v>319</v>
      </c>
      <c r="H88" s="59" t="s">
        <v>149</v>
      </c>
      <c r="I88" s="59">
        <v>1</v>
      </c>
      <c r="J88" s="61">
        <v>2.7405092592592595E-2</v>
      </c>
      <c r="K88" s="61">
        <v>2.3981481481481479E-3</v>
      </c>
      <c r="L88" s="61">
        <v>4.7421296296296295E-2</v>
      </c>
      <c r="M88" s="61">
        <v>1.0277777777777778E-3</v>
      </c>
      <c r="N88" s="61">
        <v>3.9990740740740736E-2</v>
      </c>
      <c r="O88" s="61">
        <v>0.11824537037037036</v>
      </c>
      <c r="P88" s="59" t="s">
        <v>1175</v>
      </c>
      <c r="Q88" s="8">
        <f t="shared" si="2"/>
        <v>687</v>
      </c>
      <c r="R88" s="14"/>
    </row>
    <row r="89" spans="1:18">
      <c r="A89" s="59">
        <v>88</v>
      </c>
      <c r="B89" s="59">
        <v>101</v>
      </c>
      <c r="C89" s="60" t="s">
        <v>135</v>
      </c>
      <c r="D89" s="59" t="s">
        <v>1176</v>
      </c>
      <c r="E89" s="59" t="s">
        <v>1177</v>
      </c>
      <c r="F89" s="59" t="s">
        <v>1178</v>
      </c>
      <c r="G89" s="59" t="s">
        <v>340</v>
      </c>
      <c r="H89" s="59" t="s">
        <v>348</v>
      </c>
      <c r="I89" s="59">
        <v>20</v>
      </c>
      <c r="J89" s="61">
        <v>2.736111111111111E-2</v>
      </c>
      <c r="K89" s="61">
        <v>2.0972222222222221E-3</v>
      </c>
      <c r="L89" s="61">
        <v>5.2680555555555557E-2</v>
      </c>
      <c r="M89" s="61">
        <v>1.2175925925925926E-3</v>
      </c>
      <c r="N89" s="61">
        <v>3.5422453703703706E-2</v>
      </c>
      <c r="O89" s="61">
        <v>0.11878125</v>
      </c>
      <c r="P89" s="59" t="s">
        <v>1179</v>
      </c>
      <c r="Q89" s="8">
        <f t="shared" si="2"/>
        <v>683</v>
      </c>
      <c r="R89" s="14"/>
    </row>
    <row r="90" spans="1:18">
      <c r="A90" s="59">
        <v>89</v>
      </c>
      <c r="B90" s="59">
        <v>112</v>
      </c>
      <c r="C90" s="60" t="s">
        <v>135</v>
      </c>
      <c r="D90" s="59" t="s">
        <v>330</v>
      </c>
      <c r="E90" s="59" t="s">
        <v>331</v>
      </c>
      <c r="F90" s="59" t="s">
        <v>173</v>
      </c>
      <c r="G90" s="59" t="s">
        <v>340</v>
      </c>
      <c r="H90" s="59" t="s">
        <v>420</v>
      </c>
      <c r="I90" s="59">
        <v>7</v>
      </c>
      <c r="J90" s="61">
        <v>2.2020833333333333E-2</v>
      </c>
      <c r="K90" s="61">
        <v>1.6446759259259259E-3</v>
      </c>
      <c r="L90" s="61">
        <v>5.2296296296296292E-2</v>
      </c>
      <c r="M90" s="61">
        <v>6.087962962962963E-4</v>
      </c>
      <c r="N90" s="61">
        <v>4.2634259259259261E-2</v>
      </c>
      <c r="O90" s="61">
        <v>0.11920833333333333</v>
      </c>
      <c r="P90" s="59" t="s">
        <v>1180</v>
      </c>
      <c r="Q90" s="8">
        <f t="shared" si="2"/>
        <v>681</v>
      </c>
      <c r="R90" s="14"/>
    </row>
    <row r="91" spans="1:18">
      <c r="A91" s="59">
        <v>90</v>
      </c>
      <c r="B91" s="59">
        <v>94</v>
      </c>
      <c r="C91" s="60" t="s">
        <v>135</v>
      </c>
      <c r="D91" s="59" t="s">
        <v>659</v>
      </c>
      <c r="E91" s="59" t="s">
        <v>660</v>
      </c>
      <c r="F91" s="59" t="s">
        <v>199</v>
      </c>
      <c r="G91" s="59" t="s">
        <v>340</v>
      </c>
      <c r="H91" s="59" t="s">
        <v>344</v>
      </c>
      <c r="I91" s="59">
        <v>15</v>
      </c>
      <c r="J91" s="61">
        <v>2.2862268518518518E-2</v>
      </c>
      <c r="K91" s="61">
        <v>1.8530092592592591E-3</v>
      </c>
      <c r="L91" s="61">
        <v>5.6935185185185186E-2</v>
      </c>
      <c r="M91" s="61">
        <v>8.7268518518518522E-4</v>
      </c>
      <c r="N91" s="61">
        <v>3.6798611111111115E-2</v>
      </c>
      <c r="O91" s="61">
        <v>0.11932291666666667</v>
      </c>
      <c r="P91" s="59" t="s">
        <v>1181</v>
      </c>
      <c r="Q91" s="8">
        <f t="shared" si="2"/>
        <v>680</v>
      </c>
      <c r="R91" s="14"/>
    </row>
    <row r="92" spans="1:18">
      <c r="A92" s="59">
        <v>91</v>
      </c>
      <c r="B92" s="59">
        <v>108</v>
      </c>
      <c r="C92" s="60" t="s">
        <v>135</v>
      </c>
      <c r="D92" s="59" t="s">
        <v>1182</v>
      </c>
      <c r="E92" s="59" t="s">
        <v>1183</v>
      </c>
      <c r="F92" s="59"/>
      <c r="G92" s="59" t="s">
        <v>319</v>
      </c>
      <c r="H92" s="59" t="s">
        <v>154</v>
      </c>
      <c r="I92" s="59">
        <v>3</v>
      </c>
      <c r="J92" s="61">
        <v>2.2689814814814815E-2</v>
      </c>
      <c r="K92" s="61">
        <v>1.7175925925925926E-3</v>
      </c>
      <c r="L92" s="61">
        <v>5.356944444444444E-2</v>
      </c>
      <c r="M92" s="61">
        <v>7.2685185185185179E-4</v>
      </c>
      <c r="N92" s="61">
        <v>4.0679398148148145E-2</v>
      </c>
      <c r="O92" s="61">
        <v>0.11938541666666666</v>
      </c>
      <c r="P92" s="59" t="s">
        <v>1184</v>
      </c>
      <c r="Q92" s="8">
        <f t="shared" si="2"/>
        <v>680</v>
      </c>
      <c r="R92" s="14"/>
    </row>
    <row r="93" spans="1:18">
      <c r="A93" s="59">
        <v>92</v>
      </c>
      <c r="B93" s="59">
        <v>74</v>
      </c>
      <c r="C93" s="60" t="s">
        <v>135</v>
      </c>
      <c r="D93" s="59" t="s">
        <v>1185</v>
      </c>
      <c r="E93" s="59" t="s">
        <v>1186</v>
      </c>
      <c r="F93" s="59"/>
      <c r="G93" s="59" t="s">
        <v>319</v>
      </c>
      <c r="H93" s="59" t="s">
        <v>139</v>
      </c>
      <c r="I93" s="59">
        <v>2</v>
      </c>
      <c r="J93" s="61">
        <v>2.5148148148148149E-2</v>
      </c>
      <c r="K93" s="61">
        <v>1.7939814814814815E-3</v>
      </c>
      <c r="L93" s="61">
        <v>5.5123842592592592E-2</v>
      </c>
      <c r="M93" s="61">
        <v>7.6157407407407402E-4</v>
      </c>
      <c r="N93" s="61">
        <v>3.8856481481481478E-2</v>
      </c>
      <c r="O93" s="61">
        <v>0.1216863425925926</v>
      </c>
      <c r="P93" s="59" t="s">
        <v>1187</v>
      </c>
      <c r="Q93" s="8">
        <f t="shared" si="2"/>
        <v>667</v>
      </c>
      <c r="R93" s="14"/>
    </row>
    <row r="94" spans="1:18" ht="29.1">
      <c r="A94" s="59">
        <v>93</v>
      </c>
      <c r="B94" s="59">
        <v>96</v>
      </c>
      <c r="C94" s="60" t="s">
        <v>135</v>
      </c>
      <c r="D94" s="59" t="s">
        <v>1188</v>
      </c>
      <c r="E94" s="59" t="s">
        <v>1189</v>
      </c>
      <c r="F94" s="59"/>
      <c r="G94" s="59" t="s">
        <v>340</v>
      </c>
      <c r="H94" s="59" t="s">
        <v>344</v>
      </c>
      <c r="I94" s="59">
        <v>16</v>
      </c>
      <c r="J94" s="61">
        <v>2.8641203703703703E-2</v>
      </c>
      <c r="K94" s="61">
        <v>2.6585648148148146E-3</v>
      </c>
      <c r="L94" s="61">
        <v>5.3016203703703711E-2</v>
      </c>
      <c r="M94" s="61">
        <v>7.9745370370370376E-4</v>
      </c>
      <c r="N94" s="61">
        <v>3.8163194444444444E-2</v>
      </c>
      <c r="O94" s="61">
        <v>0.12327777777777779</v>
      </c>
      <c r="P94" s="59" t="s">
        <v>1190</v>
      </c>
      <c r="Q94" s="8">
        <f t="shared" si="2"/>
        <v>659</v>
      </c>
      <c r="R94" s="14"/>
    </row>
    <row r="95" spans="1:18" ht="29.1">
      <c r="A95" s="59">
        <v>94</v>
      </c>
      <c r="B95" s="59">
        <v>19</v>
      </c>
      <c r="C95" s="60" t="s">
        <v>135</v>
      </c>
      <c r="D95" s="59" t="s">
        <v>1191</v>
      </c>
      <c r="E95" s="59" t="s">
        <v>1192</v>
      </c>
      <c r="F95" s="59"/>
      <c r="G95" s="59" t="s">
        <v>340</v>
      </c>
      <c r="H95" s="59" t="s">
        <v>352</v>
      </c>
      <c r="I95" s="59">
        <v>12</v>
      </c>
      <c r="J95" s="61">
        <v>2.5008101851851851E-2</v>
      </c>
      <c r="K95" s="61">
        <v>2.2291666666666666E-3</v>
      </c>
      <c r="L95" s="61">
        <v>5.5403935185185181E-2</v>
      </c>
      <c r="M95" s="61">
        <v>7.384259259259259E-4</v>
      </c>
      <c r="N95" s="61">
        <v>4.0311342592592593E-2</v>
      </c>
      <c r="O95" s="61">
        <v>0.12369212962962962</v>
      </c>
      <c r="P95" s="59" t="s">
        <v>1193</v>
      </c>
      <c r="Q95" s="8">
        <f t="shared" si="2"/>
        <v>656</v>
      </c>
      <c r="R95" s="14"/>
    </row>
    <row r="96" spans="1:18" ht="29.1">
      <c r="A96" s="59">
        <v>95</v>
      </c>
      <c r="B96" s="59">
        <v>35</v>
      </c>
      <c r="C96" s="60" t="s">
        <v>135</v>
      </c>
      <c r="D96" s="59" t="s">
        <v>1194</v>
      </c>
      <c r="E96" s="59" t="s">
        <v>1195</v>
      </c>
      <c r="F96" s="59" t="s">
        <v>138</v>
      </c>
      <c r="G96" s="59" t="s">
        <v>319</v>
      </c>
      <c r="H96" s="59" t="s">
        <v>149</v>
      </c>
      <c r="I96" s="59">
        <v>2</v>
      </c>
      <c r="J96" s="61">
        <v>2.3884259259259258E-2</v>
      </c>
      <c r="K96" s="61">
        <v>2.4733796296296296E-3</v>
      </c>
      <c r="L96" s="61">
        <v>5.6055555555555553E-2</v>
      </c>
      <c r="M96" s="61">
        <v>1.4537037037037036E-3</v>
      </c>
      <c r="N96" s="61">
        <v>4.5548611111111109E-2</v>
      </c>
      <c r="O96" s="61">
        <v>0.12941782407407409</v>
      </c>
      <c r="P96" s="59" t="s">
        <v>1196</v>
      </c>
      <c r="Q96" s="8">
        <f t="shared" si="2"/>
        <v>627</v>
      </c>
      <c r="R96" s="14"/>
    </row>
    <row r="97" spans="1:18" ht="29.1">
      <c r="A97" s="59">
        <v>96</v>
      </c>
      <c r="B97" s="59">
        <v>65</v>
      </c>
      <c r="C97" s="60" t="s">
        <v>135</v>
      </c>
      <c r="D97" s="59" t="s">
        <v>327</v>
      </c>
      <c r="E97" s="59" t="s">
        <v>328</v>
      </c>
      <c r="F97" s="59"/>
      <c r="G97" s="59" t="s">
        <v>340</v>
      </c>
      <c r="H97" s="59" t="s">
        <v>348</v>
      </c>
      <c r="I97" s="59">
        <v>21</v>
      </c>
      <c r="J97" s="61">
        <v>2.5249999999999998E-2</v>
      </c>
      <c r="K97" s="61">
        <v>1.9131944444444446E-3</v>
      </c>
      <c r="L97" s="61">
        <v>6.0658564814814811E-2</v>
      </c>
      <c r="M97" s="61">
        <v>9.0856481481481485E-4</v>
      </c>
      <c r="N97" s="61">
        <v>4.1366898148148146E-2</v>
      </c>
      <c r="O97" s="61">
        <v>0.13009953703703703</v>
      </c>
      <c r="P97" s="59" t="s">
        <v>1197</v>
      </c>
      <c r="Q97" s="8">
        <f t="shared" si="2"/>
        <v>624</v>
      </c>
      <c r="R97" s="14"/>
    </row>
    <row r="98" spans="1:18" ht="29.1">
      <c r="A98" s="59">
        <v>97</v>
      </c>
      <c r="B98" s="59">
        <v>8</v>
      </c>
      <c r="C98" s="60" t="s">
        <v>135</v>
      </c>
      <c r="D98" s="59" t="s">
        <v>671</v>
      </c>
      <c r="E98" s="59" t="s">
        <v>672</v>
      </c>
      <c r="F98" s="59" t="s">
        <v>199</v>
      </c>
      <c r="G98" s="59" t="s">
        <v>319</v>
      </c>
      <c r="H98" s="59" t="s">
        <v>139</v>
      </c>
      <c r="I98" s="59">
        <v>3</v>
      </c>
      <c r="J98" s="61">
        <v>2.3521990740740739E-2</v>
      </c>
      <c r="K98" s="61">
        <v>2.2106481481481482E-3</v>
      </c>
      <c r="L98" s="61">
        <v>6.5896990740740735E-2</v>
      </c>
      <c r="M98" s="61">
        <v>6.6550925925925924E-4</v>
      </c>
      <c r="N98" s="61">
        <v>4.4289351851851851E-2</v>
      </c>
      <c r="O98" s="61">
        <v>0.13658796296296297</v>
      </c>
      <c r="P98" s="59" t="s">
        <v>1198</v>
      </c>
      <c r="Q98" s="8">
        <f t="shared" si="2"/>
        <v>594</v>
      </c>
      <c r="R98" s="14"/>
    </row>
    <row r="99" spans="1:18" ht="29.1">
      <c r="A99" s="59">
        <v>98</v>
      </c>
      <c r="B99" s="59">
        <v>77</v>
      </c>
      <c r="C99" s="60" t="s">
        <v>135</v>
      </c>
      <c r="D99" s="59" t="s">
        <v>1199</v>
      </c>
      <c r="E99" s="59" t="s">
        <v>1200</v>
      </c>
      <c r="F99" s="59" t="s">
        <v>173</v>
      </c>
      <c r="G99" s="59" t="s">
        <v>319</v>
      </c>
      <c r="H99" s="59" t="s">
        <v>242</v>
      </c>
      <c r="I99" s="59">
        <v>1</v>
      </c>
      <c r="J99" s="61">
        <v>2.927662037037037E-2</v>
      </c>
      <c r="K99" s="61">
        <v>2.3703703703703703E-3</v>
      </c>
      <c r="L99" s="61">
        <v>6.1283564814814812E-2</v>
      </c>
      <c r="M99" s="61">
        <v>9.3634259259259267E-4</v>
      </c>
      <c r="N99" s="61">
        <v>4.3353009259259258E-2</v>
      </c>
      <c r="O99" s="61">
        <v>0.13722222222222222</v>
      </c>
      <c r="P99" s="59" t="s">
        <v>1201</v>
      </c>
      <c r="Q99" s="8">
        <f t="shared" si="2"/>
        <v>592</v>
      </c>
      <c r="R99" s="14"/>
    </row>
    <row r="100" spans="1:18" ht="29.1">
      <c r="A100" s="59">
        <v>99</v>
      </c>
      <c r="B100" s="59">
        <v>36</v>
      </c>
      <c r="C100" s="60" t="s">
        <v>135</v>
      </c>
      <c r="D100" s="59" t="s">
        <v>680</v>
      </c>
      <c r="E100" s="59" t="s">
        <v>681</v>
      </c>
      <c r="F100" s="59" t="s">
        <v>199</v>
      </c>
      <c r="G100" s="59" t="s">
        <v>319</v>
      </c>
      <c r="H100" s="59" t="s">
        <v>139</v>
      </c>
      <c r="I100" s="59">
        <v>4</v>
      </c>
      <c r="J100" s="61">
        <v>3.20787037037037E-2</v>
      </c>
      <c r="K100" s="61">
        <v>2.902777777777778E-3</v>
      </c>
      <c r="L100" s="61">
        <v>6.0603009259259266E-2</v>
      </c>
      <c r="M100" s="61">
        <v>1.0462962962962963E-3</v>
      </c>
      <c r="N100" s="61">
        <v>4.0946759259259259E-2</v>
      </c>
      <c r="O100" s="61">
        <v>0.13757986111111112</v>
      </c>
      <c r="P100" s="59" t="s">
        <v>1202</v>
      </c>
      <c r="Q100" s="8">
        <f t="shared" si="2"/>
        <v>590</v>
      </c>
      <c r="R100" s="14"/>
    </row>
    <row r="101" spans="1:18" ht="29.1">
      <c r="A101" s="59">
        <v>100</v>
      </c>
      <c r="B101" s="59">
        <v>72</v>
      </c>
      <c r="C101" s="60" t="s">
        <v>135</v>
      </c>
      <c r="D101" s="59" t="s">
        <v>1203</v>
      </c>
      <c r="E101" s="59" t="s">
        <v>1204</v>
      </c>
      <c r="F101" s="59"/>
      <c r="G101" s="59" t="s">
        <v>340</v>
      </c>
      <c r="H101" s="59" t="s">
        <v>448</v>
      </c>
      <c r="I101" s="59">
        <v>3</v>
      </c>
      <c r="J101" s="61">
        <v>3.0862268518518518E-2</v>
      </c>
      <c r="K101" s="61">
        <v>2.232638888888889E-3</v>
      </c>
      <c r="L101" s="61">
        <v>6.1113425925925925E-2</v>
      </c>
      <c r="M101" s="61">
        <v>3.2175925925925926E-4</v>
      </c>
      <c r="N101" s="61">
        <v>4.556018518518519E-2</v>
      </c>
      <c r="O101" s="61">
        <v>0.14009375000000002</v>
      </c>
      <c r="P101" s="59" t="s">
        <v>1205</v>
      </c>
      <c r="Q101" s="8">
        <f t="shared" si="2"/>
        <v>579</v>
      </c>
      <c r="R101" s="14"/>
    </row>
    <row r="102" spans="1:18" ht="29.1">
      <c r="A102" s="59">
        <v>101</v>
      </c>
      <c r="B102" s="59">
        <v>61</v>
      </c>
      <c r="C102" s="60" t="s">
        <v>135</v>
      </c>
      <c r="D102" s="59" t="s">
        <v>1206</v>
      </c>
      <c r="E102" s="59" t="s">
        <v>1207</v>
      </c>
      <c r="F102" s="59"/>
      <c r="G102" s="59" t="s">
        <v>340</v>
      </c>
      <c r="H102" s="59" t="s">
        <v>344</v>
      </c>
      <c r="I102" s="59">
        <v>17</v>
      </c>
      <c r="J102" s="61">
        <v>3.4136574074074076E-2</v>
      </c>
      <c r="K102" s="61">
        <v>3.9212962962962969E-3</v>
      </c>
      <c r="L102" s="61">
        <v>5.7850694444444448E-2</v>
      </c>
      <c r="M102" s="61">
        <v>1.5127314814814814E-3</v>
      </c>
      <c r="N102" s="61">
        <v>4.533101851851852E-2</v>
      </c>
      <c r="O102" s="61">
        <v>0.14275462962962962</v>
      </c>
      <c r="P102" s="59" t="s">
        <v>1208</v>
      </c>
      <c r="Q102" s="8">
        <f t="shared" si="2"/>
        <v>569</v>
      </c>
      <c r="R102" s="14"/>
    </row>
    <row r="103" spans="1:18" ht="29.1">
      <c r="A103" s="59">
        <v>102</v>
      </c>
      <c r="B103" s="59">
        <v>83</v>
      </c>
      <c r="C103" s="60" t="s">
        <v>135</v>
      </c>
      <c r="D103" s="59" t="s">
        <v>1209</v>
      </c>
      <c r="E103" s="59" t="s">
        <v>1210</v>
      </c>
      <c r="F103" s="59"/>
      <c r="G103" s="59" t="s">
        <v>340</v>
      </c>
      <c r="H103" s="59" t="s">
        <v>344</v>
      </c>
      <c r="I103" s="59">
        <v>18</v>
      </c>
      <c r="J103" s="61">
        <v>3.3053240740740744E-2</v>
      </c>
      <c r="K103" s="61">
        <v>3.2754629629629631E-3</v>
      </c>
      <c r="L103" s="61">
        <v>6.6413194444444448E-2</v>
      </c>
      <c r="M103" s="61">
        <v>1.2013888888888888E-3</v>
      </c>
      <c r="N103" s="61">
        <v>0.05</v>
      </c>
      <c r="O103" s="61">
        <v>0.15394444444444444</v>
      </c>
      <c r="P103" s="59" t="s">
        <v>1211</v>
      </c>
      <c r="Q103" s="8">
        <f t="shared" si="2"/>
        <v>527</v>
      </c>
      <c r="R103" s="14"/>
    </row>
    <row r="104" spans="1:18" ht="29.1">
      <c r="A104" s="59" t="s">
        <v>683</v>
      </c>
      <c r="B104" s="59">
        <v>53</v>
      </c>
      <c r="C104" s="60" t="s">
        <v>135</v>
      </c>
      <c r="D104" s="59" t="s">
        <v>1212</v>
      </c>
      <c r="E104" s="59" t="s">
        <v>1213</v>
      </c>
      <c r="F104" s="59"/>
      <c r="G104" s="59" t="s">
        <v>340</v>
      </c>
      <c r="H104" s="59" t="s">
        <v>352</v>
      </c>
      <c r="I104" s="59"/>
      <c r="J104" s="61">
        <v>2.9315972222222222E-2</v>
      </c>
      <c r="K104" s="61">
        <v>2.5532407407407405E-3</v>
      </c>
      <c r="L104" s="59"/>
      <c r="M104" s="59"/>
      <c r="N104" s="59"/>
      <c r="O104" s="59" t="s">
        <v>686</v>
      </c>
      <c r="P104" s="59"/>
      <c r="Q104" s="8">
        <f t="shared" si="2"/>
        <v>0</v>
      </c>
      <c r="R104" s="14"/>
    </row>
    <row r="105" spans="1:18" ht="29.1">
      <c r="A105" s="59" t="s">
        <v>683</v>
      </c>
      <c r="B105" s="59">
        <v>85</v>
      </c>
      <c r="C105" s="60" t="s">
        <v>135</v>
      </c>
      <c r="D105" s="59" t="s">
        <v>1214</v>
      </c>
      <c r="E105" s="59" t="s">
        <v>1215</v>
      </c>
      <c r="F105" s="59"/>
      <c r="G105" s="59" t="s">
        <v>340</v>
      </c>
      <c r="H105" s="59" t="s">
        <v>448</v>
      </c>
      <c r="I105" s="59"/>
      <c r="J105" s="59"/>
      <c r="K105" s="59"/>
      <c r="L105" s="61">
        <v>5.7148148148148149E-2</v>
      </c>
      <c r="M105" s="61">
        <v>9.710648148148149E-4</v>
      </c>
      <c r="N105" s="59"/>
      <c r="O105" s="59" t="s">
        <v>1216</v>
      </c>
      <c r="P105" s="59"/>
      <c r="Q105" s="8">
        <f t="shared" si="2"/>
        <v>0</v>
      </c>
      <c r="R105" s="14"/>
    </row>
    <row r="106" spans="1:18">
      <c r="A106" s="59"/>
      <c r="B106" s="59"/>
      <c r="C106" s="60"/>
      <c r="D106" s="59"/>
      <c r="E106" s="59"/>
      <c r="F106" s="59"/>
      <c r="G106" s="59"/>
      <c r="H106" s="59"/>
      <c r="I106" s="59"/>
      <c r="J106" s="59"/>
      <c r="K106" s="59"/>
      <c r="L106" s="61"/>
      <c r="M106" s="61"/>
      <c r="N106" s="59"/>
      <c r="O106" s="59"/>
      <c r="P106" s="59"/>
      <c r="Q106" s="8"/>
      <c r="R106" s="14"/>
    </row>
    <row r="107" spans="1:18">
      <c r="A107" s="59">
        <v>1</v>
      </c>
      <c r="B107" s="59">
        <v>218</v>
      </c>
      <c r="C107" s="60" t="s">
        <v>135</v>
      </c>
      <c r="D107" s="59" t="s">
        <v>704</v>
      </c>
      <c r="E107" s="59" t="s">
        <v>705</v>
      </c>
      <c r="F107" s="59" t="s">
        <v>706</v>
      </c>
      <c r="G107" s="59" t="s">
        <v>340</v>
      </c>
      <c r="H107" s="59" t="s">
        <v>352</v>
      </c>
      <c r="I107" s="59"/>
      <c r="J107" s="61">
        <v>9.0324074074074074E-3</v>
      </c>
      <c r="K107" s="61">
        <v>1.3275462962962963E-3</v>
      </c>
      <c r="L107" s="61">
        <v>2.2826388888888889E-2</v>
      </c>
      <c r="M107" s="61">
        <v>3.5069444444444444E-4</v>
      </c>
      <c r="N107" s="61">
        <v>1.1572916666666667E-2</v>
      </c>
      <c r="O107" s="61">
        <v>4.5109953703703701E-2</v>
      </c>
      <c r="P107" s="59"/>
      <c r="Q107" s="8">
        <f>IFERROR(ROUND($O$107/O107*900,0),0)</f>
        <v>900</v>
      </c>
      <c r="R107" s="14"/>
    </row>
    <row r="108" spans="1:18">
      <c r="A108" s="59">
        <v>2</v>
      </c>
      <c r="B108" s="59">
        <v>194</v>
      </c>
      <c r="C108" s="60" t="s">
        <v>135</v>
      </c>
      <c r="D108" s="59" t="s">
        <v>197</v>
      </c>
      <c r="E108" s="59" t="s">
        <v>198</v>
      </c>
      <c r="F108" s="59" t="s">
        <v>199</v>
      </c>
      <c r="G108" s="59" t="s">
        <v>340</v>
      </c>
      <c r="H108" s="59" t="s">
        <v>348</v>
      </c>
      <c r="I108" s="59"/>
      <c r="J108" s="61">
        <v>9.5509259259259262E-3</v>
      </c>
      <c r="K108" s="61">
        <v>7.1643518518518519E-4</v>
      </c>
      <c r="L108" s="61">
        <v>2.1114583333333332E-2</v>
      </c>
      <c r="M108" s="61">
        <v>5.3124999999999993E-4</v>
      </c>
      <c r="N108" s="61">
        <v>1.3600694444444443E-2</v>
      </c>
      <c r="O108" s="61">
        <v>4.5516203703703705E-2</v>
      </c>
      <c r="P108" s="59">
        <v>35.1</v>
      </c>
      <c r="Q108" s="8">
        <f>IFERROR(ROUND($O$107/O108*900,0),0)</f>
        <v>892</v>
      </c>
      <c r="R108" s="14"/>
    </row>
    <row r="109" spans="1:18" ht="29.1">
      <c r="A109" s="59">
        <v>3</v>
      </c>
      <c r="B109" s="59">
        <v>200</v>
      </c>
      <c r="C109" s="60" t="s">
        <v>135</v>
      </c>
      <c r="D109" s="59" t="s">
        <v>156</v>
      </c>
      <c r="E109" s="59" t="s">
        <v>157</v>
      </c>
      <c r="F109" s="59" t="s">
        <v>1217</v>
      </c>
      <c r="G109" s="59" t="s">
        <v>340</v>
      </c>
      <c r="H109" s="59" t="s">
        <v>352</v>
      </c>
      <c r="I109" s="59"/>
      <c r="J109" s="61">
        <v>8.8738425925925929E-3</v>
      </c>
      <c r="K109" s="61">
        <v>7.349537037037037E-4</v>
      </c>
      <c r="L109" s="61">
        <v>2.2577546296296297E-2</v>
      </c>
      <c r="M109" s="61">
        <v>5.1620370370370372E-4</v>
      </c>
      <c r="N109" s="61">
        <v>1.2945601851851852E-2</v>
      </c>
      <c r="O109" s="61">
        <v>4.565162037037037E-2</v>
      </c>
      <c r="P109" s="59">
        <v>46.8</v>
      </c>
      <c r="Q109" s="8">
        <f t="shared" ref="Q109:Q172" si="3">IFERROR(ROUND($O$107/O109*900,0),0)</f>
        <v>889</v>
      </c>
      <c r="R109" s="14"/>
    </row>
    <row r="110" spans="1:18">
      <c r="A110" s="59">
        <v>4</v>
      </c>
      <c r="B110" s="59">
        <v>186</v>
      </c>
      <c r="C110" s="60" t="s">
        <v>135</v>
      </c>
      <c r="D110" s="59" t="s">
        <v>701</v>
      </c>
      <c r="E110" s="59" t="s">
        <v>702</v>
      </c>
      <c r="F110" s="59" t="s">
        <v>199</v>
      </c>
      <c r="G110" s="59" t="s">
        <v>340</v>
      </c>
      <c r="H110" s="59" t="s">
        <v>344</v>
      </c>
      <c r="I110" s="59">
        <v>1</v>
      </c>
      <c r="J110" s="61">
        <v>8.2812500000000004E-3</v>
      </c>
      <c r="K110" s="61">
        <v>1.1863425925925926E-3</v>
      </c>
      <c r="L110" s="61">
        <v>2.2636574074074073E-2</v>
      </c>
      <c r="M110" s="61">
        <v>3.2175925925925926E-4</v>
      </c>
      <c r="N110" s="61">
        <v>1.3349537037037038E-2</v>
      </c>
      <c r="O110" s="61">
        <v>4.5777777777777778E-2</v>
      </c>
      <c r="P110" s="59">
        <v>57.7</v>
      </c>
      <c r="Q110" s="8">
        <f t="shared" si="3"/>
        <v>887</v>
      </c>
      <c r="R110" s="14"/>
    </row>
    <row r="111" spans="1:18">
      <c r="A111" s="59">
        <v>5</v>
      </c>
      <c r="B111" s="59">
        <v>223</v>
      </c>
      <c r="C111" s="60" t="s">
        <v>135</v>
      </c>
      <c r="D111" s="59" t="s">
        <v>711</v>
      </c>
      <c r="E111" s="59" t="s">
        <v>712</v>
      </c>
      <c r="F111" s="59" t="s">
        <v>713</v>
      </c>
      <c r="G111" s="59" t="s">
        <v>340</v>
      </c>
      <c r="H111" s="59" t="s">
        <v>341</v>
      </c>
      <c r="I111" s="59">
        <v>1</v>
      </c>
      <c r="J111" s="61">
        <v>9.7291666666666672E-3</v>
      </c>
      <c r="K111" s="61">
        <v>9.7222222222222219E-4</v>
      </c>
      <c r="L111" s="61">
        <v>2.1185185185185185E-2</v>
      </c>
      <c r="M111" s="61">
        <v>3.9004629629629632E-4</v>
      </c>
      <c r="N111" s="61">
        <v>1.4710648148148148E-2</v>
      </c>
      <c r="O111" s="61">
        <v>4.6990740740740743E-2</v>
      </c>
      <c r="P111" s="59" t="s">
        <v>1218</v>
      </c>
      <c r="Q111" s="8">
        <f t="shared" si="3"/>
        <v>864</v>
      </c>
      <c r="R111" s="14"/>
    </row>
    <row r="112" spans="1:18">
      <c r="A112" s="59">
        <v>6</v>
      </c>
      <c r="B112" s="59">
        <v>172</v>
      </c>
      <c r="C112" s="60" t="s">
        <v>135</v>
      </c>
      <c r="D112" s="59" t="s">
        <v>708</v>
      </c>
      <c r="E112" s="59" t="s">
        <v>709</v>
      </c>
      <c r="F112" s="59" t="s">
        <v>138</v>
      </c>
      <c r="G112" s="59" t="s">
        <v>340</v>
      </c>
      <c r="H112" s="59" t="s">
        <v>420</v>
      </c>
      <c r="I112" s="59">
        <v>1</v>
      </c>
      <c r="J112" s="61">
        <v>8.2071759259259268E-3</v>
      </c>
      <c r="K112" s="61">
        <v>9.9884259259259262E-4</v>
      </c>
      <c r="L112" s="61">
        <v>2.3251157407407408E-2</v>
      </c>
      <c r="M112" s="61">
        <v>4.0856481481481478E-4</v>
      </c>
      <c r="N112" s="61">
        <v>1.4125E-2</v>
      </c>
      <c r="O112" s="61">
        <v>4.6991898148148144E-2</v>
      </c>
      <c r="P112" s="59" t="s">
        <v>1219</v>
      </c>
      <c r="Q112" s="8">
        <f t="shared" si="3"/>
        <v>864</v>
      </c>
      <c r="R112" s="14"/>
    </row>
    <row r="113" spans="1:18">
      <c r="A113" s="59">
        <v>7</v>
      </c>
      <c r="B113" s="59">
        <v>163</v>
      </c>
      <c r="C113" s="60" t="s">
        <v>135</v>
      </c>
      <c r="D113" s="59" t="s">
        <v>721</v>
      </c>
      <c r="E113" s="59" t="s">
        <v>722</v>
      </c>
      <c r="F113" s="59" t="s">
        <v>199</v>
      </c>
      <c r="G113" s="59" t="s">
        <v>340</v>
      </c>
      <c r="H113" s="59" t="s">
        <v>352</v>
      </c>
      <c r="I113" s="59">
        <v>1</v>
      </c>
      <c r="J113" s="61">
        <v>7.9490740740740737E-3</v>
      </c>
      <c r="K113" s="61">
        <v>1.1967592592592594E-3</v>
      </c>
      <c r="L113" s="61">
        <v>2.3325231481481482E-2</v>
      </c>
      <c r="M113" s="61">
        <v>2.8356481481481483E-4</v>
      </c>
      <c r="N113" s="61">
        <v>1.4840277777777779E-2</v>
      </c>
      <c r="O113" s="61">
        <v>4.759606481481482E-2</v>
      </c>
      <c r="P113" s="59" t="s">
        <v>1220</v>
      </c>
      <c r="Q113" s="8">
        <f t="shared" si="3"/>
        <v>853</v>
      </c>
      <c r="R113" s="14"/>
    </row>
    <row r="114" spans="1:18" ht="29.1">
      <c r="A114" s="59">
        <v>8</v>
      </c>
      <c r="B114" s="59">
        <v>175</v>
      </c>
      <c r="C114" s="60" t="s">
        <v>135</v>
      </c>
      <c r="D114" s="59" t="s">
        <v>178</v>
      </c>
      <c r="E114" s="59" t="s">
        <v>179</v>
      </c>
      <c r="F114" s="59" t="s">
        <v>1217</v>
      </c>
      <c r="G114" s="59" t="s">
        <v>340</v>
      </c>
      <c r="H114" s="59" t="s">
        <v>344</v>
      </c>
      <c r="I114" s="59">
        <v>2</v>
      </c>
      <c r="J114" s="61">
        <v>8.261574074074074E-3</v>
      </c>
      <c r="K114" s="61">
        <v>7.9629629629629625E-4</v>
      </c>
      <c r="L114" s="61">
        <v>2.5109953703703704E-2</v>
      </c>
      <c r="M114" s="61">
        <v>3.5763888888888889E-4</v>
      </c>
      <c r="N114" s="61">
        <v>1.393402777777778E-2</v>
      </c>
      <c r="O114" s="61">
        <v>4.8461805555555557E-2</v>
      </c>
      <c r="P114" s="59" t="s">
        <v>1221</v>
      </c>
      <c r="Q114" s="8">
        <f t="shared" si="3"/>
        <v>838</v>
      </c>
      <c r="R114" s="14"/>
    </row>
    <row r="115" spans="1:18">
      <c r="A115" s="59">
        <v>9</v>
      </c>
      <c r="B115" s="59">
        <v>220</v>
      </c>
      <c r="C115" s="60" t="s">
        <v>135</v>
      </c>
      <c r="D115" s="59" t="s">
        <v>739</v>
      </c>
      <c r="E115" s="59" t="s">
        <v>740</v>
      </c>
      <c r="F115" s="59"/>
      <c r="G115" s="59" t="s">
        <v>340</v>
      </c>
      <c r="H115" s="59" t="s">
        <v>344</v>
      </c>
      <c r="I115" s="59">
        <v>3</v>
      </c>
      <c r="J115" s="61">
        <v>9.7071759259259264E-3</v>
      </c>
      <c r="K115" s="61">
        <v>9.2013888888888885E-4</v>
      </c>
      <c r="L115" s="61">
        <v>2.3178240740740739E-2</v>
      </c>
      <c r="M115" s="61">
        <v>3.9583333333333338E-4</v>
      </c>
      <c r="N115" s="61">
        <v>1.4712962962962964E-2</v>
      </c>
      <c r="O115" s="61">
        <v>4.8916666666666664E-2</v>
      </c>
      <c r="P115" s="59" t="s">
        <v>1222</v>
      </c>
      <c r="Q115" s="8">
        <f t="shared" si="3"/>
        <v>830</v>
      </c>
      <c r="R115" s="14"/>
    </row>
    <row r="116" spans="1:18">
      <c r="A116" s="59">
        <v>10</v>
      </c>
      <c r="B116" s="59">
        <v>212</v>
      </c>
      <c r="C116" s="60" t="s">
        <v>135</v>
      </c>
      <c r="D116" s="59" t="s">
        <v>205</v>
      </c>
      <c r="E116" s="59" t="s">
        <v>206</v>
      </c>
      <c r="F116" s="59" t="s">
        <v>1223</v>
      </c>
      <c r="G116" s="59" t="s">
        <v>340</v>
      </c>
      <c r="H116" s="59" t="s">
        <v>348</v>
      </c>
      <c r="I116" s="59">
        <v>1</v>
      </c>
      <c r="J116" s="61">
        <v>1.0094907407407408E-2</v>
      </c>
      <c r="K116" s="61">
        <v>1.0231481481481482E-3</v>
      </c>
      <c r="L116" s="61">
        <v>2.3960648148148148E-2</v>
      </c>
      <c r="M116" s="61">
        <v>4.6296296296296298E-4</v>
      </c>
      <c r="N116" s="61">
        <v>1.3747685185185184E-2</v>
      </c>
      <c r="O116" s="61">
        <v>4.9292824074074072E-2</v>
      </c>
      <c r="P116" s="59" t="s">
        <v>1224</v>
      </c>
      <c r="Q116" s="8">
        <f t="shared" si="3"/>
        <v>824</v>
      </c>
      <c r="R116" s="14"/>
    </row>
    <row r="117" spans="1:18">
      <c r="A117" s="59">
        <v>11</v>
      </c>
      <c r="B117" s="59">
        <v>222</v>
      </c>
      <c r="C117" s="60" t="s">
        <v>135</v>
      </c>
      <c r="D117" s="59" t="s">
        <v>1225</v>
      </c>
      <c r="E117" s="59" t="s">
        <v>1226</v>
      </c>
      <c r="F117" s="59"/>
      <c r="G117" s="59" t="s">
        <v>340</v>
      </c>
      <c r="H117" s="59" t="s">
        <v>348</v>
      </c>
      <c r="I117" s="59">
        <v>2</v>
      </c>
      <c r="J117" s="61">
        <v>9.990740740740741E-3</v>
      </c>
      <c r="K117" s="61">
        <v>1.1111111111111111E-3</v>
      </c>
      <c r="L117" s="61">
        <v>2.4105324074074071E-2</v>
      </c>
      <c r="M117" s="61">
        <v>4.3865740740740741E-4</v>
      </c>
      <c r="N117" s="61">
        <v>1.3726851851851851E-2</v>
      </c>
      <c r="O117" s="61">
        <v>4.937615740740741E-2</v>
      </c>
      <c r="P117" s="59" t="s">
        <v>1227</v>
      </c>
      <c r="Q117" s="8">
        <f t="shared" si="3"/>
        <v>822</v>
      </c>
      <c r="R117" s="14"/>
    </row>
    <row r="118" spans="1:18">
      <c r="A118" s="59">
        <v>12</v>
      </c>
      <c r="B118" s="59">
        <v>209</v>
      </c>
      <c r="C118" s="60" t="s">
        <v>135</v>
      </c>
      <c r="D118" s="59" t="s">
        <v>217</v>
      </c>
      <c r="E118" s="59" t="s">
        <v>218</v>
      </c>
      <c r="F118" s="59" t="s">
        <v>219</v>
      </c>
      <c r="G118" s="59" t="s">
        <v>340</v>
      </c>
      <c r="H118" s="59" t="s">
        <v>344</v>
      </c>
      <c r="I118" s="59">
        <v>4</v>
      </c>
      <c r="J118" s="61">
        <v>1.0313657407407409E-2</v>
      </c>
      <c r="K118" s="61">
        <v>1.2465277777777778E-3</v>
      </c>
      <c r="L118" s="61">
        <v>2.3700231481481482E-2</v>
      </c>
      <c r="M118" s="61">
        <v>3.6574074074074075E-4</v>
      </c>
      <c r="N118" s="61">
        <v>1.4012731481481482E-2</v>
      </c>
      <c r="O118" s="61">
        <v>4.9641203703703701E-2</v>
      </c>
      <c r="P118" s="59" t="s">
        <v>1228</v>
      </c>
      <c r="Q118" s="8">
        <f t="shared" si="3"/>
        <v>818</v>
      </c>
      <c r="R118" s="14"/>
    </row>
    <row r="119" spans="1:18">
      <c r="A119" s="59">
        <v>13</v>
      </c>
      <c r="B119" s="59">
        <v>195</v>
      </c>
      <c r="C119" s="60" t="s">
        <v>135</v>
      </c>
      <c r="D119" s="59" t="s">
        <v>771</v>
      </c>
      <c r="E119" s="59" t="s">
        <v>772</v>
      </c>
      <c r="F119" s="59" t="s">
        <v>189</v>
      </c>
      <c r="G119" s="59" t="s">
        <v>340</v>
      </c>
      <c r="H119" s="59" t="s">
        <v>352</v>
      </c>
      <c r="I119" s="59">
        <v>2</v>
      </c>
      <c r="J119" s="61">
        <v>1.018287037037037E-2</v>
      </c>
      <c r="K119" s="61">
        <v>1.1493055555555555E-3</v>
      </c>
      <c r="L119" s="61">
        <v>2.4182870370370372E-2</v>
      </c>
      <c r="M119" s="61">
        <v>3.6689814814814815E-4</v>
      </c>
      <c r="N119" s="61">
        <v>1.3855324074074074E-2</v>
      </c>
      <c r="O119" s="61">
        <v>4.973958333333333E-2</v>
      </c>
      <c r="P119" s="59" t="s">
        <v>1229</v>
      </c>
      <c r="Q119" s="8">
        <f t="shared" si="3"/>
        <v>816</v>
      </c>
      <c r="R119" s="14"/>
    </row>
    <row r="120" spans="1:18">
      <c r="A120" s="59">
        <v>14</v>
      </c>
      <c r="B120" s="59">
        <v>213</v>
      </c>
      <c r="C120" s="60" t="s">
        <v>135</v>
      </c>
      <c r="D120" s="59" t="s">
        <v>749</v>
      </c>
      <c r="E120" s="59" t="s">
        <v>750</v>
      </c>
      <c r="F120" s="59"/>
      <c r="G120" s="59" t="s">
        <v>340</v>
      </c>
      <c r="H120" s="59" t="s">
        <v>344</v>
      </c>
      <c r="I120" s="59">
        <v>5</v>
      </c>
      <c r="J120" s="61">
        <v>9.0682870370370379E-3</v>
      </c>
      <c r="K120" s="61">
        <v>1.0439814814814815E-3</v>
      </c>
      <c r="L120" s="61">
        <v>2.4207175925925927E-2</v>
      </c>
      <c r="M120" s="61">
        <v>3.6111111111111109E-4</v>
      </c>
      <c r="N120" s="61">
        <v>1.5321759259259259E-2</v>
      </c>
      <c r="O120" s="61">
        <v>5.0004629629629628E-2</v>
      </c>
      <c r="P120" s="59" t="s">
        <v>1230</v>
      </c>
      <c r="Q120" s="8">
        <f t="shared" si="3"/>
        <v>812</v>
      </c>
      <c r="R120" s="14"/>
    </row>
    <row r="121" spans="1:18">
      <c r="A121" s="59">
        <v>15</v>
      </c>
      <c r="B121" s="59">
        <v>216</v>
      </c>
      <c r="C121" s="60" t="s">
        <v>135</v>
      </c>
      <c r="D121" s="59" t="s">
        <v>746</v>
      </c>
      <c r="E121" s="59" t="s">
        <v>747</v>
      </c>
      <c r="F121" s="59" t="s">
        <v>252</v>
      </c>
      <c r="G121" s="59" t="s">
        <v>340</v>
      </c>
      <c r="H121" s="59" t="s">
        <v>341</v>
      </c>
      <c r="I121" s="59">
        <v>2</v>
      </c>
      <c r="J121" s="61">
        <v>9.7673611111111103E-3</v>
      </c>
      <c r="K121" s="61">
        <v>1.238425925925926E-3</v>
      </c>
      <c r="L121" s="61">
        <v>2.3394675925925926E-2</v>
      </c>
      <c r="M121" s="61">
        <v>4.953703703703703E-4</v>
      </c>
      <c r="N121" s="61">
        <v>1.5222222222222222E-2</v>
      </c>
      <c r="O121" s="61">
        <v>5.0120370370370364E-2</v>
      </c>
      <c r="P121" s="59" t="s">
        <v>1231</v>
      </c>
      <c r="Q121" s="8">
        <f t="shared" si="3"/>
        <v>810</v>
      </c>
      <c r="R121" s="14"/>
    </row>
    <row r="122" spans="1:18">
      <c r="A122" s="59">
        <v>16</v>
      </c>
      <c r="B122" s="59">
        <v>208</v>
      </c>
      <c r="C122" s="60" t="s">
        <v>135</v>
      </c>
      <c r="D122" s="59" t="s">
        <v>756</v>
      </c>
      <c r="E122" s="59" t="s">
        <v>757</v>
      </c>
      <c r="F122" s="59"/>
      <c r="G122" s="59" t="s">
        <v>340</v>
      </c>
      <c r="H122" s="59" t="s">
        <v>357</v>
      </c>
      <c r="I122" s="59">
        <v>1</v>
      </c>
      <c r="J122" s="61">
        <v>1.2037037037037037E-2</v>
      </c>
      <c r="K122" s="61">
        <v>9.6874999999999999E-4</v>
      </c>
      <c r="L122" s="61">
        <v>2.2872685185185187E-2</v>
      </c>
      <c r="M122" s="61">
        <v>3.8888888888888892E-4</v>
      </c>
      <c r="N122" s="61">
        <v>1.4083333333333333E-2</v>
      </c>
      <c r="O122" s="61">
        <v>5.0353009259259257E-2</v>
      </c>
      <c r="P122" s="59" t="s">
        <v>1232</v>
      </c>
      <c r="Q122" s="8">
        <f t="shared" si="3"/>
        <v>806</v>
      </c>
      <c r="R122" s="14"/>
    </row>
    <row r="123" spans="1:18" ht="29.1">
      <c r="A123" s="59">
        <v>17</v>
      </c>
      <c r="B123" s="59">
        <v>201</v>
      </c>
      <c r="C123" s="60" t="s">
        <v>135</v>
      </c>
      <c r="D123" s="59" t="s">
        <v>780</v>
      </c>
      <c r="E123" s="59" t="s">
        <v>781</v>
      </c>
      <c r="F123" s="59" t="s">
        <v>782</v>
      </c>
      <c r="G123" s="59" t="s">
        <v>340</v>
      </c>
      <c r="H123" s="59" t="s">
        <v>344</v>
      </c>
      <c r="I123" s="59">
        <v>6</v>
      </c>
      <c r="J123" s="61">
        <v>8.0289351851851858E-3</v>
      </c>
      <c r="K123" s="61">
        <v>1.7326388888888888E-3</v>
      </c>
      <c r="L123" s="61">
        <v>2.5260416666666667E-2</v>
      </c>
      <c r="M123" s="61">
        <v>6.7824074074074076E-4</v>
      </c>
      <c r="N123" s="61">
        <v>1.5049768518518518E-2</v>
      </c>
      <c r="O123" s="61">
        <v>5.0753472222222228E-2</v>
      </c>
      <c r="P123" s="59" t="s">
        <v>1233</v>
      </c>
      <c r="Q123" s="8">
        <f t="shared" si="3"/>
        <v>800</v>
      </c>
      <c r="R123" s="14"/>
    </row>
    <row r="124" spans="1:18">
      <c r="A124" s="59">
        <v>18</v>
      </c>
      <c r="B124" s="59">
        <v>151</v>
      </c>
      <c r="C124" s="60" t="s">
        <v>135</v>
      </c>
      <c r="D124" s="59" t="s">
        <v>768</v>
      </c>
      <c r="E124" s="59" t="s">
        <v>769</v>
      </c>
      <c r="F124" s="59" t="s">
        <v>199</v>
      </c>
      <c r="G124" s="59" t="s">
        <v>340</v>
      </c>
      <c r="H124" s="59" t="s">
        <v>357</v>
      </c>
      <c r="I124" s="59">
        <v>2</v>
      </c>
      <c r="J124" s="61">
        <v>1.141087962962963E-2</v>
      </c>
      <c r="K124" s="61">
        <v>1.6053240740740739E-3</v>
      </c>
      <c r="L124" s="61">
        <v>2.3712962962962963E-2</v>
      </c>
      <c r="M124" s="61">
        <v>3.6921296296296295E-4</v>
      </c>
      <c r="N124" s="61">
        <v>1.4210648148148148E-2</v>
      </c>
      <c r="O124" s="61">
        <v>5.1310185185185181E-2</v>
      </c>
      <c r="P124" s="59" t="s">
        <v>1234</v>
      </c>
      <c r="Q124" s="8">
        <f t="shared" si="3"/>
        <v>791</v>
      </c>
      <c r="R124" s="14"/>
    </row>
    <row r="125" spans="1:18">
      <c r="A125" s="59">
        <v>19</v>
      </c>
      <c r="B125" s="59">
        <v>206</v>
      </c>
      <c r="C125" s="60" t="s">
        <v>135</v>
      </c>
      <c r="D125" s="59" t="s">
        <v>474</v>
      </c>
      <c r="E125" s="59" t="s">
        <v>475</v>
      </c>
      <c r="F125" s="59" t="s">
        <v>367</v>
      </c>
      <c r="G125" s="59" t="s">
        <v>340</v>
      </c>
      <c r="H125" s="59" t="s">
        <v>344</v>
      </c>
      <c r="I125" s="59">
        <v>7</v>
      </c>
      <c r="J125" s="61">
        <v>9.8599537037037041E-3</v>
      </c>
      <c r="K125" s="61">
        <v>1.4016203703703703E-3</v>
      </c>
      <c r="L125" s="61">
        <v>2.4888888888888891E-2</v>
      </c>
      <c r="M125" s="61">
        <v>4.6990740740740744E-4</v>
      </c>
      <c r="N125" s="61">
        <v>1.4876157407407407E-2</v>
      </c>
      <c r="O125" s="61">
        <v>5.1498842592592596E-2</v>
      </c>
      <c r="P125" s="59" t="s">
        <v>1235</v>
      </c>
      <c r="Q125" s="8">
        <f t="shared" si="3"/>
        <v>788</v>
      </c>
      <c r="R125" s="14"/>
    </row>
    <row r="126" spans="1:18">
      <c r="A126" s="59">
        <v>20</v>
      </c>
      <c r="B126" s="59">
        <v>189</v>
      </c>
      <c r="C126" s="60" t="s">
        <v>135</v>
      </c>
      <c r="D126" s="59" t="s">
        <v>227</v>
      </c>
      <c r="E126" s="59" t="s">
        <v>228</v>
      </c>
      <c r="F126" s="59" t="s">
        <v>199</v>
      </c>
      <c r="G126" s="59" t="s">
        <v>340</v>
      </c>
      <c r="H126" s="59" t="s">
        <v>352</v>
      </c>
      <c r="I126" s="59">
        <v>3</v>
      </c>
      <c r="J126" s="61">
        <v>1.0267361111111111E-2</v>
      </c>
      <c r="K126" s="61">
        <v>1.4652777777777778E-3</v>
      </c>
      <c r="L126" s="61">
        <v>2.4929398148148148E-2</v>
      </c>
      <c r="M126" s="61">
        <v>7.0833333333333338E-4</v>
      </c>
      <c r="N126" s="61">
        <v>1.423263888888889E-2</v>
      </c>
      <c r="O126" s="61">
        <v>5.1605324074074074E-2</v>
      </c>
      <c r="P126" s="59" t="s">
        <v>1236</v>
      </c>
      <c r="Q126" s="8">
        <f t="shared" si="3"/>
        <v>787</v>
      </c>
      <c r="R126" s="14"/>
    </row>
    <row r="127" spans="1:18">
      <c r="A127" s="59">
        <v>21</v>
      </c>
      <c r="B127" s="59">
        <v>166</v>
      </c>
      <c r="C127" s="60" t="s">
        <v>135</v>
      </c>
      <c r="D127" s="59" t="s">
        <v>814</v>
      </c>
      <c r="E127" s="59" t="s">
        <v>815</v>
      </c>
      <c r="F127" s="59" t="s">
        <v>252</v>
      </c>
      <c r="G127" s="59" t="s">
        <v>340</v>
      </c>
      <c r="H127" s="59" t="s">
        <v>341</v>
      </c>
      <c r="I127" s="59">
        <v>3</v>
      </c>
      <c r="J127" s="61">
        <v>1.0060185185185186E-2</v>
      </c>
      <c r="K127" s="61">
        <v>1.0451388888888889E-3</v>
      </c>
      <c r="L127" s="61">
        <v>2.5184027777777777E-2</v>
      </c>
      <c r="M127" s="61">
        <v>6.018518518518519E-4</v>
      </c>
      <c r="N127" s="61">
        <v>1.5252314814814814E-2</v>
      </c>
      <c r="O127" s="61">
        <v>5.2145833333333329E-2</v>
      </c>
      <c r="P127" s="59" t="s">
        <v>1237</v>
      </c>
      <c r="Q127" s="8">
        <f t="shared" si="3"/>
        <v>779</v>
      </c>
      <c r="R127" s="14"/>
    </row>
    <row r="128" spans="1:18">
      <c r="A128" s="59">
        <v>22</v>
      </c>
      <c r="B128" s="59">
        <v>199</v>
      </c>
      <c r="C128" s="60" t="s">
        <v>135</v>
      </c>
      <c r="D128" s="59" t="s">
        <v>797</v>
      </c>
      <c r="E128" s="59" t="s">
        <v>798</v>
      </c>
      <c r="F128" s="59" t="s">
        <v>799</v>
      </c>
      <c r="G128" s="59" t="s">
        <v>340</v>
      </c>
      <c r="H128" s="59" t="s">
        <v>344</v>
      </c>
      <c r="I128" s="59">
        <v>8</v>
      </c>
      <c r="J128" s="61">
        <v>8.5706018518518518E-3</v>
      </c>
      <c r="K128" s="61">
        <v>1.6354166666666667E-3</v>
      </c>
      <c r="L128" s="61">
        <v>2.7064814814814816E-2</v>
      </c>
      <c r="M128" s="61">
        <v>4.7453703703703704E-4</v>
      </c>
      <c r="N128" s="61">
        <v>1.5265046296296297E-2</v>
      </c>
      <c r="O128" s="61">
        <v>5.301273148148148E-2</v>
      </c>
      <c r="P128" s="59" t="s">
        <v>1238</v>
      </c>
      <c r="Q128" s="8">
        <f t="shared" si="3"/>
        <v>766</v>
      </c>
      <c r="R128" s="14"/>
    </row>
    <row r="129" spans="1:18">
      <c r="A129" s="59">
        <v>23</v>
      </c>
      <c r="B129" s="59">
        <v>171</v>
      </c>
      <c r="C129" s="60" t="s">
        <v>135</v>
      </c>
      <c r="D129" s="59" t="s">
        <v>811</v>
      </c>
      <c r="E129" s="59" t="s">
        <v>812</v>
      </c>
      <c r="F129" s="59"/>
      <c r="G129" s="59" t="s">
        <v>340</v>
      </c>
      <c r="H129" s="59" t="s">
        <v>641</v>
      </c>
      <c r="I129" s="59">
        <v>1</v>
      </c>
      <c r="J129" s="61">
        <v>9.5370370370370366E-3</v>
      </c>
      <c r="K129" s="61">
        <v>1.3657407407407407E-3</v>
      </c>
      <c r="L129" s="61">
        <v>2.7168981481481481E-2</v>
      </c>
      <c r="M129" s="61">
        <v>3.7384259259259255E-4</v>
      </c>
      <c r="N129" s="61">
        <v>1.4989583333333332E-2</v>
      </c>
      <c r="O129" s="61">
        <v>5.3438657407407414E-2</v>
      </c>
      <c r="P129" s="59" t="s">
        <v>1239</v>
      </c>
      <c r="Q129" s="8">
        <f t="shared" si="3"/>
        <v>760</v>
      </c>
      <c r="R129" s="14"/>
    </row>
    <row r="130" spans="1:18">
      <c r="A130" s="59">
        <v>24</v>
      </c>
      <c r="B130" s="59">
        <v>176</v>
      </c>
      <c r="C130" s="60" t="s">
        <v>135</v>
      </c>
      <c r="D130" s="59" t="s">
        <v>805</v>
      </c>
      <c r="E130" s="59" t="s">
        <v>806</v>
      </c>
      <c r="F130" s="59"/>
      <c r="G130" s="59" t="s">
        <v>340</v>
      </c>
      <c r="H130" s="59" t="s">
        <v>344</v>
      </c>
      <c r="I130" s="59">
        <v>9</v>
      </c>
      <c r="J130" s="61">
        <v>1.0501157407407407E-2</v>
      </c>
      <c r="K130" s="61">
        <v>1.2928240740740741E-3</v>
      </c>
      <c r="L130" s="61">
        <v>2.6387731481481484E-2</v>
      </c>
      <c r="M130" s="61">
        <v>6.8055555555555556E-4</v>
      </c>
      <c r="N130" s="61">
        <v>1.4738425925925927E-2</v>
      </c>
      <c r="O130" s="61">
        <v>5.360300925925926E-2</v>
      </c>
      <c r="P130" s="59" t="s">
        <v>1240</v>
      </c>
      <c r="Q130" s="8">
        <f t="shared" si="3"/>
        <v>757</v>
      </c>
      <c r="R130" s="14"/>
    </row>
    <row r="131" spans="1:18">
      <c r="A131" s="59">
        <v>25</v>
      </c>
      <c r="B131" s="59">
        <v>169</v>
      </c>
      <c r="C131" s="60" t="s">
        <v>135</v>
      </c>
      <c r="D131" s="59" t="s">
        <v>777</v>
      </c>
      <c r="E131" s="59" t="s">
        <v>778</v>
      </c>
      <c r="F131" s="59" t="s">
        <v>173</v>
      </c>
      <c r="G131" s="59" t="s">
        <v>319</v>
      </c>
      <c r="H131" s="59" t="s">
        <v>159</v>
      </c>
      <c r="I131" s="59"/>
      <c r="J131" s="61">
        <v>1.1622685185185186E-2</v>
      </c>
      <c r="K131" s="61">
        <v>1.5949074074074075E-3</v>
      </c>
      <c r="L131" s="61">
        <v>2.6072916666666664E-2</v>
      </c>
      <c r="M131" s="61">
        <v>5.7638888888888887E-4</v>
      </c>
      <c r="N131" s="61">
        <v>1.4019675925925925E-2</v>
      </c>
      <c r="O131" s="61">
        <v>5.3887731481481474E-2</v>
      </c>
      <c r="P131" s="59" t="s">
        <v>1241</v>
      </c>
      <c r="Q131" s="8">
        <f t="shared" si="3"/>
        <v>753</v>
      </c>
      <c r="R131" s="14"/>
    </row>
    <row r="132" spans="1:18">
      <c r="A132" s="59">
        <v>26</v>
      </c>
      <c r="B132" s="59">
        <v>179</v>
      </c>
      <c r="C132" s="60" t="s">
        <v>135</v>
      </c>
      <c r="D132" s="59" t="s">
        <v>1242</v>
      </c>
      <c r="E132" s="59" t="s">
        <v>1243</v>
      </c>
      <c r="F132" s="59" t="s">
        <v>1244</v>
      </c>
      <c r="G132" s="59" t="s">
        <v>340</v>
      </c>
      <c r="H132" s="59" t="s">
        <v>344</v>
      </c>
      <c r="I132" s="59">
        <v>10</v>
      </c>
      <c r="J132" s="61">
        <v>1.1377314814814814E-2</v>
      </c>
      <c r="K132" s="61">
        <v>1.5266203703703705E-3</v>
      </c>
      <c r="L132" s="61">
        <v>2.6927083333333334E-2</v>
      </c>
      <c r="M132" s="61">
        <v>5.6365740740740747E-4</v>
      </c>
      <c r="N132" s="61">
        <v>1.395023148148148E-2</v>
      </c>
      <c r="O132" s="61">
        <v>5.4347222222222227E-2</v>
      </c>
      <c r="P132" s="59" t="s">
        <v>1245</v>
      </c>
      <c r="Q132" s="8">
        <f t="shared" si="3"/>
        <v>747</v>
      </c>
      <c r="R132" s="14"/>
    </row>
    <row r="133" spans="1:18">
      <c r="A133" s="59">
        <v>27</v>
      </c>
      <c r="B133" s="59">
        <v>221</v>
      </c>
      <c r="C133" s="60" t="s">
        <v>135</v>
      </c>
      <c r="D133" s="59" t="s">
        <v>296</v>
      </c>
      <c r="E133" s="59" t="s">
        <v>297</v>
      </c>
      <c r="F133" s="59" t="s">
        <v>199</v>
      </c>
      <c r="G133" s="59" t="s">
        <v>340</v>
      </c>
      <c r="H133" s="59" t="s">
        <v>420</v>
      </c>
      <c r="I133" s="59">
        <v>2</v>
      </c>
      <c r="J133" s="61">
        <v>1.0747685185185185E-2</v>
      </c>
      <c r="K133" s="61">
        <v>1.2523148148148148E-3</v>
      </c>
      <c r="L133" s="61">
        <v>2.4516203703703703E-2</v>
      </c>
      <c r="M133" s="61">
        <v>4.8842592592592601E-4</v>
      </c>
      <c r="N133" s="61">
        <v>1.7637731481481483E-2</v>
      </c>
      <c r="O133" s="61">
        <v>5.464467592592593E-2</v>
      </c>
      <c r="P133" s="59" t="s">
        <v>1246</v>
      </c>
      <c r="Q133" s="8">
        <f t="shared" si="3"/>
        <v>743</v>
      </c>
      <c r="R133" s="14"/>
    </row>
    <row r="134" spans="1:18">
      <c r="A134" s="59">
        <v>28</v>
      </c>
      <c r="B134" s="59">
        <v>180</v>
      </c>
      <c r="C134" s="60" t="s">
        <v>1247</v>
      </c>
      <c r="D134" s="59" t="s">
        <v>1248</v>
      </c>
      <c r="E134" s="59" t="s">
        <v>1249</v>
      </c>
      <c r="F134" s="59" t="s">
        <v>1250</v>
      </c>
      <c r="G134" s="59" t="s">
        <v>340</v>
      </c>
      <c r="H134" s="59" t="s">
        <v>348</v>
      </c>
      <c r="I134" s="59">
        <v>3</v>
      </c>
      <c r="J134" s="61">
        <v>1.2098379629629629E-2</v>
      </c>
      <c r="K134" s="61">
        <v>1.3206018518518519E-3</v>
      </c>
      <c r="L134" s="61">
        <v>2.612615740740741E-2</v>
      </c>
      <c r="M134" s="61">
        <v>4.5717592592592592E-4</v>
      </c>
      <c r="N134" s="61">
        <v>1.4878472222222222E-2</v>
      </c>
      <c r="O134" s="61">
        <v>5.488310185185185E-2</v>
      </c>
      <c r="P134" s="59" t="s">
        <v>1251</v>
      </c>
      <c r="Q134" s="8">
        <f t="shared" si="3"/>
        <v>740</v>
      </c>
      <c r="R134" s="14"/>
    </row>
    <row r="135" spans="1:18">
      <c r="A135" s="59">
        <v>29</v>
      </c>
      <c r="B135" s="59">
        <v>168</v>
      </c>
      <c r="C135" s="60" t="s">
        <v>135</v>
      </c>
      <c r="D135" s="59" t="s">
        <v>848</v>
      </c>
      <c r="E135" s="59" t="s">
        <v>849</v>
      </c>
      <c r="F135" s="59" t="s">
        <v>850</v>
      </c>
      <c r="G135" s="59" t="s">
        <v>340</v>
      </c>
      <c r="H135" s="59" t="s">
        <v>344</v>
      </c>
      <c r="I135" s="59">
        <v>11</v>
      </c>
      <c r="J135" s="61">
        <v>1.2121527777777778E-2</v>
      </c>
      <c r="K135" s="61">
        <v>1.5636574074074073E-3</v>
      </c>
      <c r="L135" s="61">
        <v>2.5578703703703704E-2</v>
      </c>
      <c r="M135" s="61">
        <v>5.9143518518518518E-4</v>
      </c>
      <c r="N135" s="61">
        <v>1.6377314814814813E-2</v>
      </c>
      <c r="O135" s="61">
        <v>5.6233796296296303E-2</v>
      </c>
      <c r="P135" s="59" t="s">
        <v>1252</v>
      </c>
      <c r="Q135" s="8">
        <f t="shared" si="3"/>
        <v>722</v>
      </c>
      <c r="R135" s="14"/>
    </row>
    <row r="136" spans="1:18">
      <c r="A136" s="59">
        <v>30</v>
      </c>
      <c r="B136" s="59">
        <v>152</v>
      </c>
      <c r="C136" s="60" t="s">
        <v>135</v>
      </c>
      <c r="D136" s="59" t="s">
        <v>855</v>
      </c>
      <c r="E136" s="59" t="s">
        <v>856</v>
      </c>
      <c r="F136" s="59"/>
      <c r="G136" s="59" t="s">
        <v>340</v>
      </c>
      <c r="H136" s="59" t="s">
        <v>344</v>
      </c>
      <c r="I136" s="59">
        <v>12</v>
      </c>
      <c r="J136" s="61">
        <v>1.0616898148148148E-2</v>
      </c>
      <c r="K136" s="61">
        <v>1.4097222222222221E-3</v>
      </c>
      <c r="L136" s="61">
        <v>2.8440972222222225E-2</v>
      </c>
      <c r="M136" s="61">
        <v>7.8009259259259264E-4</v>
      </c>
      <c r="N136" s="61">
        <v>1.5466435185185185E-2</v>
      </c>
      <c r="O136" s="61">
        <v>5.671759259259259E-2</v>
      </c>
      <c r="P136" s="59" t="s">
        <v>1253</v>
      </c>
      <c r="Q136" s="8">
        <f t="shared" si="3"/>
        <v>716</v>
      </c>
      <c r="R136" s="14"/>
    </row>
    <row r="137" spans="1:18">
      <c r="A137" s="59">
        <v>31</v>
      </c>
      <c r="B137" s="59">
        <v>170</v>
      </c>
      <c r="C137" s="60" t="s">
        <v>135</v>
      </c>
      <c r="D137" s="59" t="s">
        <v>1254</v>
      </c>
      <c r="E137" s="59" t="s">
        <v>1255</v>
      </c>
      <c r="F137" s="59"/>
      <c r="G137" s="59" t="s">
        <v>340</v>
      </c>
      <c r="H137" s="59" t="s">
        <v>348</v>
      </c>
      <c r="I137" s="59">
        <v>4</v>
      </c>
      <c r="J137" s="61">
        <v>1.1818287037037037E-2</v>
      </c>
      <c r="K137" s="61">
        <v>1.8344907407407407E-3</v>
      </c>
      <c r="L137" s="61">
        <v>2.7210648148148147E-2</v>
      </c>
      <c r="M137" s="61">
        <v>9.814814814814814E-4</v>
      </c>
      <c r="N137" s="61">
        <v>1.5010416666666668E-2</v>
      </c>
      <c r="O137" s="61">
        <v>5.6857638888888888E-2</v>
      </c>
      <c r="P137" s="59" t="s">
        <v>1256</v>
      </c>
      <c r="Q137" s="8">
        <f t="shared" si="3"/>
        <v>714</v>
      </c>
      <c r="R137" s="14"/>
    </row>
    <row r="138" spans="1:18" ht="29.1">
      <c r="A138" s="59">
        <v>32</v>
      </c>
      <c r="B138" s="59">
        <v>153</v>
      </c>
      <c r="C138" s="60" t="s">
        <v>135</v>
      </c>
      <c r="D138" s="59" t="s">
        <v>875</v>
      </c>
      <c r="E138" s="59" t="s">
        <v>876</v>
      </c>
      <c r="F138" s="59" t="s">
        <v>877</v>
      </c>
      <c r="G138" s="59" t="s">
        <v>340</v>
      </c>
      <c r="H138" s="59" t="s">
        <v>624</v>
      </c>
      <c r="I138" s="59">
        <v>1</v>
      </c>
      <c r="J138" s="61">
        <v>1.220023148148148E-2</v>
      </c>
      <c r="K138" s="61">
        <v>1.3831018518518519E-3</v>
      </c>
      <c r="L138" s="61">
        <v>2.5659722222222223E-2</v>
      </c>
      <c r="M138" s="61">
        <v>5.6250000000000007E-4</v>
      </c>
      <c r="N138" s="61">
        <v>1.7111111111111112E-2</v>
      </c>
      <c r="O138" s="61">
        <v>5.6920138888888881E-2</v>
      </c>
      <c r="P138" s="59" t="s">
        <v>1257</v>
      </c>
      <c r="Q138" s="8">
        <f t="shared" si="3"/>
        <v>713</v>
      </c>
      <c r="R138" s="14"/>
    </row>
    <row r="139" spans="1:18">
      <c r="A139" s="59">
        <v>33</v>
      </c>
      <c r="B139" s="59">
        <v>187</v>
      </c>
      <c r="C139" s="60" t="s">
        <v>135</v>
      </c>
      <c r="D139" s="59" t="s">
        <v>1258</v>
      </c>
      <c r="E139" s="59" t="s">
        <v>1259</v>
      </c>
      <c r="F139" s="59" t="s">
        <v>504</v>
      </c>
      <c r="G139" s="59" t="s">
        <v>340</v>
      </c>
      <c r="H139" s="59" t="s">
        <v>420</v>
      </c>
      <c r="I139" s="59">
        <v>3</v>
      </c>
      <c r="J139" s="61">
        <v>1.1873842592592594E-2</v>
      </c>
      <c r="K139" s="61">
        <v>1.2951388888888889E-3</v>
      </c>
      <c r="L139" s="61">
        <v>2.604398148148148E-2</v>
      </c>
      <c r="M139" s="61">
        <v>1.1655092592592594E-3</v>
      </c>
      <c r="N139" s="61">
        <v>1.6747685185185185E-2</v>
      </c>
      <c r="O139" s="61">
        <v>5.7128472222222219E-2</v>
      </c>
      <c r="P139" s="59" t="s">
        <v>1260</v>
      </c>
      <c r="Q139" s="8">
        <f t="shared" si="3"/>
        <v>711</v>
      </c>
      <c r="R139" s="14"/>
    </row>
    <row r="140" spans="1:18" ht="29.1">
      <c r="A140" s="59">
        <v>34</v>
      </c>
      <c r="B140" s="59">
        <v>174</v>
      </c>
      <c r="C140" s="60" t="s">
        <v>135</v>
      </c>
      <c r="D140" s="59" t="s">
        <v>1261</v>
      </c>
      <c r="E140" s="59" t="s">
        <v>1262</v>
      </c>
      <c r="F140" s="59" t="s">
        <v>1217</v>
      </c>
      <c r="G140" s="59" t="s">
        <v>319</v>
      </c>
      <c r="H140" s="59" t="s">
        <v>154</v>
      </c>
      <c r="I140" s="59"/>
      <c r="J140" s="61">
        <v>1.2013888888888888E-2</v>
      </c>
      <c r="K140" s="61">
        <v>9.0393518518518514E-4</v>
      </c>
      <c r="L140" s="61">
        <v>2.8019675925925927E-2</v>
      </c>
      <c r="M140" s="61">
        <v>5.8680555555555558E-4</v>
      </c>
      <c r="N140" s="61">
        <v>1.6511574074074074E-2</v>
      </c>
      <c r="O140" s="61">
        <v>5.8038194444444448E-2</v>
      </c>
      <c r="P140" s="59" t="s">
        <v>1263</v>
      </c>
      <c r="Q140" s="8">
        <f t="shared" si="3"/>
        <v>700</v>
      </c>
      <c r="R140" s="14"/>
    </row>
    <row r="141" spans="1:18">
      <c r="A141" s="59">
        <v>35</v>
      </c>
      <c r="B141" s="59">
        <v>162</v>
      </c>
      <c r="C141" s="60" t="s">
        <v>135</v>
      </c>
      <c r="D141" s="59" t="s">
        <v>1264</v>
      </c>
      <c r="E141" s="59" t="s">
        <v>1265</v>
      </c>
      <c r="F141" s="59" t="s">
        <v>153</v>
      </c>
      <c r="G141" s="59" t="s">
        <v>319</v>
      </c>
      <c r="H141" s="59" t="s">
        <v>139</v>
      </c>
      <c r="I141" s="59"/>
      <c r="J141" s="61">
        <v>1.1648148148148147E-2</v>
      </c>
      <c r="K141" s="61">
        <v>1.8576388888888889E-3</v>
      </c>
      <c r="L141" s="61">
        <v>2.7863425925925927E-2</v>
      </c>
      <c r="M141" s="61">
        <v>6.5393518518518513E-4</v>
      </c>
      <c r="N141" s="61">
        <v>1.6038194444444445E-2</v>
      </c>
      <c r="O141" s="61">
        <v>5.8061342592592595E-2</v>
      </c>
      <c r="P141" s="59" t="s">
        <v>1266</v>
      </c>
      <c r="Q141" s="8">
        <f t="shared" si="3"/>
        <v>699</v>
      </c>
      <c r="R141" s="14"/>
    </row>
    <row r="142" spans="1:18">
      <c r="A142" s="59">
        <v>36</v>
      </c>
      <c r="B142" s="59">
        <v>202</v>
      </c>
      <c r="C142" s="60" t="s">
        <v>135</v>
      </c>
      <c r="D142" s="59" t="s">
        <v>905</v>
      </c>
      <c r="E142" s="59" t="s">
        <v>906</v>
      </c>
      <c r="F142" s="59"/>
      <c r="G142" s="59" t="s">
        <v>340</v>
      </c>
      <c r="H142" s="59" t="s">
        <v>352</v>
      </c>
      <c r="I142" s="59">
        <v>4</v>
      </c>
      <c r="J142" s="61">
        <v>1.259837962962963E-2</v>
      </c>
      <c r="K142" s="61">
        <v>1.5104166666666666E-3</v>
      </c>
      <c r="L142" s="61">
        <v>2.6936342592592595E-2</v>
      </c>
      <c r="M142" s="61">
        <v>6.018518518518519E-4</v>
      </c>
      <c r="N142" s="61">
        <v>1.6890046296296295E-2</v>
      </c>
      <c r="O142" s="61">
        <v>5.8540509259259257E-2</v>
      </c>
      <c r="P142" s="59" t="s">
        <v>1267</v>
      </c>
      <c r="Q142" s="8">
        <f t="shared" si="3"/>
        <v>694</v>
      </c>
      <c r="R142" s="14"/>
    </row>
    <row r="143" spans="1:18">
      <c r="A143" s="59">
        <v>37</v>
      </c>
      <c r="B143" s="59">
        <v>224</v>
      </c>
      <c r="C143" s="60" t="s">
        <v>135</v>
      </c>
      <c r="D143" s="59" t="s">
        <v>895</v>
      </c>
      <c r="E143" s="59" t="s">
        <v>896</v>
      </c>
      <c r="F143" s="59"/>
      <c r="G143" s="59" t="s">
        <v>340</v>
      </c>
      <c r="H143" s="59" t="s">
        <v>344</v>
      </c>
      <c r="I143" s="59">
        <v>13</v>
      </c>
      <c r="J143" s="61">
        <v>1.3216435185185187E-2</v>
      </c>
      <c r="K143" s="61">
        <v>1.7013888888888888E-3</v>
      </c>
      <c r="L143" s="61">
        <v>2.6173611111111113E-2</v>
      </c>
      <c r="M143" s="61">
        <v>7.7199074074074073E-4</v>
      </c>
      <c r="N143" s="61">
        <v>1.6753472222222222E-2</v>
      </c>
      <c r="O143" s="61">
        <v>5.8618055555555562E-2</v>
      </c>
      <c r="P143" s="59" t="s">
        <v>1268</v>
      </c>
      <c r="Q143" s="8">
        <f t="shared" si="3"/>
        <v>693</v>
      </c>
      <c r="R143" s="14"/>
    </row>
    <row r="144" spans="1:18">
      <c r="A144" s="59">
        <v>38</v>
      </c>
      <c r="B144" s="59">
        <v>158</v>
      </c>
      <c r="C144" s="60" t="s">
        <v>135</v>
      </c>
      <c r="D144" s="59" t="s">
        <v>1269</v>
      </c>
      <c r="E144" s="59" t="s">
        <v>1270</v>
      </c>
      <c r="F144" s="59"/>
      <c r="G144" s="59" t="s">
        <v>340</v>
      </c>
      <c r="H144" s="59" t="s">
        <v>352</v>
      </c>
      <c r="I144" s="59">
        <v>5</v>
      </c>
      <c r="J144" s="61">
        <v>1.3010416666666665E-2</v>
      </c>
      <c r="K144" s="61">
        <v>2.0833333333333333E-3</v>
      </c>
      <c r="L144" s="61">
        <v>2.7206018518518518E-2</v>
      </c>
      <c r="M144" s="61">
        <v>2.9861111111111109E-4</v>
      </c>
      <c r="N144" s="61">
        <v>1.6172453703703703E-2</v>
      </c>
      <c r="O144" s="61">
        <v>5.8773148148148151E-2</v>
      </c>
      <c r="P144" s="59" t="s">
        <v>1271</v>
      </c>
      <c r="Q144" s="8">
        <f t="shared" si="3"/>
        <v>691</v>
      </c>
      <c r="R144" s="14"/>
    </row>
    <row r="145" spans="1:18">
      <c r="A145" s="59">
        <v>39</v>
      </c>
      <c r="B145" s="59">
        <v>214</v>
      </c>
      <c r="C145" s="60" t="s">
        <v>135</v>
      </c>
      <c r="D145" s="59" t="s">
        <v>302</v>
      </c>
      <c r="E145" s="59" t="s">
        <v>303</v>
      </c>
      <c r="F145" s="59" t="s">
        <v>138</v>
      </c>
      <c r="G145" s="59" t="s">
        <v>340</v>
      </c>
      <c r="H145" s="59" t="s">
        <v>448</v>
      </c>
      <c r="I145" s="59">
        <v>1</v>
      </c>
      <c r="J145" s="61">
        <v>1.0355324074074074E-2</v>
      </c>
      <c r="K145" s="61">
        <v>2.5625000000000001E-3</v>
      </c>
      <c r="L145" s="61">
        <v>2.792824074074074E-2</v>
      </c>
      <c r="M145" s="61">
        <v>3.5069444444444444E-4</v>
      </c>
      <c r="N145" s="61">
        <v>1.7869212962962965E-2</v>
      </c>
      <c r="O145" s="61">
        <v>5.9068287037037037E-2</v>
      </c>
      <c r="P145" s="59" t="s">
        <v>1272</v>
      </c>
      <c r="Q145" s="8">
        <f t="shared" si="3"/>
        <v>687</v>
      </c>
      <c r="R145" s="14"/>
    </row>
    <row r="146" spans="1:18">
      <c r="A146" s="59">
        <v>40</v>
      </c>
      <c r="B146" s="59">
        <v>155</v>
      </c>
      <c r="C146" s="60" t="s">
        <v>135</v>
      </c>
      <c r="D146" s="59" t="s">
        <v>1273</v>
      </c>
      <c r="E146" s="59" t="s">
        <v>1274</v>
      </c>
      <c r="F146" s="59" t="s">
        <v>199</v>
      </c>
      <c r="G146" s="59" t="s">
        <v>340</v>
      </c>
      <c r="H146" s="59" t="s">
        <v>344</v>
      </c>
      <c r="I146" s="59">
        <v>14</v>
      </c>
      <c r="J146" s="61">
        <v>1.1402777777777779E-2</v>
      </c>
      <c r="K146" s="61">
        <v>1.9988425925925924E-3</v>
      </c>
      <c r="L146" s="61">
        <v>2.4099537037037034E-2</v>
      </c>
      <c r="M146" s="61">
        <v>9.8032407407407421E-4</v>
      </c>
      <c r="N146" s="61">
        <v>2.1065972222222222E-2</v>
      </c>
      <c r="O146" s="61">
        <v>5.9549768518518523E-2</v>
      </c>
      <c r="P146" s="59" t="s">
        <v>1275</v>
      </c>
      <c r="Q146" s="8">
        <f t="shared" si="3"/>
        <v>682</v>
      </c>
      <c r="R146" s="14"/>
    </row>
    <row r="147" spans="1:18">
      <c r="A147" s="59">
        <v>41</v>
      </c>
      <c r="B147" s="59">
        <v>198</v>
      </c>
      <c r="C147" s="60" t="s">
        <v>135</v>
      </c>
      <c r="D147" s="59" t="s">
        <v>1000</v>
      </c>
      <c r="E147" s="59" t="s">
        <v>1001</v>
      </c>
      <c r="F147" s="59" t="s">
        <v>367</v>
      </c>
      <c r="G147" s="59" t="s">
        <v>340</v>
      </c>
      <c r="H147" s="59" t="s">
        <v>357</v>
      </c>
      <c r="I147" s="59">
        <v>3</v>
      </c>
      <c r="J147" s="61">
        <v>1.2579861111111113E-2</v>
      </c>
      <c r="K147" s="61">
        <v>1.6724537037037038E-3</v>
      </c>
      <c r="L147" s="61">
        <v>2.7738425925925923E-2</v>
      </c>
      <c r="M147" s="61">
        <v>5.0578703703703712E-4</v>
      </c>
      <c r="N147" s="61">
        <v>1.7196759259259259E-2</v>
      </c>
      <c r="O147" s="61">
        <v>5.9695601851851847E-2</v>
      </c>
      <c r="P147" s="59" t="s">
        <v>1276</v>
      </c>
      <c r="Q147" s="8">
        <f t="shared" si="3"/>
        <v>680</v>
      </c>
      <c r="R147" s="14"/>
    </row>
    <row r="148" spans="1:18">
      <c r="A148" s="59">
        <v>42</v>
      </c>
      <c r="B148" s="59">
        <v>188</v>
      </c>
      <c r="C148" s="60" t="s">
        <v>135</v>
      </c>
      <c r="D148" s="59" t="s">
        <v>1277</v>
      </c>
      <c r="E148" s="59" t="s">
        <v>1278</v>
      </c>
      <c r="F148" s="59"/>
      <c r="G148" s="59" t="s">
        <v>340</v>
      </c>
      <c r="H148" s="59" t="s">
        <v>344</v>
      </c>
      <c r="I148" s="59">
        <v>15</v>
      </c>
      <c r="J148" s="61">
        <v>1.4561342592592591E-2</v>
      </c>
      <c r="K148" s="61">
        <v>1.5636574074074073E-3</v>
      </c>
      <c r="L148" s="61">
        <v>2.6166666666666668E-2</v>
      </c>
      <c r="M148" s="61">
        <v>4.6759259259259258E-4</v>
      </c>
      <c r="N148" s="61">
        <v>1.7596064814814814E-2</v>
      </c>
      <c r="O148" s="61">
        <v>6.0358796296296299E-2</v>
      </c>
      <c r="P148" s="59" t="s">
        <v>1279</v>
      </c>
      <c r="Q148" s="8">
        <f t="shared" si="3"/>
        <v>673</v>
      </c>
      <c r="R148" s="14"/>
    </row>
    <row r="149" spans="1:18">
      <c r="A149" s="59">
        <v>43</v>
      </c>
      <c r="B149" s="59">
        <v>191</v>
      </c>
      <c r="C149" s="60" t="s">
        <v>135</v>
      </c>
      <c r="D149" s="59" t="s">
        <v>914</v>
      </c>
      <c r="E149" s="59" t="s">
        <v>915</v>
      </c>
      <c r="F149" s="59" t="s">
        <v>189</v>
      </c>
      <c r="G149" s="59" t="s">
        <v>340</v>
      </c>
      <c r="H149" s="59" t="s">
        <v>348</v>
      </c>
      <c r="I149" s="59">
        <v>5</v>
      </c>
      <c r="J149" s="61">
        <v>1.4510416666666668E-2</v>
      </c>
      <c r="K149" s="61">
        <v>1.5162037037037036E-3</v>
      </c>
      <c r="L149" s="61">
        <v>2.6520833333333334E-2</v>
      </c>
      <c r="M149" s="61">
        <v>7.6504629629629622E-4</v>
      </c>
      <c r="N149" s="61">
        <v>1.7089120370370369E-2</v>
      </c>
      <c r="O149" s="61">
        <v>6.0403935185185179E-2</v>
      </c>
      <c r="P149" s="59" t="s">
        <v>1280</v>
      </c>
      <c r="Q149" s="8">
        <f t="shared" si="3"/>
        <v>672</v>
      </c>
      <c r="R149" s="14"/>
    </row>
    <row r="150" spans="1:18">
      <c r="A150" s="59">
        <v>44</v>
      </c>
      <c r="B150" s="59">
        <v>203</v>
      </c>
      <c r="C150" s="60" t="s">
        <v>135</v>
      </c>
      <c r="D150" s="59" t="s">
        <v>1281</v>
      </c>
      <c r="E150" s="59" t="s">
        <v>1282</v>
      </c>
      <c r="F150" s="59"/>
      <c r="G150" s="59" t="s">
        <v>319</v>
      </c>
      <c r="H150" s="59" t="s">
        <v>139</v>
      </c>
      <c r="I150" s="59">
        <v>1</v>
      </c>
      <c r="J150" s="61">
        <v>1.0116898148148149E-2</v>
      </c>
      <c r="K150" s="61">
        <v>1.1770833333333334E-3</v>
      </c>
      <c r="L150" s="61">
        <v>2.9578703703703704E-2</v>
      </c>
      <c r="M150" s="61">
        <v>6.8402777777777776E-4</v>
      </c>
      <c r="N150" s="61">
        <v>1.8943287037037036E-2</v>
      </c>
      <c r="O150" s="61">
        <v>6.0503472222222222E-2</v>
      </c>
      <c r="P150" s="59" t="s">
        <v>1283</v>
      </c>
      <c r="Q150" s="8">
        <f t="shared" si="3"/>
        <v>671</v>
      </c>
      <c r="R150" s="14"/>
    </row>
    <row r="151" spans="1:18">
      <c r="A151" s="59">
        <v>45</v>
      </c>
      <c r="B151" s="59">
        <v>159</v>
      </c>
      <c r="C151" s="60" t="s">
        <v>135</v>
      </c>
      <c r="D151" s="59" t="s">
        <v>902</v>
      </c>
      <c r="E151" s="59" t="s">
        <v>903</v>
      </c>
      <c r="F151" s="59"/>
      <c r="G151" s="59" t="s">
        <v>340</v>
      </c>
      <c r="H151" s="59" t="s">
        <v>420</v>
      </c>
      <c r="I151" s="59">
        <v>4</v>
      </c>
      <c r="J151" s="61">
        <v>1.4164351851851852E-2</v>
      </c>
      <c r="K151" s="61">
        <v>1.650462962962963E-3</v>
      </c>
      <c r="L151" s="61">
        <v>2.6832175925925929E-2</v>
      </c>
      <c r="M151" s="61">
        <v>5.1157407407407412E-4</v>
      </c>
      <c r="N151" s="61">
        <v>1.7556712962962965E-2</v>
      </c>
      <c r="O151" s="61">
        <v>6.0717592592592594E-2</v>
      </c>
      <c r="P151" s="59" t="s">
        <v>1284</v>
      </c>
      <c r="Q151" s="8">
        <f t="shared" si="3"/>
        <v>669</v>
      </c>
      <c r="R151" s="14"/>
    </row>
    <row r="152" spans="1:18">
      <c r="A152" s="59">
        <v>46</v>
      </c>
      <c r="B152" s="59">
        <v>173</v>
      </c>
      <c r="C152" s="60" t="s">
        <v>135</v>
      </c>
      <c r="D152" s="59" t="s">
        <v>938</v>
      </c>
      <c r="E152" s="59" t="s">
        <v>939</v>
      </c>
      <c r="F152" s="59" t="s">
        <v>940</v>
      </c>
      <c r="G152" s="59" t="s">
        <v>340</v>
      </c>
      <c r="H152" s="59" t="s">
        <v>624</v>
      </c>
      <c r="I152" s="59">
        <v>2</v>
      </c>
      <c r="J152" s="61">
        <v>1.3861111111111111E-2</v>
      </c>
      <c r="K152" s="61">
        <v>2.0462962962962965E-3</v>
      </c>
      <c r="L152" s="61">
        <v>2.8521990740740744E-2</v>
      </c>
      <c r="M152" s="61">
        <v>4.5717592592592592E-4</v>
      </c>
      <c r="N152" s="61">
        <v>1.5875E-2</v>
      </c>
      <c r="O152" s="61">
        <v>6.0765046296296303E-2</v>
      </c>
      <c r="P152" s="59" t="s">
        <v>1285</v>
      </c>
      <c r="Q152" s="8">
        <f t="shared" si="3"/>
        <v>668</v>
      </c>
      <c r="R152" s="14"/>
    </row>
    <row r="153" spans="1:18">
      <c r="A153" s="59">
        <v>47</v>
      </c>
      <c r="B153" s="59">
        <v>157</v>
      </c>
      <c r="C153" s="60" t="s">
        <v>135</v>
      </c>
      <c r="D153" s="59" t="s">
        <v>917</v>
      </c>
      <c r="E153" s="59" t="s">
        <v>918</v>
      </c>
      <c r="F153" s="59"/>
      <c r="G153" s="59" t="s">
        <v>340</v>
      </c>
      <c r="H153" s="59" t="s">
        <v>344</v>
      </c>
      <c r="I153" s="59">
        <v>16</v>
      </c>
      <c r="J153" s="61">
        <v>1.4116898148148149E-2</v>
      </c>
      <c r="K153" s="61">
        <v>2.0173611111111113E-3</v>
      </c>
      <c r="L153" s="61">
        <v>2.6666666666666668E-2</v>
      </c>
      <c r="M153" s="61">
        <v>9.0972222222222214E-4</v>
      </c>
      <c r="N153" s="61">
        <v>1.8318287037037039E-2</v>
      </c>
      <c r="O153" s="61">
        <v>6.2032407407407411E-2</v>
      </c>
      <c r="P153" s="59" t="s">
        <v>1286</v>
      </c>
      <c r="Q153" s="8">
        <f t="shared" si="3"/>
        <v>654</v>
      </c>
      <c r="R153" s="14"/>
    </row>
    <row r="154" spans="1:18">
      <c r="A154" s="59">
        <v>48</v>
      </c>
      <c r="B154" s="59">
        <v>185</v>
      </c>
      <c r="C154" s="60" t="s">
        <v>135</v>
      </c>
      <c r="D154" s="59" t="s">
        <v>1287</v>
      </c>
      <c r="E154" s="59" t="s">
        <v>1288</v>
      </c>
      <c r="F154" s="59" t="s">
        <v>199</v>
      </c>
      <c r="G154" s="59" t="s">
        <v>319</v>
      </c>
      <c r="H154" s="59" t="s">
        <v>163</v>
      </c>
      <c r="I154" s="59">
        <v>1</v>
      </c>
      <c r="J154" s="61">
        <v>1.4038194444444445E-2</v>
      </c>
      <c r="K154" s="61">
        <v>1.4803240740740742E-3</v>
      </c>
      <c r="L154" s="61">
        <v>2.8060185185185185E-2</v>
      </c>
      <c r="M154" s="61">
        <v>1.0393518518518519E-3</v>
      </c>
      <c r="N154" s="61">
        <v>1.7664351851851851E-2</v>
      </c>
      <c r="O154" s="61">
        <v>6.2283564814814819E-2</v>
      </c>
      <c r="P154" s="59" t="s">
        <v>1289</v>
      </c>
      <c r="Q154" s="8">
        <f t="shared" si="3"/>
        <v>652</v>
      </c>
      <c r="R154" s="14"/>
    </row>
    <row r="155" spans="1:18">
      <c r="A155" s="59">
        <v>49</v>
      </c>
      <c r="B155" s="59">
        <v>167</v>
      </c>
      <c r="C155" s="60" t="s">
        <v>135</v>
      </c>
      <c r="D155" s="59" t="s">
        <v>299</v>
      </c>
      <c r="E155" s="59" t="s">
        <v>300</v>
      </c>
      <c r="F155" s="59" t="s">
        <v>138</v>
      </c>
      <c r="G155" s="59" t="s">
        <v>340</v>
      </c>
      <c r="H155" s="59" t="s">
        <v>420</v>
      </c>
      <c r="I155" s="59">
        <v>5</v>
      </c>
      <c r="J155" s="61">
        <v>1.526851851851852E-2</v>
      </c>
      <c r="K155" s="61">
        <v>2.3333333333333331E-3</v>
      </c>
      <c r="L155" s="61">
        <v>2.8604166666666667E-2</v>
      </c>
      <c r="M155" s="61">
        <v>1.1956018518518518E-3</v>
      </c>
      <c r="N155" s="61">
        <v>1.5550925925925925E-2</v>
      </c>
      <c r="O155" s="61">
        <v>6.2956018518518508E-2</v>
      </c>
      <c r="P155" s="59" t="s">
        <v>1290</v>
      </c>
      <c r="Q155" s="8">
        <f t="shared" si="3"/>
        <v>645</v>
      </c>
      <c r="R155" s="14"/>
    </row>
    <row r="156" spans="1:18">
      <c r="A156" s="59">
        <v>50</v>
      </c>
      <c r="B156" s="59">
        <v>165</v>
      </c>
      <c r="C156" s="60" t="s">
        <v>135</v>
      </c>
      <c r="D156" s="59" t="s">
        <v>1291</v>
      </c>
      <c r="E156" s="59" t="s">
        <v>1292</v>
      </c>
      <c r="F156" s="59" t="s">
        <v>138</v>
      </c>
      <c r="G156" s="59" t="s">
        <v>319</v>
      </c>
      <c r="H156" s="59" t="s">
        <v>163</v>
      </c>
      <c r="I156" s="59">
        <v>2</v>
      </c>
      <c r="J156" s="61">
        <v>1.460300925925926E-2</v>
      </c>
      <c r="K156" s="61">
        <v>2.5636574074074073E-3</v>
      </c>
      <c r="L156" s="61">
        <v>2.8604166666666667E-2</v>
      </c>
      <c r="M156" s="61">
        <v>1.0081018518518518E-3</v>
      </c>
      <c r="N156" s="61">
        <v>1.6318287037037037E-2</v>
      </c>
      <c r="O156" s="61">
        <v>6.3100694444444438E-2</v>
      </c>
      <c r="P156" s="59" t="s">
        <v>1293</v>
      </c>
      <c r="Q156" s="8">
        <f t="shared" si="3"/>
        <v>643</v>
      </c>
      <c r="R156" s="14"/>
    </row>
    <row r="157" spans="1:18">
      <c r="A157" s="59">
        <v>51</v>
      </c>
      <c r="B157" s="59">
        <v>154</v>
      </c>
      <c r="C157" s="60" t="s">
        <v>135</v>
      </c>
      <c r="D157" s="59" t="s">
        <v>1294</v>
      </c>
      <c r="E157" s="59" t="s">
        <v>1295</v>
      </c>
      <c r="F157" s="59"/>
      <c r="G157" s="59" t="s">
        <v>340</v>
      </c>
      <c r="H157" s="59" t="s">
        <v>352</v>
      </c>
      <c r="I157" s="59">
        <v>6</v>
      </c>
      <c r="J157" s="61">
        <v>1.3924768518518517E-2</v>
      </c>
      <c r="K157" s="61">
        <v>1.5462962962962963E-3</v>
      </c>
      <c r="L157" s="61">
        <v>2.879976851851852E-2</v>
      </c>
      <c r="M157" s="61">
        <v>5.5671296296296296E-4</v>
      </c>
      <c r="N157" s="61">
        <v>1.9085648148148147E-2</v>
      </c>
      <c r="O157" s="61">
        <v>6.3914351851851847E-2</v>
      </c>
      <c r="P157" s="59" t="s">
        <v>1296</v>
      </c>
      <c r="Q157" s="8">
        <f t="shared" si="3"/>
        <v>635</v>
      </c>
      <c r="R157" s="14"/>
    </row>
    <row r="158" spans="1:18">
      <c r="A158" s="59">
        <v>52</v>
      </c>
      <c r="B158" s="59">
        <v>156</v>
      </c>
      <c r="C158" s="60" t="s">
        <v>135</v>
      </c>
      <c r="D158" s="59" t="s">
        <v>1297</v>
      </c>
      <c r="E158" s="59" t="s">
        <v>1298</v>
      </c>
      <c r="F158" s="59"/>
      <c r="G158" s="59" t="s">
        <v>340</v>
      </c>
      <c r="H158" s="59" t="s">
        <v>344</v>
      </c>
      <c r="I158" s="59">
        <v>17</v>
      </c>
      <c r="J158" s="61">
        <v>1.3373842592592593E-2</v>
      </c>
      <c r="K158" s="61">
        <v>2.9282407407407408E-3</v>
      </c>
      <c r="L158" s="61">
        <v>2.7821759259259261E-2</v>
      </c>
      <c r="M158" s="61">
        <v>1.2037037037037038E-3</v>
      </c>
      <c r="N158" s="61">
        <v>1.9462962962962963E-2</v>
      </c>
      <c r="O158" s="61">
        <v>6.4792824074074079E-2</v>
      </c>
      <c r="P158" s="59" t="s">
        <v>1299</v>
      </c>
      <c r="Q158" s="8">
        <f t="shared" si="3"/>
        <v>627</v>
      </c>
      <c r="R158" s="14"/>
    </row>
    <row r="159" spans="1:18">
      <c r="A159" s="59">
        <v>53</v>
      </c>
      <c r="B159" s="59">
        <v>211</v>
      </c>
      <c r="C159" s="60" t="s">
        <v>135</v>
      </c>
      <c r="D159" s="59" t="s">
        <v>1017</v>
      </c>
      <c r="E159" s="59" t="s">
        <v>1018</v>
      </c>
      <c r="F159" s="59" t="s">
        <v>189</v>
      </c>
      <c r="G159" s="59" t="s">
        <v>319</v>
      </c>
      <c r="H159" s="59" t="s">
        <v>139</v>
      </c>
      <c r="I159" s="59">
        <v>2</v>
      </c>
      <c r="J159" s="61">
        <v>1.4807870370370372E-2</v>
      </c>
      <c r="K159" s="61">
        <v>1.2534722222222222E-3</v>
      </c>
      <c r="L159" s="61">
        <v>3.1557870370370368E-2</v>
      </c>
      <c r="M159" s="61">
        <v>5.0925925925925921E-4</v>
      </c>
      <c r="N159" s="61">
        <v>1.8549768518518518E-2</v>
      </c>
      <c r="O159" s="61">
        <v>6.6679398148148147E-2</v>
      </c>
      <c r="P159" s="59" t="s">
        <v>1300</v>
      </c>
      <c r="Q159" s="8">
        <f t="shared" si="3"/>
        <v>609</v>
      </c>
      <c r="R159" s="14"/>
    </row>
    <row r="160" spans="1:18">
      <c r="A160" s="59">
        <v>54</v>
      </c>
      <c r="B160" s="59">
        <v>181</v>
      </c>
      <c r="C160" s="60" t="s">
        <v>135</v>
      </c>
      <c r="D160" s="59" t="s">
        <v>1301</v>
      </c>
      <c r="E160" s="59" t="s">
        <v>1302</v>
      </c>
      <c r="F160" s="59"/>
      <c r="G160" s="59" t="s">
        <v>340</v>
      </c>
      <c r="H160" s="59" t="s">
        <v>344</v>
      </c>
      <c r="I160" s="59">
        <v>18</v>
      </c>
      <c r="J160" s="61">
        <v>1.3986111111111112E-2</v>
      </c>
      <c r="K160" s="61">
        <v>2.3877314814814816E-3</v>
      </c>
      <c r="L160" s="61">
        <v>3.0627314814814812E-2</v>
      </c>
      <c r="M160" s="61">
        <v>4.1550925925925924E-4</v>
      </c>
      <c r="N160" s="61">
        <v>1.9950231481481482E-2</v>
      </c>
      <c r="O160" s="61">
        <v>6.7370370370370372E-2</v>
      </c>
      <c r="P160" s="59" t="s">
        <v>1303</v>
      </c>
      <c r="Q160" s="8">
        <f t="shared" si="3"/>
        <v>603</v>
      </c>
      <c r="R160" s="14"/>
    </row>
    <row r="161" spans="1:18">
      <c r="A161" s="59">
        <v>55</v>
      </c>
      <c r="B161" s="59">
        <v>215</v>
      </c>
      <c r="C161" s="60" t="s">
        <v>135</v>
      </c>
      <c r="D161" s="59" t="s">
        <v>1304</v>
      </c>
      <c r="E161" s="59" t="s">
        <v>1305</v>
      </c>
      <c r="F161" s="59" t="s">
        <v>199</v>
      </c>
      <c r="G161" s="59" t="s">
        <v>340</v>
      </c>
      <c r="H161" s="59" t="s">
        <v>348</v>
      </c>
      <c r="I161" s="59">
        <v>6</v>
      </c>
      <c r="J161" s="61">
        <v>1.2703703703703703E-2</v>
      </c>
      <c r="K161" s="61">
        <v>1.4583333333333334E-3</v>
      </c>
      <c r="L161" s="61">
        <v>3.6939814814814814E-2</v>
      </c>
      <c r="M161" s="61">
        <v>9.3055555555555567E-4</v>
      </c>
      <c r="N161" s="61">
        <v>1.5601851851851851E-2</v>
      </c>
      <c r="O161" s="61">
        <v>6.7634259259259269E-2</v>
      </c>
      <c r="P161" s="59" t="s">
        <v>1306</v>
      </c>
      <c r="Q161" s="8">
        <f t="shared" si="3"/>
        <v>600</v>
      </c>
      <c r="R161" s="14"/>
    </row>
    <row r="162" spans="1:18">
      <c r="A162" s="59">
        <v>56</v>
      </c>
      <c r="B162" s="59">
        <v>217</v>
      </c>
      <c r="C162" s="60" t="s">
        <v>135</v>
      </c>
      <c r="D162" s="59" t="s">
        <v>996</v>
      </c>
      <c r="E162" s="59" t="s">
        <v>997</v>
      </c>
      <c r="F162" s="59" t="s">
        <v>998</v>
      </c>
      <c r="G162" s="59" t="s">
        <v>340</v>
      </c>
      <c r="H162" s="59" t="s">
        <v>448</v>
      </c>
      <c r="I162" s="59">
        <v>2</v>
      </c>
      <c r="J162" s="61">
        <v>1.369212962962963E-2</v>
      </c>
      <c r="K162" s="61">
        <v>3.8969907407407408E-3</v>
      </c>
      <c r="L162" s="61">
        <v>3.1253472222222224E-2</v>
      </c>
      <c r="M162" s="61">
        <v>3.4374999999999998E-4</v>
      </c>
      <c r="N162" s="61">
        <v>1.8571759259259257E-2</v>
      </c>
      <c r="O162" s="61">
        <v>6.7761574074074085E-2</v>
      </c>
      <c r="P162" s="59" t="s">
        <v>1307</v>
      </c>
      <c r="Q162" s="8">
        <f t="shared" si="3"/>
        <v>599</v>
      </c>
      <c r="R162" s="14"/>
    </row>
    <row r="163" spans="1:18">
      <c r="A163" s="59">
        <v>57</v>
      </c>
      <c r="B163" s="59">
        <v>210</v>
      </c>
      <c r="C163" s="60" t="s">
        <v>135</v>
      </c>
      <c r="D163" s="59" t="s">
        <v>1308</v>
      </c>
      <c r="E163" s="59" t="s">
        <v>1309</v>
      </c>
      <c r="F163" s="59" t="s">
        <v>367</v>
      </c>
      <c r="G163" s="59" t="s">
        <v>340</v>
      </c>
      <c r="H163" s="59" t="s">
        <v>420</v>
      </c>
      <c r="I163" s="59">
        <v>6</v>
      </c>
      <c r="J163" s="61">
        <v>1.6818287037037034E-2</v>
      </c>
      <c r="K163" s="61">
        <v>2.0451388888888889E-3</v>
      </c>
      <c r="L163" s="61">
        <v>2.9263888888888891E-2</v>
      </c>
      <c r="M163" s="61">
        <v>8.9120370370370373E-4</v>
      </c>
      <c r="N163" s="61">
        <v>1.8829861111111113E-2</v>
      </c>
      <c r="O163" s="61">
        <v>6.7851851851851844E-2</v>
      </c>
      <c r="P163" s="59" t="s">
        <v>1310</v>
      </c>
      <c r="Q163" s="8">
        <f t="shared" si="3"/>
        <v>598</v>
      </c>
      <c r="R163" s="14"/>
    </row>
    <row r="164" spans="1:18">
      <c r="A164" s="59">
        <v>58</v>
      </c>
      <c r="B164" s="59">
        <v>184</v>
      </c>
      <c r="C164" s="60" t="s">
        <v>135</v>
      </c>
      <c r="D164" s="59" t="s">
        <v>1311</v>
      </c>
      <c r="E164" s="59" t="s">
        <v>1312</v>
      </c>
      <c r="F164" s="59"/>
      <c r="G164" s="59" t="s">
        <v>340</v>
      </c>
      <c r="H164" s="59" t="s">
        <v>341</v>
      </c>
      <c r="I164" s="59">
        <v>4</v>
      </c>
      <c r="J164" s="61">
        <v>1.6999999999999998E-2</v>
      </c>
      <c r="K164" s="61">
        <v>1.7511574074074074E-3</v>
      </c>
      <c r="L164" s="61">
        <v>2.932523148148148E-2</v>
      </c>
      <c r="M164" s="61">
        <v>7.349537037037037E-4</v>
      </c>
      <c r="N164" s="61">
        <v>1.987152777777778E-2</v>
      </c>
      <c r="O164" s="61">
        <v>6.8685185185185182E-2</v>
      </c>
      <c r="P164" s="59" t="s">
        <v>1313</v>
      </c>
      <c r="Q164" s="8">
        <f t="shared" si="3"/>
        <v>591</v>
      </c>
      <c r="R164" s="14"/>
    </row>
    <row r="165" spans="1:18">
      <c r="A165" s="59">
        <v>59</v>
      </c>
      <c r="B165" s="59">
        <v>192</v>
      </c>
      <c r="C165" s="60" t="s">
        <v>135</v>
      </c>
      <c r="D165" s="59" t="s">
        <v>1314</v>
      </c>
      <c r="E165" s="59" t="s">
        <v>1315</v>
      </c>
      <c r="F165" s="59"/>
      <c r="G165" s="59" t="s">
        <v>319</v>
      </c>
      <c r="H165" s="59" t="s">
        <v>159</v>
      </c>
      <c r="I165" s="59">
        <v>1</v>
      </c>
      <c r="J165" s="61">
        <v>1.5574074074074074E-2</v>
      </c>
      <c r="K165" s="61">
        <v>1.8726851851851853E-3</v>
      </c>
      <c r="L165" s="61">
        <v>3.3524305555555557E-2</v>
      </c>
      <c r="M165" s="61">
        <v>8.599537037037037E-4</v>
      </c>
      <c r="N165" s="61">
        <v>2.0413194444444446E-2</v>
      </c>
      <c r="O165" s="61">
        <v>7.2245370370370376E-2</v>
      </c>
      <c r="P165" s="59" t="s">
        <v>1316</v>
      </c>
      <c r="Q165" s="8">
        <f t="shared" si="3"/>
        <v>562</v>
      </c>
      <c r="R165" s="14"/>
    </row>
    <row r="166" spans="1:18">
      <c r="A166" s="59">
        <v>60</v>
      </c>
      <c r="B166" s="59">
        <v>160</v>
      </c>
      <c r="C166" s="60" t="s">
        <v>135</v>
      </c>
      <c r="D166" s="59" t="s">
        <v>1317</v>
      </c>
      <c r="E166" s="59" t="s">
        <v>1318</v>
      </c>
      <c r="F166" s="59" t="s">
        <v>367</v>
      </c>
      <c r="G166" s="59" t="s">
        <v>340</v>
      </c>
      <c r="H166" s="59" t="s">
        <v>357</v>
      </c>
      <c r="I166" s="59">
        <v>4</v>
      </c>
      <c r="J166" s="61">
        <v>1.6778935185185185E-2</v>
      </c>
      <c r="K166" s="61">
        <v>2.9884259259259256E-3</v>
      </c>
      <c r="L166" s="61">
        <v>2.7498842592592592E-2</v>
      </c>
      <c r="M166" s="61">
        <v>1.1111111111111111E-3</v>
      </c>
      <c r="N166" s="61">
        <v>2.4179398148148148E-2</v>
      </c>
      <c r="O166" s="61">
        <v>7.2559027777777785E-2</v>
      </c>
      <c r="P166" s="59" t="s">
        <v>1319</v>
      </c>
      <c r="Q166" s="8">
        <f t="shared" si="3"/>
        <v>560</v>
      </c>
      <c r="R166" s="14"/>
    </row>
    <row r="167" spans="1:18">
      <c r="A167" s="59">
        <v>61</v>
      </c>
      <c r="B167" s="59">
        <v>207</v>
      </c>
      <c r="C167" s="60" t="s">
        <v>135</v>
      </c>
      <c r="D167" s="59" t="s">
        <v>1320</v>
      </c>
      <c r="E167" s="59" t="s">
        <v>1321</v>
      </c>
      <c r="F167" s="59" t="s">
        <v>1058</v>
      </c>
      <c r="G167" s="59" t="s">
        <v>340</v>
      </c>
      <c r="H167" s="59" t="s">
        <v>348</v>
      </c>
      <c r="I167" s="59">
        <v>7</v>
      </c>
      <c r="J167" s="61">
        <v>1.9527777777777779E-2</v>
      </c>
      <c r="K167" s="61">
        <v>2.4641203703703704E-3</v>
      </c>
      <c r="L167" s="61">
        <v>3.0810185185185184E-2</v>
      </c>
      <c r="M167" s="61">
        <v>9.3287037037037026E-4</v>
      </c>
      <c r="N167" s="61">
        <v>2.1937500000000002E-2</v>
      </c>
      <c r="O167" s="61">
        <v>7.5673611111111108E-2</v>
      </c>
      <c r="P167" s="59" t="s">
        <v>1322</v>
      </c>
      <c r="Q167" s="8">
        <f t="shared" si="3"/>
        <v>537</v>
      </c>
      <c r="R167" s="14"/>
    </row>
    <row r="168" spans="1:18">
      <c r="A168" s="59">
        <v>62</v>
      </c>
      <c r="B168" s="59">
        <v>197</v>
      </c>
      <c r="C168" s="60" t="s">
        <v>135</v>
      </c>
      <c r="D168" s="59" t="s">
        <v>1323</v>
      </c>
      <c r="E168" s="59" t="s">
        <v>1324</v>
      </c>
      <c r="F168" s="59" t="s">
        <v>199</v>
      </c>
      <c r="G168" s="59" t="s">
        <v>319</v>
      </c>
      <c r="H168" s="59" t="s">
        <v>149</v>
      </c>
      <c r="I168" s="59">
        <v>1</v>
      </c>
      <c r="J168" s="61">
        <v>1.8212962962962962E-2</v>
      </c>
      <c r="K168" s="61">
        <v>2.2604166666666667E-3</v>
      </c>
      <c r="L168" s="61">
        <v>3.2721064814814814E-2</v>
      </c>
      <c r="M168" s="61">
        <v>7.8009259259259264E-4</v>
      </c>
      <c r="N168" s="61">
        <v>2.5144675925925924E-2</v>
      </c>
      <c r="O168" s="61">
        <v>7.9121527777777784E-2</v>
      </c>
      <c r="P168" s="59" t="s">
        <v>1325</v>
      </c>
      <c r="Q168" s="8">
        <f t="shared" si="3"/>
        <v>513</v>
      </c>
      <c r="R168" s="14"/>
    </row>
    <row r="169" spans="1:18" ht="29.1">
      <c r="A169" s="59" t="s">
        <v>683</v>
      </c>
      <c r="B169" s="59">
        <v>178</v>
      </c>
      <c r="C169" s="60" t="s">
        <v>135</v>
      </c>
      <c r="D169" s="59" t="s">
        <v>872</v>
      </c>
      <c r="E169" s="59" t="s">
        <v>873</v>
      </c>
      <c r="F169" s="59"/>
      <c r="G169" s="59" t="s">
        <v>340</v>
      </c>
      <c r="H169" s="59" t="s">
        <v>448</v>
      </c>
      <c r="I169" s="59"/>
      <c r="J169" s="61">
        <v>1.2410879629629629E-2</v>
      </c>
      <c r="K169" s="61">
        <v>1.778935185185185E-3</v>
      </c>
      <c r="L169" s="61">
        <v>2.7694444444444445E-2</v>
      </c>
      <c r="M169" s="61">
        <v>5.1041666666666672E-4</v>
      </c>
      <c r="N169" s="59"/>
      <c r="O169" s="59" t="s">
        <v>686</v>
      </c>
      <c r="P169" s="59"/>
      <c r="Q169" s="8">
        <f t="shared" si="3"/>
        <v>0</v>
      </c>
      <c r="R169" s="14"/>
    </row>
    <row r="170" spans="1:18">
      <c r="I170" s="15"/>
      <c r="J170" s="15"/>
      <c r="K170" s="15"/>
      <c r="M170" s="15"/>
      <c r="N170" s="11"/>
      <c r="O170" s="15"/>
      <c r="Q170" s="8">
        <f t="shared" si="3"/>
        <v>0</v>
      </c>
      <c r="R170" s="14"/>
    </row>
    <row r="171" spans="1:18">
      <c r="I171" s="15"/>
      <c r="J171" s="15"/>
      <c r="K171" s="15"/>
      <c r="M171" s="15"/>
      <c r="N171" s="11"/>
      <c r="O171" s="15"/>
      <c r="Q171" s="8">
        <f t="shared" si="3"/>
        <v>0</v>
      </c>
      <c r="R171" s="14"/>
    </row>
    <row r="172" spans="1:18">
      <c r="I172" s="15"/>
      <c r="J172" s="15"/>
      <c r="K172" s="15"/>
      <c r="M172" s="15"/>
      <c r="N172" s="11"/>
      <c r="O172" s="15"/>
      <c r="Q172" s="8">
        <f t="shared" si="3"/>
        <v>0</v>
      </c>
      <c r="R172" s="14"/>
    </row>
    <row r="173" spans="1:18">
      <c r="I173" s="15"/>
      <c r="J173" s="15"/>
      <c r="K173" s="15"/>
      <c r="M173" s="15"/>
      <c r="N173" s="11"/>
      <c r="O173" s="15"/>
      <c r="Q173" s="8">
        <f t="shared" ref="Q173:Q178" si="4">IFERROR(ROUND($O$107/O173*900,0),0)</f>
        <v>0</v>
      </c>
      <c r="R173" s="14"/>
    </row>
    <row r="174" spans="1:18">
      <c r="I174" s="15"/>
      <c r="J174" s="15"/>
      <c r="K174" s="15"/>
      <c r="M174" s="15"/>
      <c r="N174" s="11"/>
      <c r="O174" s="15"/>
      <c r="Q174" s="8">
        <f t="shared" si="4"/>
        <v>0</v>
      </c>
      <c r="R174" s="14"/>
    </row>
    <row r="175" spans="1:18">
      <c r="I175" s="15"/>
      <c r="J175" s="15"/>
      <c r="K175" s="15"/>
      <c r="M175" s="15"/>
      <c r="N175" s="11"/>
      <c r="O175" s="15"/>
      <c r="Q175" s="8">
        <f t="shared" si="4"/>
        <v>0</v>
      </c>
      <c r="R175" s="14"/>
    </row>
    <row r="176" spans="1:18">
      <c r="I176" s="15"/>
      <c r="J176" s="15"/>
      <c r="K176" s="15"/>
      <c r="M176" s="15"/>
      <c r="N176" s="11"/>
      <c r="O176" s="15"/>
      <c r="Q176" s="8">
        <f t="shared" si="4"/>
        <v>0</v>
      </c>
      <c r="R176" s="14"/>
    </row>
    <row r="177" spans="9:18">
      <c r="I177" s="15"/>
      <c r="J177" s="15"/>
      <c r="K177" s="15"/>
      <c r="M177" s="15"/>
      <c r="N177" s="11"/>
      <c r="O177" s="15"/>
      <c r="Q177" s="8">
        <f t="shared" si="4"/>
        <v>0</v>
      </c>
      <c r="R177" s="14"/>
    </row>
    <row r="178" spans="9:18">
      <c r="I178" s="15"/>
      <c r="J178" s="15"/>
      <c r="K178" s="15"/>
      <c r="M178" s="15"/>
      <c r="N178" s="11"/>
      <c r="O178" s="15"/>
      <c r="Q178" s="8">
        <f t="shared" si="4"/>
        <v>0</v>
      </c>
      <c r="R178" s="14"/>
    </row>
    <row r="179" spans="9:18">
      <c r="I179" s="15"/>
      <c r="J179" s="15"/>
      <c r="K179" s="15"/>
      <c r="M179" s="15"/>
      <c r="N179" s="11"/>
      <c r="O179" s="15"/>
      <c r="Q179" s="15"/>
      <c r="R179" s="14"/>
    </row>
    <row r="180" spans="9:18">
      <c r="I180" s="15"/>
      <c r="J180" s="15"/>
      <c r="K180" s="15"/>
      <c r="M180" s="15"/>
      <c r="N180" s="11"/>
      <c r="O180" s="15"/>
      <c r="Q180" s="15"/>
      <c r="R180" s="14"/>
    </row>
    <row r="181" spans="9:18">
      <c r="I181" s="15"/>
      <c r="J181" s="15"/>
      <c r="K181" s="15"/>
      <c r="M181" s="15"/>
      <c r="N181" s="11"/>
      <c r="O181" s="15"/>
      <c r="Q181" s="15"/>
      <c r="R181" s="14"/>
    </row>
    <row r="182" spans="9:18">
      <c r="I182" s="15"/>
      <c r="J182" s="15"/>
      <c r="K182" s="15"/>
      <c r="M182" s="15"/>
      <c r="N182" s="11"/>
      <c r="O182" s="15"/>
      <c r="Q182" s="15"/>
      <c r="R182" s="14"/>
    </row>
    <row r="183" spans="9:18">
      <c r="I183" s="15"/>
      <c r="J183" s="15"/>
      <c r="K183" s="15"/>
      <c r="M183" s="15"/>
      <c r="N183" s="11"/>
      <c r="O183" s="15"/>
      <c r="Q183" s="15"/>
      <c r="R183" s="14"/>
    </row>
    <row r="184" spans="9:18">
      <c r="I184" s="15"/>
      <c r="J184" s="15"/>
      <c r="K184" s="15"/>
      <c r="M184" s="15"/>
      <c r="N184" s="11"/>
      <c r="O184" s="15"/>
      <c r="Q184" s="15"/>
      <c r="R184" s="14"/>
    </row>
    <row r="185" spans="9:18">
      <c r="I185" s="15"/>
      <c r="J185" s="15"/>
      <c r="K185" s="15"/>
      <c r="M185" s="15"/>
      <c r="N185" s="11"/>
      <c r="O185" s="15"/>
      <c r="Q185" s="15"/>
      <c r="R185" s="14"/>
    </row>
    <row r="186" spans="9:18">
      <c r="I186" s="15"/>
      <c r="J186" s="15"/>
      <c r="K186" s="15"/>
      <c r="M186" s="15"/>
      <c r="N186" s="11"/>
      <c r="O186" s="15"/>
      <c r="Q186" s="15"/>
      <c r="R186" s="14"/>
    </row>
    <row r="187" spans="9:18">
      <c r="I187" s="15"/>
      <c r="J187" s="15"/>
      <c r="K187" s="15"/>
      <c r="M187" s="15"/>
      <c r="N187" s="11"/>
      <c r="O187" s="15"/>
      <c r="Q187" s="15"/>
      <c r="R187" s="14"/>
    </row>
    <row r="188" spans="9:18">
      <c r="I188" s="15"/>
      <c r="J188" s="15"/>
      <c r="K188" s="15"/>
      <c r="M188" s="15"/>
      <c r="N188" s="11"/>
      <c r="O188" s="15"/>
      <c r="Q188" s="15"/>
      <c r="R188" s="14"/>
    </row>
    <row r="189" spans="9:18">
      <c r="I189" s="15"/>
      <c r="J189" s="15"/>
      <c r="K189" s="15"/>
      <c r="M189" s="15"/>
      <c r="N189" s="11"/>
      <c r="O189" s="15"/>
      <c r="Q189" s="15"/>
      <c r="R189" s="14"/>
    </row>
    <row r="190" spans="9:18">
      <c r="I190" s="15"/>
      <c r="J190" s="15"/>
      <c r="K190" s="15"/>
      <c r="M190" s="15"/>
      <c r="N190" s="11"/>
      <c r="O190" s="15"/>
      <c r="Q190" s="15"/>
      <c r="R190" s="14"/>
    </row>
    <row r="191" spans="9:18">
      <c r="I191" s="15"/>
      <c r="J191" s="15"/>
      <c r="K191" s="15"/>
      <c r="M191" s="15"/>
      <c r="N191" s="11"/>
      <c r="O191" s="15"/>
      <c r="Q191" s="15"/>
      <c r="R191" s="14"/>
    </row>
    <row r="192" spans="9:18">
      <c r="I192" s="15"/>
      <c r="J192" s="15"/>
      <c r="K192" s="15"/>
      <c r="M192" s="15"/>
      <c r="N192" s="11"/>
      <c r="O192" s="15"/>
      <c r="Q192" s="15"/>
      <c r="R192" s="14"/>
    </row>
    <row r="193" spans="9:18">
      <c r="I193" s="15"/>
      <c r="J193" s="15"/>
      <c r="K193" s="15"/>
      <c r="M193" s="15"/>
      <c r="N193" s="11"/>
      <c r="O193" s="15"/>
      <c r="Q193" s="15"/>
      <c r="R193" s="14"/>
    </row>
    <row r="194" spans="9:18">
      <c r="I194" s="15"/>
      <c r="J194" s="15"/>
      <c r="K194" s="15"/>
      <c r="M194" s="15"/>
      <c r="N194" s="11"/>
      <c r="O194" s="15"/>
      <c r="Q194" s="15"/>
      <c r="R194" s="14"/>
    </row>
    <row r="195" spans="9:18">
      <c r="I195" s="15"/>
      <c r="J195" s="15"/>
      <c r="K195" s="15"/>
      <c r="M195" s="15"/>
      <c r="N195" s="11"/>
      <c r="O195" s="15"/>
      <c r="Q195" s="15"/>
      <c r="R195" s="14"/>
    </row>
    <row r="196" spans="9:18">
      <c r="I196" s="15"/>
      <c r="J196" s="15"/>
      <c r="K196" s="15"/>
      <c r="M196" s="15"/>
      <c r="N196" s="11"/>
      <c r="O196" s="15"/>
      <c r="Q196" s="15"/>
      <c r="R196" s="14"/>
    </row>
    <row r="197" spans="9:18">
      <c r="I197" s="15"/>
      <c r="J197" s="15"/>
      <c r="K197" s="15"/>
      <c r="M197" s="15"/>
      <c r="N197" s="11"/>
      <c r="O197" s="15"/>
      <c r="Q197" s="15"/>
      <c r="R197" s="14"/>
    </row>
    <row r="198" spans="9:18">
      <c r="I198" s="15"/>
      <c r="J198" s="15"/>
      <c r="K198" s="15"/>
      <c r="M198" s="15"/>
      <c r="N198" s="11"/>
      <c r="O198" s="15"/>
      <c r="Q198" s="15"/>
      <c r="R198" s="14"/>
    </row>
    <row r="199" spans="9:18">
      <c r="I199" s="15"/>
      <c r="J199" s="15"/>
      <c r="K199" s="15"/>
      <c r="M199" s="15"/>
      <c r="N199" s="11"/>
      <c r="O199" s="15"/>
      <c r="Q199" s="15"/>
      <c r="R199" s="14"/>
    </row>
    <row r="200" spans="9:18">
      <c r="I200" s="15"/>
      <c r="J200" s="15"/>
      <c r="K200" s="15"/>
      <c r="M200" s="15"/>
      <c r="N200" s="11"/>
      <c r="O200" s="15"/>
      <c r="Q200" s="15"/>
      <c r="R200" s="14"/>
    </row>
    <row r="201" spans="9:18">
      <c r="I201" s="15"/>
      <c r="J201" s="15"/>
      <c r="K201" s="15"/>
      <c r="M201" s="15"/>
      <c r="N201" s="11"/>
      <c r="O201" s="15"/>
      <c r="Q201" s="15"/>
      <c r="R201" s="14"/>
    </row>
    <row r="202" spans="9:18">
      <c r="I202" s="15"/>
      <c r="J202" s="15"/>
      <c r="K202" s="15"/>
      <c r="M202" s="15"/>
      <c r="N202" s="11"/>
      <c r="O202" s="15"/>
      <c r="Q202" s="15"/>
      <c r="R202" s="14"/>
    </row>
    <row r="203" spans="9:18">
      <c r="I203" s="15"/>
      <c r="J203" s="15"/>
      <c r="K203" s="15"/>
      <c r="M203" s="15"/>
      <c r="N203" s="11"/>
      <c r="O203" s="15"/>
      <c r="Q203" s="15"/>
      <c r="R203" s="14"/>
    </row>
    <row r="204" spans="9:18">
      <c r="I204" s="15"/>
      <c r="J204" s="15"/>
      <c r="K204" s="15"/>
      <c r="M204" s="15"/>
      <c r="N204" s="11"/>
      <c r="O204" s="15"/>
      <c r="Q204" s="15"/>
      <c r="R204" s="14"/>
    </row>
    <row r="205" spans="9:18">
      <c r="I205" s="15"/>
      <c r="J205" s="15"/>
      <c r="K205" s="15"/>
      <c r="M205" s="15"/>
      <c r="N205" s="11"/>
      <c r="O205" s="15"/>
      <c r="Q205" s="15"/>
      <c r="R205" s="14"/>
    </row>
    <row r="206" spans="9:18">
      <c r="I206" s="15"/>
      <c r="J206" s="15"/>
      <c r="K206" s="15"/>
      <c r="M206" s="15"/>
      <c r="N206" s="11"/>
      <c r="O206" s="15"/>
      <c r="Q206" s="15"/>
      <c r="R206" s="14"/>
    </row>
    <row r="207" spans="9:18">
      <c r="I207" s="15"/>
      <c r="J207" s="15"/>
      <c r="K207" s="15"/>
      <c r="M207" s="15"/>
      <c r="N207" s="11"/>
      <c r="O207" s="15"/>
      <c r="Q207" s="15"/>
      <c r="R207" s="14"/>
    </row>
    <row r="208" spans="9:18">
      <c r="I208" s="15"/>
      <c r="J208" s="15"/>
      <c r="K208" s="15"/>
      <c r="M208" s="15"/>
      <c r="N208" s="11"/>
      <c r="O208" s="15"/>
      <c r="Q208" s="15"/>
      <c r="R208" s="14"/>
    </row>
    <row r="209" spans="9:18">
      <c r="I209" s="15"/>
      <c r="J209" s="15"/>
      <c r="K209" s="15"/>
      <c r="M209" s="15"/>
      <c r="N209" s="11"/>
      <c r="O209" s="15"/>
      <c r="Q209" s="15"/>
      <c r="R209" s="14"/>
    </row>
    <row r="210" spans="9:18">
      <c r="I210" s="15"/>
      <c r="J210" s="15"/>
      <c r="K210" s="15"/>
      <c r="M210" s="15"/>
      <c r="N210" s="11"/>
      <c r="O210" s="15"/>
      <c r="Q210" s="15"/>
      <c r="R210" s="14"/>
    </row>
    <row r="211" spans="9:18">
      <c r="I211" s="15"/>
      <c r="J211" s="15"/>
      <c r="K211" s="15"/>
      <c r="M211" s="15"/>
      <c r="N211" s="11"/>
      <c r="O211" s="15"/>
      <c r="Q211" s="15"/>
      <c r="R211" s="14"/>
    </row>
    <row r="212" spans="9:18">
      <c r="I212" s="15"/>
      <c r="J212" s="15"/>
      <c r="K212" s="15"/>
      <c r="M212" s="15"/>
      <c r="N212" s="11"/>
      <c r="O212" s="15"/>
      <c r="Q212" s="15"/>
      <c r="R212" s="14"/>
    </row>
    <row r="213" spans="9:18">
      <c r="I213" s="15"/>
      <c r="J213" s="15"/>
      <c r="K213" s="15"/>
      <c r="M213" s="15"/>
      <c r="N213" s="11"/>
      <c r="O213" s="15"/>
      <c r="Q213" s="15"/>
      <c r="R213" s="14"/>
    </row>
    <row r="214" spans="9:18">
      <c r="I214" s="15"/>
      <c r="J214" s="15"/>
      <c r="K214" s="15"/>
      <c r="M214" s="15"/>
      <c r="N214" s="11"/>
      <c r="O214" s="15"/>
      <c r="Q214" s="15"/>
      <c r="R214" s="14"/>
    </row>
    <row r="215" spans="9:18">
      <c r="I215" s="15"/>
      <c r="J215" s="15"/>
      <c r="K215" s="15"/>
      <c r="M215" s="15"/>
      <c r="N215" s="11"/>
      <c r="O215" s="15"/>
      <c r="Q215" s="15"/>
      <c r="R215" s="14"/>
    </row>
    <row r="216" spans="9:18">
      <c r="I216" s="15"/>
      <c r="J216" s="15"/>
      <c r="K216" s="15"/>
      <c r="M216" s="15"/>
      <c r="N216" s="11"/>
      <c r="O216" s="15"/>
      <c r="Q216" s="15"/>
      <c r="R216" s="14"/>
    </row>
    <row r="217" spans="9:18">
      <c r="I217" s="15"/>
      <c r="J217" s="15"/>
      <c r="K217" s="15"/>
      <c r="M217" s="15"/>
      <c r="N217" s="11"/>
      <c r="O217" s="15"/>
      <c r="Q217" s="15"/>
      <c r="R217" s="14"/>
    </row>
    <row r="218" spans="9:18">
      <c r="I218" s="15"/>
      <c r="J218" s="15"/>
      <c r="K218" s="15"/>
      <c r="M218" s="15"/>
      <c r="N218" s="11"/>
      <c r="O218" s="15"/>
      <c r="Q218" s="15"/>
      <c r="R218" s="14"/>
    </row>
    <row r="219" spans="9:18">
      <c r="I219" s="15"/>
      <c r="J219" s="15"/>
      <c r="K219" s="15"/>
      <c r="M219" s="15"/>
      <c r="N219" s="11"/>
      <c r="O219" s="15"/>
      <c r="Q219" s="15"/>
      <c r="R219" s="14"/>
    </row>
    <row r="220" spans="9:18">
      <c r="I220" s="15"/>
      <c r="J220" s="15"/>
      <c r="K220" s="15"/>
      <c r="M220" s="15"/>
      <c r="N220" s="11"/>
      <c r="O220" s="15"/>
      <c r="Q220" s="15"/>
      <c r="R220" s="14"/>
    </row>
    <row r="221" spans="9:18">
      <c r="I221" s="15"/>
      <c r="J221" s="15"/>
      <c r="K221" s="15"/>
      <c r="M221" s="15"/>
      <c r="N221" s="11"/>
      <c r="O221" s="15"/>
      <c r="Q221" s="15"/>
      <c r="R221" s="14"/>
    </row>
    <row r="222" spans="9:18">
      <c r="I222" s="15"/>
      <c r="J222" s="15"/>
      <c r="K222" s="15"/>
      <c r="M222" s="15"/>
      <c r="N222" s="11"/>
      <c r="O222" s="15"/>
      <c r="Q222" s="15"/>
      <c r="R222" s="14"/>
    </row>
    <row r="223" spans="9:18">
      <c r="I223" s="15"/>
      <c r="J223" s="15"/>
      <c r="K223" s="15"/>
      <c r="M223" s="15"/>
      <c r="N223" s="11"/>
      <c r="O223" s="15"/>
      <c r="Q223" s="15"/>
      <c r="R223" s="14"/>
    </row>
    <row r="224" spans="9:18">
      <c r="I224" s="15"/>
      <c r="J224" s="15"/>
      <c r="K224" s="15"/>
      <c r="M224" s="15"/>
      <c r="N224" s="11"/>
      <c r="O224" s="15"/>
      <c r="Q224" s="15"/>
      <c r="R224" s="14"/>
    </row>
    <row r="225" spans="1:18">
      <c r="I225" s="15"/>
      <c r="J225" s="15"/>
      <c r="K225" s="15"/>
      <c r="M225" s="15"/>
      <c r="N225" s="11"/>
      <c r="O225" s="15"/>
      <c r="Q225" s="15"/>
      <c r="R225" s="14"/>
    </row>
    <row r="226" spans="1:18">
      <c r="I226" s="15"/>
      <c r="J226" s="15"/>
      <c r="K226" s="15"/>
      <c r="M226" s="15"/>
      <c r="N226" s="11"/>
      <c r="O226" s="15"/>
      <c r="Q226" s="15"/>
      <c r="R226" s="14"/>
    </row>
    <row r="227" spans="1:18">
      <c r="A227" s="88"/>
      <c r="B227" s="88"/>
      <c r="I227" s="15"/>
      <c r="J227" s="15"/>
      <c r="K227" s="15"/>
      <c r="M227" s="15"/>
      <c r="N227" s="11"/>
      <c r="O227" s="15"/>
      <c r="Q227" s="15"/>
      <c r="R227" s="14"/>
    </row>
    <row r="228" spans="1:18">
      <c r="I228" s="15"/>
      <c r="J228" s="15"/>
      <c r="K228" s="15"/>
      <c r="M228" s="15"/>
      <c r="N228" s="11"/>
      <c r="O228" s="15"/>
      <c r="Q228" s="15"/>
      <c r="R228" s="14"/>
    </row>
    <row r="229" spans="1:18">
      <c r="I229" s="15"/>
      <c r="J229" s="15"/>
      <c r="K229" s="15"/>
      <c r="M229" s="15"/>
      <c r="N229" s="11"/>
      <c r="O229" s="15"/>
      <c r="Q229" s="15"/>
      <c r="R229" s="14"/>
    </row>
    <row r="230" spans="1:18">
      <c r="I230" s="15"/>
      <c r="J230" s="15"/>
      <c r="K230" s="15"/>
      <c r="M230" s="15"/>
      <c r="N230" s="11"/>
      <c r="O230" s="15"/>
      <c r="Q230" s="15"/>
      <c r="R230" s="14"/>
    </row>
    <row r="231" spans="1:18">
      <c r="I231" s="15"/>
      <c r="J231" s="15"/>
      <c r="K231" s="15"/>
      <c r="M231" s="15"/>
      <c r="N231" s="11"/>
      <c r="O231" s="15"/>
      <c r="Q231" s="15"/>
      <c r="R231" s="14"/>
    </row>
    <row r="232" spans="1:18">
      <c r="H232" s="15"/>
      <c r="I232" s="15"/>
      <c r="J232" s="15"/>
      <c r="K232" s="15"/>
      <c r="M232" s="15"/>
      <c r="N232" s="11"/>
      <c r="O232" s="15"/>
      <c r="Q232" s="15"/>
      <c r="R232" s="14"/>
    </row>
    <row r="233" spans="1:18">
      <c r="H233" s="15"/>
      <c r="I233" s="15"/>
      <c r="J233" s="15"/>
      <c r="K233" s="15"/>
      <c r="M233" s="15"/>
      <c r="N233" s="11"/>
      <c r="O233" s="15"/>
      <c r="Q233" s="15"/>
      <c r="R233" s="14"/>
    </row>
    <row r="234" spans="1:18">
      <c r="H234" s="15"/>
      <c r="I234" s="15"/>
      <c r="J234" s="15"/>
      <c r="K234" s="15"/>
      <c r="M234" s="15"/>
      <c r="N234" s="11"/>
      <c r="O234" s="15"/>
      <c r="Q234" s="15"/>
      <c r="R234" s="14"/>
    </row>
    <row r="235" spans="1:18">
      <c r="H235" s="15"/>
      <c r="I235" s="15"/>
      <c r="J235" s="15"/>
      <c r="K235" s="15"/>
      <c r="M235" s="15"/>
      <c r="N235" s="11"/>
      <c r="O235" s="15"/>
      <c r="Q235" s="15"/>
      <c r="R235" s="14"/>
    </row>
    <row r="236" spans="1:18">
      <c r="H236" s="15"/>
      <c r="I236" s="15"/>
      <c r="J236" s="15"/>
      <c r="K236" s="15"/>
      <c r="M236" s="15"/>
      <c r="N236" s="11"/>
      <c r="O236" s="15"/>
      <c r="Q236" s="15"/>
      <c r="R236" s="14"/>
    </row>
    <row r="237" spans="1:18">
      <c r="H237" s="15"/>
      <c r="I237" s="15"/>
      <c r="J237" s="15"/>
      <c r="K237" s="15"/>
      <c r="M237" s="15"/>
      <c r="N237" s="11"/>
      <c r="O237" s="15"/>
      <c r="Q237" s="15"/>
      <c r="R237" s="14"/>
    </row>
    <row r="238" spans="1:18">
      <c r="H238" s="15"/>
      <c r="I238" s="15"/>
      <c r="J238" s="15"/>
      <c r="K238" s="15"/>
      <c r="M238" s="15"/>
      <c r="N238" s="11"/>
      <c r="O238" s="15"/>
      <c r="Q238" s="15"/>
      <c r="R238" s="14"/>
    </row>
    <row r="239" spans="1:18">
      <c r="H239" s="15"/>
      <c r="I239" s="15"/>
      <c r="J239" s="15"/>
      <c r="K239" s="15"/>
      <c r="M239" s="15"/>
      <c r="N239" s="11"/>
      <c r="O239" s="15"/>
      <c r="Q239" s="15"/>
      <c r="R239" s="14"/>
    </row>
    <row r="240" spans="1:18">
      <c r="H240" s="15"/>
      <c r="I240" s="15"/>
      <c r="J240" s="15"/>
      <c r="K240" s="15"/>
      <c r="M240" s="15"/>
      <c r="N240" s="11"/>
      <c r="O240" s="15"/>
      <c r="Q240" s="15"/>
      <c r="R240" s="14"/>
    </row>
    <row r="241" spans="8:18">
      <c r="H241" s="15"/>
      <c r="I241" s="15"/>
      <c r="J241" s="15"/>
      <c r="K241" s="15"/>
      <c r="M241" s="15"/>
      <c r="N241" s="11"/>
      <c r="O241" s="15"/>
      <c r="Q241" s="15"/>
      <c r="R241" s="14"/>
    </row>
    <row r="242" spans="8:18">
      <c r="H242" s="15"/>
      <c r="I242" s="15"/>
      <c r="J242" s="15"/>
      <c r="K242" s="15"/>
      <c r="M242" s="15"/>
      <c r="N242" s="11"/>
      <c r="O242" s="15"/>
      <c r="Q242" s="15"/>
      <c r="R242" s="14"/>
    </row>
    <row r="243" spans="8:18">
      <c r="H243" s="15"/>
      <c r="I243" s="15"/>
      <c r="J243" s="15"/>
      <c r="K243" s="15"/>
      <c r="M243" s="15"/>
      <c r="N243" s="11"/>
      <c r="O243" s="15"/>
      <c r="Q243" s="15"/>
      <c r="R243" s="14"/>
    </row>
    <row r="244" spans="8:18">
      <c r="H244" s="15"/>
      <c r="I244" s="15"/>
      <c r="J244" s="15"/>
      <c r="K244" s="15"/>
      <c r="M244" s="15"/>
      <c r="N244" s="11"/>
      <c r="O244" s="15"/>
      <c r="Q244" s="15"/>
      <c r="R244" s="14"/>
    </row>
    <row r="245" spans="8:18">
      <c r="H245" s="15"/>
      <c r="I245" s="15"/>
      <c r="J245" s="15"/>
      <c r="K245" s="15"/>
      <c r="M245" s="15"/>
      <c r="N245" s="11"/>
      <c r="O245" s="15"/>
      <c r="Q245" s="15"/>
      <c r="R245" s="14"/>
    </row>
    <row r="246" spans="8:18">
      <c r="H246" s="15"/>
      <c r="I246" s="15"/>
      <c r="J246" s="15"/>
      <c r="K246" s="15"/>
      <c r="M246" s="15"/>
      <c r="N246" s="11"/>
      <c r="O246" s="15"/>
      <c r="Q246" s="15"/>
      <c r="R246" s="14"/>
    </row>
    <row r="247" spans="8:18">
      <c r="H247" s="15"/>
      <c r="I247" s="15"/>
      <c r="J247" s="15"/>
      <c r="K247" s="15"/>
      <c r="M247" s="15"/>
      <c r="N247" s="11"/>
      <c r="O247" s="15"/>
      <c r="Q247" s="15"/>
      <c r="R247" s="14"/>
    </row>
    <row r="248" spans="8:18">
      <c r="H248" s="15"/>
      <c r="I248" s="15"/>
      <c r="J248" s="15"/>
      <c r="K248" s="15"/>
      <c r="M248" s="15"/>
      <c r="N248" s="11"/>
      <c r="O248" s="15"/>
      <c r="Q248" s="15"/>
      <c r="R248" s="14"/>
    </row>
    <row r="249" spans="8:18">
      <c r="H249" s="15"/>
      <c r="I249" s="15"/>
      <c r="J249" s="15"/>
      <c r="K249" s="15"/>
      <c r="M249" s="15"/>
      <c r="N249" s="11"/>
      <c r="O249" s="15"/>
      <c r="Q249" s="15"/>
      <c r="R249" s="14"/>
    </row>
    <row r="250" spans="8:18">
      <c r="H250" s="15"/>
      <c r="I250" s="15"/>
      <c r="J250" s="15"/>
      <c r="K250" s="15"/>
      <c r="M250" s="15"/>
      <c r="N250" s="11"/>
      <c r="O250" s="15"/>
      <c r="Q250" s="15"/>
      <c r="R250" s="14"/>
    </row>
    <row r="251" spans="8:18">
      <c r="H251" s="15"/>
      <c r="I251" s="15"/>
      <c r="J251" s="15"/>
      <c r="K251" s="15"/>
      <c r="M251" s="15"/>
      <c r="N251" s="11"/>
      <c r="O251" s="15"/>
      <c r="Q251" s="15"/>
      <c r="R251" s="14"/>
    </row>
    <row r="252" spans="8:18">
      <c r="H252" s="15"/>
      <c r="I252" s="15"/>
      <c r="J252" s="15"/>
      <c r="K252" s="15"/>
      <c r="M252" s="15"/>
      <c r="N252" s="11"/>
      <c r="O252" s="15"/>
      <c r="Q252" s="15"/>
      <c r="R252" s="14"/>
    </row>
    <row r="253" spans="8:18">
      <c r="H253" s="15"/>
      <c r="I253" s="15"/>
      <c r="J253" s="15"/>
      <c r="K253" s="15"/>
      <c r="M253" s="15"/>
      <c r="N253" s="11"/>
      <c r="O253" s="15"/>
      <c r="Q253" s="15"/>
      <c r="R253" s="14"/>
    </row>
    <row r="254" spans="8:18">
      <c r="H254" s="15"/>
      <c r="I254" s="15"/>
      <c r="J254" s="15"/>
      <c r="K254" s="15"/>
      <c r="M254" s="15"/>
      <c r="N254" s="11"/>
      <c r="O254" s="15"/>
      <c r="Q254" s="15"/>
      <c r="R254" s="14"/>
    </row>
    <row r="255" spans="8:18">
      <c r="H255" s="15"/>
      <c r="I255" s="15"/>
      <c r="J255" s="15"/>
      <c r="K255" s="15"/>
      <c r="M255" s="15"/>
      <c r="N255" s="11"/>
      <c r="O255" s="15"/>
      <c r="Q255" s="15"/>
      <c r="R255" s="14"/>
    </row>
    <row r="256" spans="8:18">
      <c r="H256" s="15"/>
      <c r="I256" s="15"/>
      <c r="J256" s="15"/>
      <c r="K256" s="15"/>
      <c r="M256" s="15"/>
      <c r="N256" s="11"/>
      <c r="O256" s="15"/>
      <c r="Q256" s="15"/>
      <c r="R256" s="14"/>
    </row>
    <row r="257" spans="8:18">
      <c r="H257" s="15"/>
      <c r="I257" s="15"/>
      <c r="J257" s="15"/>
      <c r="K257" s="15"/>
      <c r="M257" s="15"/>
      <c r="N257" s="11"/>
      <c r="O257" s="15"/>
      <c r="Q257" s="15"/>
      <c r="R257" s="14"/>
    </row>
    <row r="258" spans="8:18">
      <c r="H258" s="15"/>
      <c r="I258" s="15"/>
      <c r="J258" s="15"/>
      <c r="K258" s="15"/>
      <c r="M258" s="15"/>
      <c r="N258" s="11"/>
      <c r="O258" s="15"/>
      <c r="Q258" s="15"/>
      <c r="R258" s="14"/>
    </row>
    <row r="259" spans="8:18">
      <c r="H259" s="15"/>
      <c r="I259" s="15"/>
      <c r="J259" s="15"/>
      <c r="K259" s="15"/>
      <c r="M259" s="15"/>
      <c r="N259" s="11"/>
      <c r="O259" s="15"/>
      <c r="Q259" s="15"/>
      <c r="R259" s="14"/>
    </row>
    <row r="260" spans="8:18">
      <c r="H260" s="15"/>
      <c r="I260" s="15"/>
      <c r="J260" s="15"/>
      <c r="K260" s="15"/>
      <c r="M260" s="15"/>
      <c r="N260" s="11"/>
      <c r="O260" s="15"/>
      <c r="Q260" s="15"/>
      <c r="R260" s="14"/>
    </row>
    <row r="261" spans="8:18">
      <c r="H261" s="15"/>
      <c r="I261" s="15"/>
      <c r="J261" s="15"/>
      <c r="K261" s="15"/>
      <c r="M261" s="15"/>
      <c r="N261" s="11"/>
      <c r="O261" s="15"/>
      <c r="Q261" s="15"/>
      <c r="R261" s="14"/>
    </row>
    <row r="262" spans="8:18">
      <c r="H262" s="15"/>
      <c r="I262" s="15"/>
      <c r="J262" s="15"/>
      <c r="K262" s="15"/>
      <c r="M262" s="15"/>
      <c r="N262" s="11"/>
      <c r="O262" s="15"/>
      <c r="Q262" s="15"/>
      <c r="R262" s="14"/>
    </row>
    <row r="263" spans="8:18">
      <c r="H263" s="15"/>
      <c r="I263" s="15"/>
      <c r="J263" s="15"/>
      <c r="K263" s="15"/>
      <c r="M263" s="15"/>
      <c r="N263" s="11"/>
      <c r="O263" s="15"/>
      <c r="Q263" s="15"/>
      <c r="R263" s="14"/>
    </row>
    <row r="264" spans="8:18">
      <c r="H264" s="15"/>
      <c r="I264" s="15"/>
      <c r="J264" s="15"/>
      <c r="K264" s="15"/>
      <c r="M264" s="15"/>
      <c r="N264" s="11"/>
      <c r="O264" s="15"/>
      <c r="Q264" s="15"/>
      <c r="R264" s="14"/>
    </row>
    <row r="265" spans="8:18">
      <c r="H265" s="15"/>
      <c r="I265" s="15"/>
      <c r="J265" s="15"/>
      <c r="K265" s="15"/>
      <c r="M265" s="15"/>
      <c r="N265" s="11"/>
      <c r="O265" s="15"/>
      <c r="Q265" s="15"/>
      <c r="R265" s="14"/>
    </row>
    <row r="266" spans="8:18">
      <c r="H266" s="15"/>
      <c r="I266" s="15"/>
      <c r="J266" s="15"/>
      <c r="K266" s="15"/>
      <c r="M266" s="15"/>
      <c r="N266" s="11"/>
      <c r="O266" s="15"/>
      <c r="Q266" s="15"/>
      <c r="R266" s="14"/>
    </row>
    <row r="267" spans="8:18">
      <c r="H267" s="15"/>
      <c r="I267" s="15"/>
      <c r="J267" s="15"/>
      <c r="K267" s="15"/>
      <c r="M267" s="15"/>
      <c r="N267" s="11"/>
      <c r="O267" s="15"/>
      <c r="Q267" s="15"/>
      <c r="R267" s="14"/>
    </row>
    <row r="268" spans="8:18">
      <c r="H268" s="15"/>
      <c r="I268" s="15"/>
      <c r="J268" s="15"/>
      <c r="K268" s="15"/>
      <c r="M268" s="15"/>
      <c r="N268" s="11"/>
      <c r="O268" s="15"/>
      <c r="Q268" s="15"/>
      <c r="R268" s="14"/>
    </row>
    <row r="269" spans="8:18">
      <c r="H269" s="15"/>
      <c r="I269" s="15"/>
      <c r="J269" s="15"/>
      <c r="K269" s="15"/>
      <c r="M269" s="15"/>
      <c r="N269" s="11"/>
      <c r="O269" s="15"/>
      <c r="Q269" s="15"/>
      <c r="R269" s="14"/>
    </row>
    <row r="270" spans="8:18">
      <c r="H270" s="15"/>
      <c r="I270" s="15"/>
      <c r="J270" s="15"/>
      <c r="K270" s="15"/>
      <c r="M270" s="15"/>
      <c r="N270" s="11"/>
      <c r="O270" s="15"/>
      <c r="Q270" s="15"/>
      <c r="R270" s="14"/>
    </row>
    <row r="271" spans="8:18">
      <c r="H271" s="15"/>
      <c r="I271" s="15"/>
      <c r="J271" s="15"/>
      <c r="K271" s="15"/>
      <c r="M271" s="15"/>
      <c r="N271" s="11"/>
      <c r="O271" s="15"/>
      <c r="Q271" s="15"/>
      <c r="R271" s="14"/>
    </row>
    <row r="272" spans="8:18">
      <c r="H272" s="15"/>
      <c r="I272" s="15"/>
      <c r="J272" s="15"/>
      <c r="K272" s="15"/>
      <c r="M272" s="15"/>
      <c r="N272" s="11"/>
      <c r="O272" s="15"/>
      <c r="Q272" s="15"/>
      <c r="R272" s="14"/>
    </row>
    <row r="273" spans="8:18">
      <c r="H273" s="15"/>
      <c r="I273" s="15"/>
      <c r="J273" s="15"/>
      <c r="K273" s="15"/>
      <c r="M273" s="15"/>
      <c r="N273" s="11"/>
      <c r="O273" s="15"/>
      <c r="Q273" s="15"/>
      <c r="R273" s="14"/>
    </row>
    <row r="274" spans="8:18">
      <c r="H274" s="15"/>
      <c r="I274" s="15"/>
      <c r="J274" s="15"/>
      <c r="K274" s="15"/>
      <c r="M274" s="15"/>
      <c r="N274" s="11"/>
      <c r="O274" s="15"/>
      <c r="Q274" s="15"/>
      <c r="R274" s="14"/>
    </row>
    <row r="275" spans="8:18">
      <c r="H275" s="15"/>
      <c r="I275" s="15"/>
      <c r="J275" s="15"/>
      <c r="K275" s="15"/>
      <c r="M275" s="15"/>
      <c r="N275" s="11"/>
      <c r="O275" s="15"/>
      <c r="Q275" s="15"/>
      <c r="R275" s="14"/>
    </row>
    <row r="276" spans="8:18">
      <c r="H276" s="15"/>
      <c r="I276" s="15"/>
      <c r="J276" s="15"/>
      <c r="K276" s="15"/>
      <c r="M276" s="15"/>
      <c r="N276" s="11"/>
      <c r="O276" s="15"/>
      <c r="Q276" s="15"/>
      <c r="R276" s="14"/>
    </row>
    <row r="277" spans="8:18">
      <c r="H277" s="15"/>
      <c r="I277" s="15"/>
      <c r="J277" s="15"/>
      <c r="K277" s="15"/>
      <c r="M277" s="15"/>
      <c r="N277" s="11"/>
      <c r="O277" s="15"/>
      <c r="Q277" s="15"/>
      <c r="R277" s="14"/>
    </row>
    <row r="278" spans="8:18">
      <c r="H278" s="15"/>
      <c r="I278" s="15"/>
      <c r="J278" s="15"/>
      <c r="K278" s="15"/>
      <c r="M278" s="15"/>
      <c r="N278" s="11"/>
      <c r="O278" s="15"/>
      <c r="Q278" s="15"/>
      <c r="R278" s="14"/>
    </row>
    <row r="279" spans="8:18">
      <c r="H279" s="15"/>
      <c r="I279" s="15"/>
      <c r="J279" s="15"/>
      <c r="K279" s="15"/>
      <c r="M279" s="15"/>
      <c r="N279" s="11"/>
      <c r="O279" s="15"/>
      <c r="Q279" s="15"/>
      <c r="R279" s="14"/>
    </row>
    <row r="280" spans="8:18">
      <c r="H280" s="15"/>
      <c r="I280" s="15"/>
      <c r="J280" s="15"/>
      <c r="K280" s="15"/>
      <c r="M280" s="15"/>
      <c r="N280" s="11"/>
      <c r="O280" s="15"/>
      <c r="Q280" s="15"/>
      <c r="R280" s="14"/>
    </row>
    <row r="281" spans="8:18">
      <c r="H281" s="15"/>
      <c r="I281" s="15"/>
      <c r="J281" s="15"/>
      <c r="K281" s="15"/>
      <c r="M281" s="15"/>
      <c r="N281" s="11"/>
      <c r="O281" s="15"/>
      <c r="Q281" s="15"/>
      <c r="R281" s="14"/>
    </row>
    <row r="282" spans="8:18">
      <c r="H282" s="15"/>
      <c r="I282" s="15"/>
      <c r="J282" s="15"/>
      <c r="K282" s="15"/>
      <c r="M282" s="15"/>
      <c r="N282" s="11"/>
      <c r="O282" s="15"/>
      <c r="Q282" s="15"/>
      <c r="R282" s="14"/>
    </row>
    <row r="283" spans="8:18">
      <c r="H283" s="15"/>
      <c r="I283" s="15"/>
      <c r="J283" s="15"/>
      <c r="K283" s="15"/>
      <c r="M283" s="15"/>
      <c r="N283" s="11"/>
      <c r="O283" s="15"/>
      <c r="Q283" s="15"/>
      <c r="R283" s="14"/>
    </row>
    <row r="284" spans="8:18">
      <c r="H284" s="15"/>
      <c r="I284" s="15"/>
      <c r="J284" s="15"/>
      <c r="K284" s="15"/>
      <c r="M284" s="15"/>
      <c r="N284" s="11"/>
      <c r="O284" s="15"/>
      <c r="Q284" s="15"/>
      <c r="R284" s="14"/>
    </row>
    <row r="285" spans="8:18">
      <c r="H285" s="15"/>
      <c r="I285" s="15"/>
      <c r="J285" s="15"/>
      <c r="K285" s="15"/>
      <c r="M285" s="15"/>
      <c r="N285" s="11"/>
      <c r="O285" s="15"/>
      <c r="Q285" s="15"/>
      <c r="R285" s="14"/>
    </row>
    <row r="286" spans="8:18">
      <c r="H286" s="15"/>
      <c r="I286" s="15"/>
      <c r="J286" s="15"/>
      <c r="K286" s="15"/>
      <c r="M286" s="15"/>
      <c r="N286" s="11"/>
      <c r="O286" s="15"/>
      <c r="Q286" s="15"/>
      <c r="R286" s="14"/>
    </row>
    <row r="287" spans="8:18">
      <c r="H287" s="15"/>
      <c r="I287" s="15"/>
      <c r="J287" s="15"/>
      <c r="K287" s="15"/>
      <c r="M287" s="15"/>
      <c r="N287" s="11"/>
      <c r="O287" s="15"/>
      <c r="Q287" s="15"/>
      <c r="R287" s="14"/>
    </row>
    <row r="288" spans="8:18">
      <c r="H288" s="15"/>
      <c r="I288" s="15"/>
      <c r="J288" s="15"/>
      <c r="K288" s="15"/>
      <c r="M288" s="15"/>
      <c r="N288" s="11"/>
      <c r="O288" s="15"/>
      <c r="Q288" s="15"/>
      <c r="R288" s="14"/>
    </row>
    <row r="289" spans="8:18">
      <c r="H289" s="15"/>
      <c r="I289" s="15"/>
      <c r="J289" s="15"/>
      <c r="K289" s="15"/>
      <c r="M289" s="15"/>
      <c r="N289" s="11"/>
      <c r="O289" s="15"/>
      <c r="Q289" s="15"/>
      <c r="R289" s="14"/>
    </row>
    <row r="290" spans="8:18">
      <c r="H290" s="15"/>
      <c r="I290" s="15"/>
      <c r="J290" s="15"/>
      <c r="K290" s="15"/>
      <c r="M290" s="15"/>
      <c r="N290" s="11"/>
      <c r="O290" s="15"/>
      <c r="Q290" s="15"/>
      <c r="R290" s="14"/>
    </row>
    <row r="291" spans="8:18">
      <c r="H291" s="15"/>
      <c r="I291" s="15"/>
      <c r="J291" s="15"/>
      <c r="K291" s="15"/>
      <c r="M291" s="15"/>
      <c r="N291" s="11"/>
      <c r="O291" s="15"/>
      <c r="Q291" s="15"/>
      <c r="R291" s="14"/>
    </row>
    <row r="292" spans="8:18">
      <c r="H292" s="15"/>
      <c r="I292" s="15"/>
      <c r="J292" s="15"/>
      <c r="K292" s="15"/>
      <c r="M292" s="15"/>
      <c r="N292" s="11"/>
      <c r="O292" s="15"/>
      <c r="Q292" s="15"/>
      <c r="R292" s="14"/>
    </row>
    <row r="293" spans="8:18">
      <c r="H293" s="15"/>
      <c r="I293" s="15"/>
      <c r="J293" s="15"/>
      <c r="K293" s="15"/>
      <c r="M293" s="15"/>
      <c r="N293" s="11"/>
      <c r="O293" s="15"/>
      <c r="Q293" s="15"/>
      <c r="R293" s="14"/>
    </row>
    <row r="294" spans="8:18">
      <c r="H294" s="15"/>
      <c r="I294" s="15"/>
      <c r="J294" s="15"/>
      <c r="K294" s="15"/>
      <c r="M294" s="15"/>
      <c r="N294" s="11"/>
      <c r="O294" s="15"/>
      <c r="Q294" s="15"/>
      <c r="R294" s="14"/>
    </row>
    <row r="295" spans="8:18">
      <c r="H295" s="15"/>
      <c r="I295" s="15"/>
      <c r="J295" s="15"/>
      <c r="K295" s="15"/>
      <c r="M295" s="15"/>
      <c r="N295" s="11"/>
      <c r="O295" s="15"/>
      <c r="Q295" s="15"/>
      <c r="R295" s="14"/>
    </row>
    <row r="296" spans="8:18">
      <c r="H296" s="15"/>
      <c r="I296" s="15"/>
      <c r="J296" s="15"/>
      <c r="K296" s="15"/>
      <c r="M296" s="15"/>
      <c r="N296" s="11"/>
      <c r="O296" s="15"/>
      <c r="Q296" s="15"/>
      <c r="R296" s="14"/>
    </row>
    <row r="297" spans="8:18">
      <c r="H297" s="15"/>
      <c r="I297" s="15"/>
      <c r="J297" s="15"/>
      <c r="K297" s="15"/>
      <c r="M297" s="15"/>
      <c r="N297" s="11"/>
      <c r="O297" s="15"/>
      <c r="Q297" s="15"/>
      <c r="R297" s="14"/>
    </row>
    <row r="298" spans="8:18">
      <c r="H298" s="15"/>
      <c r="I298" s="15"/>
      <c r="J298" s="15"/>
      <c r="K298" s="15"/>
      <c r="M298" s="15"/>
      <c r="N298" s="11"/>
      <c r="O298" s="15"/>
      <c r="Q298" s="15"/>
      <c r="R298" s="14"/>
    </row>
    <row r="299" spans="8:18">
      <c r="H299" s="15"/>
      <c r="I299" s="15"/>
      <c r="J299" s="15"/>
      <c r="K299" s="15"/>
      <c r="M299" s="15"/>
      <c r="N299" s="11"/>
      <c r="O299" s="15"/>
      <c r="Q299" s="15"/>
      <c r="R299" s="14"/>
    </row>
    <row r="300" spans="8:18">
      <c r="H300" s="15"/>
      <c r="I300" s="15"/>
      <c r="J300" s="15"/>
      <c r="K300" s="15"/>
      <c r="M300" s="15"/>
      <c r="N300" s="11"/>
      <c r="O300" s="15"/>
      <c r="Q300" s="15"/>
      <c r="R300" s="14"/>
    </row>
    <row r="301" spans="8:18">
      <c r="H301" s="15"/>
      <c r="I301" s="15"/>
      <c r="J301" s="15"/>
      <c r="K301" s="15"/>
      <c r="M301" s="15"/>
      <c r="N301" s="11"/>
      <c r="O301" s="15"/>
      <c r="Q301" s="15"/>
      <c r="R301" s="14"/>
    </row>
    <row r="302" spans="8:18">
      <c r="H302" s="15"/>
      <c r="I302" s="15"/>
      <c r="J302" s="15"/>
      <c r="K302" s="15"/>
      <c r="M302" s="15"/>
      <c r="N302" s="11"/>
      <c r="O302" s="15"/>
      <c r="Q302" s="15"/>
      <c r="R302" s="14"/>
    </row>
    <row r="303" spans="8:18">
      <c r="H303" s="15"/>
      <c r="I303" s="15"/>
      <c r="J303" s="15"/>
      <c r="K303" s="15"/>
      <c r="M303" s="15"/>
      <c r="N303" s="11"/>
      <c r="O303" s="15"/>
      <c r="Q303" s="15"/>
      <c r="R303" s="14"/>
    </row>
    <row r="304" spans="8:18">
      <c r="H304" s="15"/>
      <c r="I304" s="15"/>
      <c r="J304" s="15"/>
      <c r="K304" s="15"/>
      <c r="M304" s="15"/>
      <c r="N304" s="11"/>
      <c r="O304" s="15"/>
      <c r="Q304" s="15"/>
      <c r="R304" s="14"/>
    </row>
    <row r="305" spans="8:18">
      <c r="H305" s="15"/>
      <c r="I305" s="15"/>
      <c r="J305" s="15"/>
      <c r="K305" s="15"/>
      <c r="M305" s="15"/>
      <c r="N305" s="11"/>
      <c r="O305" s="15"/>
      <c r="Q305" s="15"/>
      <c r="R305" s="14"/>
    </row>
    <row r="306" spans="8:18">
      <c r="H306" s="15"/>
      <c r="I306" s="15"/>
      <c r="J306" s="15"/>
      <c r="K306" s="15"/>
      <c r="M306" s="15"/>
      <c r="N306" s="11"/>
      <c r="O306" s="15"/>
      <c r="Q306" s="15"/>
      <c r="R306" s="14"/>
    </row>
    <row r="307" spans="8:18">
      <c r="H307" s="15"/>
      <c r="I307" s="15"/>
      <c r="J307" s="15"/>
      <c r="K307" s="15"/>
      <c r="M307" s="15"/>
      <c r="N307" s="11"/>
      <c r="O307" s="15"/>
      <c r="Q307" s="15"/>
      <c r="R307" s="14"/>
    </row>
    <row r="308" spans="8:18">
      <c r="H308" s="15"/>
      <c r="I308" s="15"/>
      <c r="J308" s="15"/>
      <c r="K308" s="15"/>
      <c r="M308" s="15"/>
      <c r="N308" s="11"/>
      <c r="O308" s="15"/>
      <c r="Q308" s="15"/>
      <c r="R308" s="14"/>
    </row>
    <row r="309" spans="8:18">
      <c r="H309" s="15"/>
      <c r="I309" s="15"/>
      <c r="J309" s="15"/>
      <c r="K309" s="15"/>
      <c r="M309" s="15"/>
      <c r="N309" s="11"/>
      <c r="O309" s="15"/>
      <c r="Q309" s="15"/>
      <c r="R309" s="14"/>
    </row>
  </sheetData>
  <autoFilter ref="A1:Q178" xr:uid="{ACFD7BA1-683F-40CB-9205-8C90270697F6}"/>
  <conditionalFormatting sqref="J1:K1">
    <cfRule type="cellIs" dxfId="35" priority="19" operator="equal">
      <formula>0</formula>
    </cfRule>
  </conditionalFormatting>
  <conditionalFormatting sqref="N1:N309 J2:J231 I232:I309">
    <cfRule type="cellIs" dxfId="34" priority="4" operator="equal">
      <formula>0</formula>
    </cfRule>
  </conditionalFormatting>
  <conditionalFormatting sqref="O1">
    <cfRule type="cellIs" dxfId="33" priority="18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412D9-E5A9-4DD9-AD69-215F3DE429BC}">
  <dimension ref="A1:R264"/>
  <sheetViews>
    <sheetView topLeftCell="B1" workbookViewId="0">
      <selection activeCell="C3" sqref="C3"/>
    </sheetView>
  </sheetViews>
  <sheetFormatPr defaultColWidth="8.85546875" defaultRowHeight="14.45"/>
  <cols>
    <col min="1" max="1" width="36.5703125" bestFit="1" customWidth="1"/>
    <col min="2" max="3" width="30.7109375" customWidth="1"/>
    <col min="6" max="6" width="10.140625" bestFit="1" customWidth="1"/>
    <col min="8" max="8" width="8.85546875" customWidth="1"/>
    <col min="11" max="11" width="11" bestFit="1" customWidth="1"/>
    <col min="13" max="13" width="14.140625" customWidth="1"/>
    <col min="15" max="15" width="26.140625" bestFit="1" customWidth="1"/>
  </cols>
  <sheetData>
    <row r="1" spans="1:18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45"/>
    </row>
    <row r="2" spans="1:18">
      <c r="A2" s="38" t="s">
        <v>1326</v>
      </c>
      <c r="B2" s="38" t="s">
        <v>1327</v>
      </c>
      <c r="C2" s="63" t="s">
        <v>1328</v>
      </c>
      <c r="D2" s="38" t="s">
        <v>1329</v>
      </c>
      <c r="E2" s="38" t="s">
        <v>1330</v>
      </c>
      <c r="F2" s="46">
        <v>1</v>
      </c>
      <c r="G2" s="47" t="s">
        <v>139</v>
      </c>
      <c r="H2" s="46">
        <v>-34</v>
      </c>
      <c r="I2" s="47">
        <v>1</v>
      </c>
      <c r="J2" s="46">
        <v>2.0416666666666666E-2</v>
      </c>
      <c r="K2" s="46">
        <v>1.712962962962963E-3</v>
      </c>
      <c r="L2" s="46">
        <v>8.7326388888888884E-2</v>
      </c>
      <c r="M2" s="56">
        <v>1.8287037037037037E-3</v>
      </c>
      <c r="N2" s="68">
        <v>5.3912037037037036E-2</v>
      </c>
      <c r="O2" s="6">
        <v>0.16521990740740741</v>
      </c>
      <c r="P2" s="8">
        <f>IFERROR(ROUND($O$2/O2*1100,0),0)</f>
        <v>1100</v>
      </c>
      <c r="R2" s="8"/>
    </row>
    <row r="3" spans="1:18">
      <c r="A3" s="38" t="s">
        <v>1331</v>
      </c>
      <c r="B3" s="38" t="s">
        <v>1332</v>
      </c>
      <c r="C3" s="63" t="s">
        <v>25</v>
      </c>
      <c r="D3" s="38" t="s">
        <v>135</v>
      </c>
      <c r="E3" s="38" t="s">
        <v>1330</v>
      </c>
      <c r="F3" s="46">
        <v>18</v>
      </c>
      <c r="G3" s="47" t="s">
        <v>154</v>
      </c>
      <c r="H3" s="46">
        <v>-39</v>
      </c>
      <c r="I3" s="47">
        <v>4</v>
      </c>
      <c r="J3" s="46">
        <v>2.1655092592592594E-2</v>
      </c>
      <c r="K3" s="46">
        <v>1.8402777777777777E-3</v>
      </c>
      <c r="L3" s="46">
        <v>9.5648148148148149E-2</v>
      </c>
      <c r="M3" s="56">
        <v>2.1990740740740742E-3</v>
      </c>
      <c r="N3" s="68">
        <v>6.0543981481481483E-2</v>
      </c>
      <c r="O3" s="6">
        <v>0.18190972222222221</v>
      </c>
      <c r="P3" s="8">
        <f t="shared" ref="P3:P19" si="0">IFERROR(ROUND($O$2/O3*1100,0),0)</f>
        <v>999</v>
      </c>
      <c r="R3" s="8"/>
    </row>
    <row r="4" spans="1:18">
      <c r="A4" s="38" t="s">
        <v>1333</v>
      </c>
      <c r="B4" s="38" t="s">
        <v>1334</v>
      </c>
      <c r="C4" s="63" t="s">
        <v>53</v>
      </c>
      <c r="D4" s="38" t="s">
        <v>135</v>
      </c>
      <c r="E4" s="38" t="s">
        <v>1330</v>
      </c>
      <c r="F4" s="46">
        <v>39</v>
      </c>
      <c r="G4" s="47" t="s">
        <v>149</v>
      </c>
      <c r="H4" s="46">
        <v>-44</v>
      </c>
      <c r="I4" s="47">
        <v>10</v>
      </c>
      <c r="J4" s="46">
        <v>2.2210648148148149E-2</v>
      </c>
      <c r="K4" s="46">
        <v>2.638888888888889E-3</v>
      </c>
      <c r="L4" s="46">
        <v>9.6585648148148143E-2</v>
      </c>
      <c r="M4" s="56">
        <v>2.488425925925926E-3</v>
      </c>
      <c r="N4" s="68">
        <v>6.7013888888888887E-2</v>
      </c>
      <c r="O4" s="6">
        <v>0.19096064814814814</v>
      </c>
      <c r="P4" s="8">
        <f t="shared" si="0"/>
        <v>952</v>
      </c>
      <c r="R4" s="8"/>
    </row>
    <row r="5" spans="1:18">
      <c r="A5" s="38" t="s">
        <v>1335</v>
      </c>
      <c r="B5" s="38" t="s">
        <v>1336</v>
      </c>
      <c r="C5" s="63" t="s">
        <v>26</v>
      </c>
      <c r="D5" s="38" t="s">
        <v>135</v>
      </c>
      <c r="E5" s="38" t="s">
        <v>1330</v>
      </c>
      <c r="F5" s="46">
        <v>41</v>
      </c>
      <c r="G5" s="47" t="s">
        <v>154</v>
      </c>
      <c r="H5" s="46">
        <v>-39</v>
      </c>
      <c r="I5" s="47">
        <v>9</v>
      </c>
      <c r="J5" s="46">
        <v>2.1296296296296296E-2</v>
      </c>
      <c r="K5" s="46">
        <v>2.1064814814814813E-3</v>
      </c>
      <c r="L5" s="46">
        <v>9.7997685185185188E-2</v>
      </c>
      <c r="M5" s="56">
        <v>2.0254629629629629E-3</v>
      </c>
      <c r="N5" s="68">
        <v>6.7951388888888895E-2</v>
      </c>
      <c r="O5" s="6">
        <v>0.19138888888888889</v>
      </c>
      <c r="P5" s="8">
        <f t="shared" si="0"/>
        <v>950</v>
      </c>
      <c r="R5" s="8"/>
    </row>
    <row r="6" spans="1:18">
      <c r="A6" s="38" t="s">
        <v>1337</v>
      </c>
      <c r="B6" s="38" t="s">
        <v>1338</v>
      </c>
      <c r="C6" s="63" t="s">
        <v>30</v>
      </c>
      <c r="D6" s="38" t="s">
        <v>135</v>
      </c>
      <c r="E6" s="38" t="s">
        <v>1330</v>
      </c>
      <c r="F6" s="46">
        <v>62</v>
      </c>
      <c r="G6" s="47" t="s">
        <v>149</v>
      </c>
      <c r="H6" s="46">
        <v>-44</v>
      </c>
      <c r="I6" s="47">
        <v>20</v>
      </c>
      <c r="J6" s="46">
        <v>2.3321759259259261E-2</v>
      </c>
      <c r="K6" s="46">
        <v>1.9791666666666668E-3</v>
      </c>
      <c r="L6" s="46">
        <v>0.10020833333333333</v>
      </c>
      <c r="M6" s="56">
        <v>2.0833333333333333E-3</v>
      </c>
      <c r="N6" s="68">
        <v>6.9594907407407411E-2</v>
      </c>
      <c r="O6" s="6">
        <v>0.19719907407407408</v>
      </c>
      <c r="P6" s="8">
        <f t="shared" si="0"/>
        <v>922</v>
      </c>
      <c r="R6" s="8"/>
    </row>
    <row r="7" spans="1:18">
      <c r="A7" s="38" t="s">
        <v>1337</v>
      </c>
      <c r="B7" s="38" t="s">
        <v>1339</v>
      </c>
      <c r="C7" s="63" t="s">
        <v>27</v>
      </c>
      <c r="D7" s="38" t="s">
        <v>135</v>
      </c>
      <c r="E7" s="38" t="s">
        <v>1330</v>
      </c>
      <c r="F7" s="46">
        <v>64</v>
      </c>
      <c r="G7" s="47" t="s">
        <v>149</v>
      </c>
      <c r="H7" s="46">
        <v>-44</v>
      </c>
      <c r="I7" s="47">
        <v>21</v>
      </c>
      <c r="J7" s="46">
        <v>2.5231481481481483E-2</v>
      </c>
      <c r="K7" s="46">
        <v>3.0671296296296297E-3</v>
      </c>
      <c r="L7" s="46">
        <v>9.9652777777777785E-2</v>
      </c>
      <c r="M7" s="56">
        <v>2.476851851851852E-3</v>
      </c>
      <c r="N7" s="68">
        <v>6.7129629629629636E-2</v>
      </c>
      <c r="O7" s="6">
        <v>0.19758101851851853</v>
      </c>
      <c r="P7" s="8">
        <f t="shared" si="0"/>
        <v>920</v>
      </c>
      <c r="R7" s="8"/>
    </row>
    <row r="8" spans="1:18">
      <c r="A8" s="63" t="s">
        <v>1340</v>
      </c>
      <c r="B8" s="63" t="s">
        <v>1341</v>
      </c>
      <c r="C8" s="63" t="s">
        <v>51</v>
      </c>
      <c r="D8" s="38" t="s">
        <v>135</v>
      </c>
      <c r="E8" s="38" t="s">
        <v>1342</v>
      </c>
      <c r="F8" s="46">
        <v>5</v>
      </c>
      <c r="G8" s="47" t="s">
        <v>1343</v>
      </c>
      <c r="H8" s="46">
        <v>34</v>
      </c>
      <c r="I8" s="47">
        <v>2</v>
      </c>
      <c r="J8" s="46">
        <v>2.6018518518518517E-2</v>
      </c>
      <c r="K8" s="46">
        <v>3.1250000000000002E-3</v>
      </c>
      <c r="L8" s="46">
        <v>0.10369212962962963</v>
      </c>
      <c r="M8" s="56">
        <v>2.0254629629629629E-3</v>
      </c>
      <c r="N8" s="68">
        <v>6.5844907407407408E-2</v>
      </c>
      <c r="O8" s="6">
        <v>0.20072916666666665</v>
      </c>
      <c r="P8" s="8">
        <f t="shared" si="0"/>
        <v>905</v>
      </c>
      <c r="R8" s="8"/>
    </row>
    <row r="9" spans="1:18">
      <c r="A9" s="38" t="s">
        <v>1344</v>
      </c>
      <c r="B9" s="38" t="s">
        <v>1345</v>
      </c>
      <c r="C9" s="63" t="s">
        <v>29</v>
      </c>
      <c r="D9" s="38" t="s">
        <v>135</v>
      </c>
      <c r="E9" s="38" t="s">
        <v>1330</v>
      </c>
      <c r="F9" s="46">
        <v>91</v>
      </c>
      <c r="G9" s="47" t="s">
        <v>149</v>
      </c>
      <c r="H9" s="46">
        <v>-44</v>
      </c>
      <c r="I9" s="47">
        <v>25</v>
      </c>
      <c r="J9" s="46">
        <v>2.3645833333333335E-2</v>
      </c>
      <c r="K9" s="46">
        <v>2.7546296296296294E-3</v>
      </c>
      <c r="L9" s="46">
        <v>0.10233796296296296</v>
      </c>
      <c r="M9" s="56">
        <v>3.6921296296296298E-3</v>
      </c>
      <c r="N9" s="68">
        <v>7.3449074074074069E-2</v>
      </c>
      <c r="O9" s="6">
        <v>0.2058912037037037</v>
      </c>
      <c r="P9" s="8">
        <f t="shared" si="0"/>
        <v>883</v>
      </c>
      <c r="R9" s="8"/>
    </row>
    <row r="10" spans="1:18">
      <c r="A10" s="38" t="s">
        <v>1346</v>
      </c>
      <c r="B10" s="38" t="s">
        <v>1347</v>
      </c>
      <c r="C10" s="63" t="s">
        <v>28</v>
      </c>
      <c r="D10" s="38" t="s">
        <v>135</v>
      </c>
      <c r="E10" s="38" t="s">
        <v>1330</v>
      </c>
      <c r="F10" s="46">
        <v>104</v>
      </c>
      <c r="G10" s="47" t="s">
        <v>154</v>
      </c>
      <c r="H10" s="46">
        <v>-39</v>
      </c>
      <c r="I10" s="47">
        <v>24</v>
      </c>
      <c r="J10" s="46">
        <v>2.8275462962962964E-2</v>
      </c>
      <c r="K10" s="46">
        <v>2.5231481481481481E-3</v>
      </c>
      <c r="L10" s="46">
        <v>0.10241898148148149</v>
      </c>
      <c r="M10" s="56">
        <v>2.1759259259259258E-3</v>
      </c>
      <c r="N10" s="68">
        <v>7.2754629629629627E-2</v>
      </c>
      <c r="O10" s="6">
        <v>0.20818287037037037</v>
      </c>
      <c r="P10" s="8">
        <f t="shared" si="0"/>
        <v>873</v>
      </c>
      <c r="R10" s="8"/>
    </row>
    <row r="11" spans="1:18">
      <c r="A11" s="38" t="s">
        <v>1348</v>
      </c>
      <c r="B11" s="38" t="s">
        <v>1349</v>
      </c>
      <c r="C11" s="63" t="s">
        <v>34</v>
      </c>
      <c r="D11" s="38" t="s">
        <v>135</v>
      </c>
      <c r="E11" s="38" t="s">
        <v>1330</v>
      </c>
      <c r="F11" s="46">
        <v>152</v>
      </c>
      <c r="G11" s="47" t="s">
        <v>242</v>
      </c>
      <c r="H11" s="46">
        <v>-54</v>
      </c>
      <c r="I11" s="47">
        <v>13</v>
      </c>
      <c r="J11" s="46">
        <v>2.1805555555555557E-2</v>
      </c>
      <c r="K11" s="46">
        <v>2.9861111111111113E-3</v>
      </c>
      <c r="L11" s="46">
        <v>0.10511574074074075</v>
      </c>
      <c r="M11" s="56">
        <v>2.3495370370370371E-3</v>
      </c>
      <c r="N11" s="68">
        <v>8.7060185185185185E-2</v>
      </c>
      <c r="O11" s="6">
        <v>0.21934027777777779</v>
      </c>
      <c r="P11" s="8">
        <f t="shared" si="0"/>
        <v>829</v>
      </c>
      <c r="R11" s="8"/>
    </row>
    <row r="12" spans="1:18">
      <c r="A12" s="38" t="s">
        <v>1350</v>
      </c>
      <c r="B12" s="38" t="s">
        <v>1351</v>
      </c>
      <c r="C12" s="63" t="s">
        <v>56</v>
      </c>
      <c r="D12" s="38" t="s">
        <v>135</v>
      </c>
      <c r="E12" s="38" t="s">
        <v>1330</v>
      </c>
      <c r="F12" s="46">
        <v>201</v>
      </c>
      <c r="G12" s="47" t="s">
        <v>154</v>
      </c>
      <c r="H12" s="46">
        <v>-39</v>
      </c>
      <c r="I12" s="47">
        <v>46</v>
      </c>
      <c r="J12" s="46">
        <v>2.4571759259259258E-2</v>
      </c>
      <c r="K12" s="46">
        <v>3.1134259259259257E-3</v>
      </c>
      <c r="L12" s="46">
        <v>0.11449074074074074</v>
      </c>
      <c r="M12" s="56">
        <v>4.5601851851851853E-3</v>
      </c>
      <c r="N12" s="68">
        <v>8.3391203703703703E-2</v>
      </c>
      <c r="O12" s="6">
        <v>0.23016203703703703</v>
      </c>
      <c r="P12" s="8">
        <f t="shared" si="0"/>
        <v>790</v>
      </c>
      <c r="R12" s="8"/>
    </row>
    <row r="13" spans="1:18">
      <c r="A13" s="38" t="s">
        <v>1352</v>
      </c>
      <c r="B13" s="38" t="s">
        <v>1353</v>
      </c>
      <c r="C13" s="63" t="s">
        <v>35</v>
      </c>
      <c r="D13" s="38" t="s">
        <v>135</v>
      </c>
      <c r="E13" s="38" t="s">
        <v>1330</v>
      </c>
      <c r="F13" s="46">
        <v>204</v>
      </c>
      <c r="G13" s="47" t="s">
        <v>242</v>
      </c>
      <c r="H13" s="46">
        <v>-54</v>
      </c>
      <c r="I13" s="47">
        <v>24</v>
      </c>
      <c r="J13" s="46">
        <v>2.644675925925926E-2</v>
      </c>
      <c r="K13" s="46">
        <v>3.0208333333333333E-3</v>
      </c>
      <c r="L13" s="46">
        <v>0.11474537037037037</v>
      </c>
      <c r="M13" s="56">
        <v>2.9976851851851853E-3</v>
      </c>
      <c r="N13" s="68">
        <v>8.4027777777777785E-2</v>
      </c>
      <c r="O13" s="6">
        <v>0.23126157407407408</v>
      </c>
      <c r="P13" s="8">
        <f t="shared" si="0"/>
        <v>786</v>
      </c>
      <c r="R13" s="8"/>
    </row>
    <row r="14" spans="1:18">
      <c r="A14" s="38" t="s">
        <v>1354</v>
      </c>
      <c r="B14" s="38" t="s">
        <v>1355</v>
      </c>
      <c r="C14" s="63" t="s">
        <v>37</v>
      </c>
      <c r="D14" s="38" t="s">
        <v>135</v>
      </c>
      <c r="E14" s="38" t="s">
        <v>1342</v>
      </c>
      <c r="F14" s="46">
        <v>32</v>
      </c>
      <c r="G14" s="47" t="s">
        <v>1356</v>
      </c>
      <c r="H14" s="46">
        <v>44</v>
      </c>
      <c r="I14" s="47">
        <v>10</v>
      </c>
      <c r="J14" s="46">
        <v>2.4131944444444445E-2</v>
      </c>
      <c r="K14" s="46">
        <v>2.4421296296296296E-3</v>
      </c>
      <c r="L14" s="46">
        <v>0.12019675925925925</v>
      </c>
      <c r="M14" s="56">
        <v>3.1597222222222222E-3</v>
      </c>
      <c r="N14" s="68">
        <v>8.5868055555555559E-2</v>
      </c>
      <c r="O14" s="6">
        <v>0.23582175925925927</v>
      </c>
      <c r="P14" s="8">
        <f t="shared" si="0"/>
        <v>771</v>
      </c>
      <c r="R14" s="8"/>
    </row>
    <row r="15" spans="1:18">
      <c r="A15" s="38" t="s">
        <v>1357</v>
      </c>
      <c r="B15" s="38" t="s">
        <v>1358</v>
      </c>
      <c r="C15" s="63" t="s">
        <v>62</v>
      </c>
      <c r="D15" s="38" t="s">
        <v>135</v>
      </c>
      <c r="E15" s="38" t="s">
        <v>1330</v>
      </c>
      <c r="F15" s="46">
        <v>230</v>
      </c>
      <c r="G15" s="47" t="s">
        <v>154</v>
      </c>
      <c r="H15" s="46">
        <v>-39</v>
      </c>
      <c r="I15" s="47">
        <v>52</v>
      </c>
      <c r="J15" s="46">
        <v>2.1574074074074075E-2</v>
      </c>
      <c r="K15" s="46">
        <v>2.3842592592592591E-3</v>
      </c>
      <c r="L15" s="46">
        <v>0.11697916666666666</v>
      </c>
      <c r="M15" s="56">
        <v>3.2060185185185186E-3</v>
      </c>
      <c r="N15" s="68">
        <v>9.5763888888888885E-2</v>
      </c>
      <c r="O15" s="6">
        <v>0.23991898148148147</v>
      </c>
      <c r="P15" s="8">
        <f t="shared" si="0"/>
        <v>758</v>
      </c>
      <c r="R15" s="8"/>
    </row>
    <row r="16" spans="1:18">
      <c r="A16" s="63" t="s">
        <v>1359</v>
      </c>
      <c r="B16" s="63" t="s">
        <v>1360</v>
      </c>
      <c r="C16" s="63" t="s">
        <v>40</v>
      </c>
      <c r="D16" s="38" t="s">
        <v>135</v>
      </c>
      <c r="E16" s="38" t="s">
        <v>1342</v>
      </c>
      <c r="F16" s="46">
        <v>39</v>
      </c>
      <c r="G16" s="47" t="s">
        <v>1356</v>
      </c>
      <c r="H16" s="46">
        <v>44</v>
      </c>
      <c r="I16" s="47">
        <v>12</v>
      </c>
      <c r="J16" s="46">
        <v>3.5196759259259261E-2</v>
      </c>
      <c r="K16" s="46">
        <v>3.7499999999999999E-3</v>
      </c>
      <c r="L16" s="46">
        <v>0.10766203703703704</v>
      </c>
      <c r="M16" s="56">
        <v>4.340277777777778E-3</v>
      </c>
      <c r="N16" s="68">
        <v>9.3368055555555551E-2</v>
      </c>
      <c r="O16" s="6">
        <v>0.24436342592592591</v>
      </c>
      <c r="P16" s="8">
        <f t="shared" si="0"/>
        <v>744</v>
      </c>
      <c r="R16" s="8"/>
    </row>
    <row r="17" spans="1:18">
      <c r="A17" s="63" t="s">
        <v>1361</v>
      </c>
      <c r="B17" s="63" t="s">
        <v>1362</v>
      </c>
      <c r="C17" s="63" t="s">
        <v>39</v>
      </c>
      <c r="D17" s="38" t="s">
        <v>135</v>
      </c>
      <c r="E17" s="46" t="s">
        <v>1342</v>
      </c>
      <c r="F17" s="47">
        <v>48</v>
      </c>
      <c r="G17" s="46" t="s">
        <v>1363</v>
      </c>
      <c r="H17" s="47">
        <v>49</v>
      </c>
      <c r="I17" s="46">
        <v>7</v>
      </c>
      <c r="J17" s="46">
        <v>2.9097222222222222E-2</v>
      </c>
      <c r="K17" s="46">
        <v>3.460648148148148E-3</v>
      </c>
      <c r="L17" s="56">
        <v>0.12687499999999999</v>
      </c>
      <c r="M17" s="68">
        <v>4.9652777777777777E-3</v>
      </c>
      <c r="N17" s="6">
        <v>8.9074074074074069E-2</v>
      </c>
      <c r="O17" s="6">
        <v>0.25349537037037034</v>
      </c>
      <c r="P17" s="8">
        <f t="shared" si="0"/>
        <v>717</v>
      </c>
      <c r="R17" s="8"/>
    </row>
    <row r="18" spans="1:18">
      <c r="A18" s="38" t="s">
        <v>1364</v>
      </c>
      <c r="B18" s="38" t="s">
        <v>1365</v>
      </c>
      <c r="C18" s="63" t="s">
        <v>46</v>
      </c>
      <c r="D18" s="38" t="s">
        <v>135</v>
      </c>
      <c r="E18" s="38" t="s">
        <v>1342</v>
      </c>
      <c r="F18" s="46">
        <v>58</v>
      </c>
      <c r="G18" s="47" t="s">
        <v>1356</v>
      </c>
      <c r="H18" s="46">
        <v>44</v>
      </c>
      <c r="I18" s="47">
        <v>18</v>
      </c>
      <c r="J18" s="46">
        <v>3.3703703703703701E-2</v>
      </c>
      <c r="K18" s="46">
        <v>4.0625000000000001E-3</v>
      </c>
      <c r="L18" s="46">
        <v>0.12732638888888889</v>
      </c>
      <c r="M18" s="56">
        <v>4.1087962962962962E-3</v>
      </c>
      <c r="N18" s="68">
        <v>9.707175925925926E-2</v>
      </c>
      <c r="O18" s="6">
        <v>0.26628472222222221</v>
      </c>
      <c r="P18" s="8">
        <f t="shared" si="0"/>
        <v>683</v>
      </c>
      <c r="R18" s="8"/>
    </row>
    <row r="19" spans="1:18">
      <c r="A19" s="38" t="s">
        <v>1366</v>
      </c>
      <c r="B19" s="38" t="s">
        <v>1367</v>
      </c>
      <c r="C19" s="63" t="s">
        <v>48</v>
      </c>
      <c r="D19" s="38" t="s">
        <v>135</v>
      </c>
      <c r="E19" s="38" t="s">
        <v>1342</v>
      </c>
      <c r="F19" s="46">
        <v>65</v>
      </c>
      <c r="G19" s="47" t="s">
        <v>1356</v>
      </c>
      <c r="H19" s="46">
        <v>44</v>
      </c>
      <c r="I19" s="47">
        <v>20</v>
      </c>
      <c r="J19" s="46">
        <v>2.9467592592592594E-2</v>
      </c>
      <c r="K19" s="46">
        <v>3.8541666666666668E-3</v>
      </c>
      <c r="L19" s="46">
        <v>0.13369212962962962</v>
      </c>
      <c r="M19" s="56">
        <v>6.9791666666666665E-3</v>
      </c>
      <c r="N19" s="68">
        <v>0.12667824074074074</v>
      </c>
      <c r="O19" s="6">
        <v>0.30070601851851853</v>
      </c>
      <c r="P19" s="8">
        <f t="shared" si="0"/>
        <v>604</v>
      </c>
      <c r="R19" s="8"/>
    </row>
    <row r="20" spans="1:18">
      <c r="A20" s="38"/>
      <c r="B20" s="38"/>
      <c r="C20" s="38"/>
      <c r="D20" s="38"/>
      <c r="E20" s="38"/>
      <c r="F20" s="46"/>
      <c r="G20" s="47"/>
      <c r="H20" s="46"/>
      <c r="I20" s="47"/>
      <c r="J20" s="46"/>
      <c r="K20" s="46"/>
      <c r="L20" s="38"/>
      <c r="M20" s="39"/>
      <c r="N20" s="8"/>
      <c r="P20" s="6"/>
      <c r="R20" s="8"/>
    </row>
    <row r="21" spans="1:18">
      <c r="A21" s="38"/>
      <c r="B21" s="38"/>
      <c r="C21" s="38"/>
      <c r="D21" s="38"/>
      <c r="E21" s="38"/>
      <c r="F21" s="46"/>
      <c r="G21" s="47"/>
      <c r="H21" s="46"/>
      <c r="I21" s="47"/>
      <c r="J21" s="46"/>
      <c r="K21" s="46"/>
      <c r="L21" s="38"/>
      <c r="M21" s="39"/>
      <c r="N21" s="8"/>
      <c r="P21" s="6"/>
      <c r="R21" s="8"/>
    </row>
    <row r="22" spans="1:18">
      <c r="A22" s="38"/>
      <c r="B22" s="38"/>
      <c r="C22" s="38"/>
      <c r="D22" s="38"/>
      <c r="E22" s="38"/>
      <c r="F22" s="46"/>
      <c r="G22" s="47"/>
      <c r="H22" s="46"/>
      <c r="I22" s="47"/>
      <c r="J22" s="46"/>
      <c r="K22" s="46"/>
      <c r="L22" s="38"/>
      <c r="M22" s="39"/>
      <c r="N22" s="8"/>
      <c r="P22" s="6"/>
      <c r="R22" s="8"/>
    </row>
    <row r="23" spans="1:18">
      <c r="A23" s="38"/>
      <c r="B23" s="38"/>
      <c r="C23" s="38"/>
      <c r="D23" s="38"/>
      <c r="E23" s="38"/>
      <c r="F23" s="46"/>
      <c r="G23" s="47"/>
      <c r="H23" s="46"/>
      <c r="I23" s="47"/>
      <c r="J23" s="46"/>
      <c r="K23" s="46"/>
      <c r="L23" s="38"/>
      <c r="M23" s="39"/>
      <c r="N23" s="8"/>
      <c r="P23" s="6"/>
      <c r="R23" s="8"/>
    </row>
    <row r="24" spans="1:18">
      <c r="A24" s="38"/>
      <c r="B24" s="38"/>
      <c r="C24" s="38"/>
      <c r="D24" s="38"/>
      <c r="E24" s="38"/>
      <c r="F24" s="46"/>
      <c r="G24" s="46"/>
      <c r="H24" s="46"/>
      <c r="I24" s="47"/>
      <c r="J24" s="46"/>
      <c r="K24" s="46"/>
      <c r="L24" s="38"/>
      <c r="M24" s="39"/>
      <c r="N24" s="8"/>
      <c r="P24" s="6"/>
      <c r="R24" s="8"/>
    </row>
    <row r="25" spans="1:18">
      <c r="A25" s="38"/>
      <c r="B25" s="38"/>
      <c r="C25" s="38"/>
      <c r="D25" s="38"/>
      <c r="E25" s="38"/>
      <c r="F25" s="46"/>
      <c r="G25" s="46"/>
      <c r="H25" s="46"/>
      <c r="I25" s="47"/>
      <c r="J25" s="46"/>
      <c r="K25" s="46"/>
      <c r="L25" s="38"/>
      <c r="M25" s="39"/>
      <c r="N25" s="8"/>
      <c r="P25" s="6"/>
      <c r="R25" s="8"/>
    </row>
    <row r="26" spans="1:18">
      <c r="A26" s="38"/>
      <c r="B26" s="38"/>
      <c r="C26" s="38"/>
      <c r="D26" s="38"/>
      <c r="E26" s="38"/>
      <c r="F26" s="46"/>
      <c r="G26" s="47"/>
      <c r="H26" s="46"/>
      <c r="I26" s="47"/>
      <c r="J26" s="46"/>
      <c r="K26" s="46"/>
      <c r="L26" s="38"/>
      <c r="M26" s="39"/>
      <c r="N26" s="8"/>
      <c r="P26" s="6"/>
      <c r="R26" s="8"/>
    </row>
    <row r="27" spans="1:18">
      <c r="A27" s="38"/>
      <c r="B27" s="38"/>
      <c r="C27" s="38"/>
      <c r="D27" s="38"/>
      <c r="E27" s="38"/>
      <c r="F27" s="46"/>
      <c r="G27" s="46"/>
      <c r="H27" s="46"/>
      <c r="I27" s="47"/>
      <c r="J27" s="46"/>
      <c r="K27" s="46"/>
      <c r="L27" s="38"/>
      <c r="M27" s="39"/>
      <c r="N27" s="8"/>
      <c r="P27" s="6"/>
      <c r="R27" s="8"/>
    </row>
    <row r="28" spans="1:18">
      <c r="A28" s="38"/>
      <c r="B28" s="38"/>
      <c r="C28" s="38"/>
      <c r="D28" s="38"/>
      <c r="E28" s="38"/>
      <c r="F28" s="46"/>
      <c r="G28" s="46"/>
      <c r="H28" s="46"/>
      <c r="I28" s="47"/>
      <c r="J28" s="46"/>
      <c r="K28" s="46"/>
      <c r="L28" s="38"/>
      <c r="M28" s="39"/>
      <c r="N28" s="8"/>
      <c r="P28" s="6"/>
      <c r="R28" s="8"/>
    </row>
    <row r="29" spans="1:18">
      <c r="A29" s="38"/>
      <c r="B29" s="38"/>
      <c r="C29" s="38"/>
      <c r="D29" s="38"/>
      <c r="E29" s="38"/>
      <c r="F29" s="46"/>
      <c r="G29" s="47"/>
      <c r="H29" s="46"/>
      <c r="I29" s="46"/>
      <c r="J29" s="46"/>
      <c r="K29" s="46"/>
      <c r="L29" s="38"/>
      <c r="M29" s="39"/>
      <c r="N29" s="8"/>
      <c r="P29" s="6"/>
      <c r="R29" s="8"/>
    </row>
    <row r="30" spans="1:18">
      <c r="A30" s="38"/>
      <c r="B30" s="38"/>
      <c r="C30" s="38"/>
      <c r="D30" s="38"/>
      <c r="E30" s="38"/>
      <c r="F30" s="46"/>
      <c r="G30" s="47"/>
      <c r="H30" s="46"/>
      <c r="I30" s="47"/>
      <c r="J30" s="46"/>
      <c r="K30" s="46"/>
      <c r="L30" s="38"/>
      <c r="M30" s="39"/>
      <c r="N30" s="8"/>
      <c r="P30" s="6"/>
      <c r="R30" s="8"/>
    </row>
    <row r="31" spans="1:18">
      <c r="A31" s="38"/>
      <c r="B31" s="38"/>
      <c r="C31" s="38"/>
      <c r="D31" s="38"/>
      <c r="E31" s="38"/>
      <c r="F31" s="46"/>
      <c r="G31" s="47"/>
      <c r="H31" s="46"/>
      <c r="I31" s="46"/>
      <c r="J31" s="46"/>
      <c r="K31" s="46"/>
      <c r="L31" s="38"/>
      <c r="M31" s="39"/>
      <c r="N31" s="8"/>
      <c r="P31" s="6"/>
      <c r="R31" s="8"/>
    </row>
    <row r="32" spans="1:18">
      <c r="A32" s="38"/>
      <c r="B32" s="38"/>
      <c r="C32" s="38"/>
      <c r="D32" s="38"/>
      <c r="E32" s="38"/>
      <c r="F32" s="46"/>
      <c r="G32" s="47"/>
      <c r="H32" s="46"/>
      <c r="I32" s="47"/>
      <c r="J32" s="46"/>
      <c r="K32" s="46"/>
      <c r="L32" s="38"/>
      <c r="M32" s="39"/>
      <c r="N32" s="8"/>
      <c r="P32" s="6"/>
      <c r="R32" s="8"/>
    </row>
    <row r="33" spans="1:18">
      <c r="A33" s="38"/>
      <c r="B33" s="38"/>
      <c r="C33" s="38"/>
      <c r="D33" s="38"/>
      <c r="E33" s="38"/>
      <c r="F33" s="46"/>
      <c r="G33" s="47"/>
      <c r="H33" s="46"/>
      <c r="I33" s="47"/>
      <c r="J33" s="46"/>
      <c r="K33" s="46"/>
      <c r="L33" s="38"/>
      <c r="M33" s="39"/>
      <c r="N33" s="8"/>
      <c r="P33" s="6"/>
      <c r="R33" s="8"/>
    </row>
    <row r="34" spans="1:18">
      <c r="A34" s="38"/>
      <c r="B34" s="38"/>
      <c r="C34" s="38"/>
      <c r="D34" s="38"/>
      <c r="E34" s="38"/>
      <c r="F34" s="46"/>
      <c r="G34" s="46"/>
      <c r="H34" s="46"/>
      <c r="I34" s="46"/>
      <c r="J34" s="46"/>
      <c r="K34" s="46"/>
      <c r="L34" s="38"/>
      <c r="M34" s="39"/>
      <c r="N34" s="8"/>
      <c r="P34" s="6"/>
      <c r="R34" s="8"/>
    </row>
    <row r="35" spans="1:18">
      <c r="A35" s="38"/>
      <c r="B35" s="38"/>
      <c r="C35" s="38"/>
      <c r="D35" s="38"/>
      <c r="E35" s="38"/>
      <c r="F35" s="46"/>
      <c r="G35" s="46"/>
      <c r="H35" s="46"/>
      <c r="I35" s="46"/>
      <c r="J35" s="46"/>
      <c r="K35" s="46"/>
      <c r="L35" s="38"/>
      <c r="M35" s="39"/>
      <c r="N35" s="8"/>
      <c r="P35" s="6"/>
      <c r="R35" s="8"/>
    </row>
    <row r="36" spans="1:18">
      <c r="A36" s="38"/>
      <c r="B36" s="38"/>
      <c r="C36" s="38"/>
      <c r="D36" s="38"/>
      <c r="E36" s="38"/>
      <c r="F36" s="46"/>
      <c r="G36" s="47"/>
      <c r="H36" s="46"/>
      <c r="I36" s="47"/>
      <c r="J36" s="46"/>
      <c r="K36" s="46"/>
      <c r="L36" s="38"/>
      <c r="M36" s="39"/>
      <c r="N36" s="8"/>
      <c r="P36" s="6"/>
      <c r="R36" s="8"/>
    </row>
    <row r="37" spans="1:18">
      <c r="A37" s="38"/>
      <c r="B37" s="38"/>
      <c r="C37" s="38"/>
      <c r="D37" s="38"/>
      <c r="E37" s="38"/>
      <c r="F37" s="46"/>
      <c r="G37" s="47"/>
      <c r="H37" s="46"/>
      <c r="I37" s="47"/>
      <c r="J37" s="46"/>
      <c r="K37" s="46"/>
      <c r="L37" s="38"/>
      <c r="M37" s="39"/>
      <c r="N37" s="8"/>
      <c r="P37" s="6"/>
      <c r="R37" s="8"/>
    </row>
    <row r="38" spans="1:18">
      <c r="A38" s="38"/>
      <c r="B38" s="38"/>
      <c r="C38" s="38"/>
      <c r="D38" s="38"/>
      <c r="E38" s="38"/>
      <c r="F38" s="46"/>
      <c r="G38" s="47"/>
      <c r="H38" s="46"/>
      <c r="I38" s="46"/>
      <c r="J38" s="46"/>
      <c r="K38" s="46"/>
      <c r="L38" s="38"/>
      <c r="M38" s="39"/>
      <c r="N38" s="8"/>
      <c r="P38" s="6"/>
      <c r="R38" s="8"/>
    </row>
    <row r="39" spans="1:18">
      <c r="A39" s="38"/>
      <c r="B39" s="38"/>
      <c r="C39" s="38"/>
      <c r="D39" s="38"/>
      <c r="E39" s="38"/>
      <c r="F39" s="46"/>
      <c r="G39" s="47"/>
      <c r="H39" s="46"/>
      <c r="I39" s="47"/>
      <c r="J39" s="46"/>
      <c r="K39" s="46"/>
      <c r="L39" s="38"/>
      <c r="M39" s="39"/>
      <c r="N39" s="8"/>
      <c r="P39" s="6"/>
      <c r="R39" s="8"/>
    </row>
    <row r="40" spans="1:18">
      <c r="A40" s="38"/>
      <c r="B40" s="38"/>
      <c r="C40" s="38"/>
      <c r="D40" s="38"/>
      <c r="E40" s="38"/>
      <c r="F40" s="46"/>
      <c r="G40" s="47"/>
      <c r="H40" s="46"/>
      <c r="I40" s="47"/>
      <c r="J40" s="46"/>
      <c r="K40" s="46"/>
      <c r="L40" s="38"/>
      <c r="M40" s="39"/>
      <c r="N40" s="8"/>
      <c r="P40" s="6"/>
      <c r="R40" s="8"/>
    </row>
    <row r="41" spans="1:18">
      <c r="A41" s="38"/>
      <c r="B41" s="38"/>
      <c r="C41" s="38"/>
      <c r="D41" s="38"/>
      <c r="E41" s="38"/>
      <c r="F41" s="46"/>
      <c r="G41" s="47"/>
      <c r="H41" s="46"/>
      <c r="I41" s="47"/>
      <c r="J41" s="46"/>
      <c r="K41" s="46"/>
      <c r="L41" s="38"/>
      <c r="M41" s="39"/>
      <c r="N41" s="8"/>
      <c r="P41" s="6"/>
      <c r="R41" s="8"/>
    </row>
    <row r="42" spans="1:18">
      <c r="A42" s="38"/>
      <c r="B42" s="38"/>
      <c r="C42" s="38"/>
      <c r="D42" s="38"/>
      <c r="E42" s="38"/>
      <c r="F42" s="46"/>
      <c r="G42" s="46"/>
      <c r="H42" s="46"/>
      <c r="I42" s="38"/>
      <c r="J42" s="38"/>
      <c r="K42" s="38"/>
      <c r="L42" s="38"/>
      <c r="M42" s="39"/>
      <c r="N42" s="6"/>
      <c r="P42" s="6"/>
      <c r="R42" s="8"/>
    </row>
    <row r="43" spans="1:18">
      <c r="A43" s="42"/>
      <c r="B43" s="42"/>
      <c r="C43" s="42"/>
      <c r="D43" s="42"/>
      <c r="E43" s="42"/>
      <c r="F43" s="48"/>
      <c r="G43" s="48"/>
      <c r="H43" s="48"/>
      <c r="I43" s="42"/>
      <c r="J43" s="42"/>
      <c r="K43" s="42"/>
      <c r="L43" s="43"/>
      <c r="M43" s="44"/>
      <c r="N43" s="6"/>
      <c r="P43" s="6"/>
      <c r="R43" s="8"/>
    </row>
    <row r="44" spans="1:18">
      <c r="B44" s="15"/>
      <c r="C44" s="15"/>
      <c r="D44" s="15"/>
      <c r="E44" s="15"/>
      <c r="G44" s="15"/>
      <c r="H44" s="11"/>
      <c r="I44" s="15"/>
      <c r="J44" s="6"/>
      <c r="K44" s="15"/>
      <c r="L44" s="15"/>
      <c r="M44" s="14"/>
      <c r="N44" s="6"/>
      <c r="P44" s="6"/>
      <c r="R44" s="8"/>
    </row>
    <row r="45" spans="1:18">
      <c r="A45" s="50" t="s">
        <v>125</v>
      </c>
      <c r="B45" s="34" t="s">
        <v>333</v>
      </c>
      <c r="C45" s="34"/>
      <c r="D45" s="34" t="s">
        <v>126</v>
      </c>
      <c r="E45" s="34" t="s">
        <v>127</v>
      </c>
      <c r="F45" s="34" t="s">
        <v>1023</v>
      </c>
      <c r="G45" s="34" t="s">
        <v>129</v>
      </c>
      <c r="H45" s="34" t="s">
        <v>335</v>
      </c>
      <c r="I45" s="34" t="s">
        <v>131</v>
      </c>
      <c r="J45" s="34" t="s">
        <v>336</v>
      </c>
      <c r="K45" s="34" t="s">
        <v>133</v>
      </c>
      <c r="L45" s="34" t="s">
        <v>134</v>
      </c>
      <c r="M45" s="45" t="s">
        <v>1368</v>
      </c>
      <c r="N45" s="6"/>
      <c r="P45" s="6"/>
      <c r="R45" s="8"/>
    </row>
    <row r="46" spans="1:18">
      <c r="A46" s="51"/>
      <c r="B46" s="38" t="s">
        <v>340</v>
      </c>
      <c r="C46" s="38"/>
      <c r="D46" s="38" t="s">
        <v>1369</v>
      </c>
      <c r="E46" s="38">
        <v>1</v>
      </c>
      <c r="F46" s="46">
        <v>2.4155092592592593E-2</v>
      </c>
      <c r="G46" s="47">
        <v>6.7361111111111108E-2</v>
      </c>
      <c r="H46" s="46">
        <v>9.9525462962962968E-2</v>
      </c>
      <c r="I46" s="47">
        <v>4.6527777777777779E-2</v>
      </c>
      <c r="J46" s="46">
        <v>6.3217592592592589E-2</v>
      </c>
      <c r="K46" s="46">
        <v>0.18881944444444446</v>
      </c>
      <c r="L46" s="38"/>
      <c r="M46" s="39" t="s">
        <v>1370</v>
      </c>
      <c r="N46" s="8">
        <f>IFERROR(ROUND($K$46/K46*1000,0),0)</f>
        <v>1000</v>
      </c>
      <c r="P46" s="6"/>
      <c r="R46" s="8"/>
    </row>
    <row r="47" spans="1:18">
      <c r="A47" s="51" t="s">
        <v>252</v>
      </c>
      <c r="B47" s="38" t="s">
        <v>340</v>
      </c>
      <c r="C47" s="38"/>
      <c r="D47" s="38" t="s">
        <v>1371</v>
      </c>
      <c r="E47" s="38">
        <v>1</v>
      </c>
      <c r="F47" s="46">
        <v>2.537037037037037E-2</v>
      </c>
      <c r="G47" s="47">
        <v>0.11180555555555556</v>
      </c>
      <c r="H47" s="46">
        <v>0.11059027777777777</v>
      </c>
      <c r="I47" s="47">
        <v>5.6250000000000001E-2</v>
      </c>
      <c r="J47" s="46">
        <v>6.0925925925925925E-2</v>
      </c>
      <c r="K47" s="46">
        <v>0.19971064814814815</v>
      </c>
      <c r="L47" s="38" t="e">
        <v>#VALUE!</v>
      </c>
      <c r="M47" s="39" t="s">
        <v>1372</v>
      </c>
      <c r="N47" s="8">
        <f t="shared" ref="N47:N110" si="1">IFERROR(ROUND($K$46/K47*1000,0),0)</f>
        <v>945</v>
      </c>
      <c r="P47" s="6"/>
      <c r="R47" s="8"/>
    </row>
    <row r="48" spans="1:18">
      <c r="A48" s="51" t="s">
        <v>138</v>
      </c>
      <c r="B48" s="38" t="s">
        <v>27</v>
      </c>
      <c r="C48" s="38"/>
      <c r="D48" s="38" t="s">
        <v>1373</v>
      </c>
      <c r="E48" s="38">
        <v>1</v>
      </c>
      <c r="F48" s="46">
        <v>2.5532407407407406E-2</v>
      </c>
      <c r="G48" s="47">
        <v>0.10208333333333333</v>
      </c>
      <c r="H48" s="46">
        <v>0.10815972222222223</v>
      </c>
      <c r="I48" s="47">
        <v>5.2083333333333336E-2</v>
      </c>
      <c r="J48" s="46">
        <v>6.491898148148148E-2</v>
      </c>
      <c r="K48" s="46">
        <v>0.20119212962962962</v>
      </c>
      <c r="L48" s="38" t="e">
        <v>#VALUE!</v>
      </c>
      <c r="M48" s="39" t="s">
        <v>1374</v>
      </c>
      <c r="N48" s="8">
        <f t="shared" si="1"/>
        <v>939</v>
      </c>
      <c r="P48" s="6"/>
      <c r="R48" s="8"/>
    </row>
    <row r="49" spans="1:18">
      <c r="A49" s="51" t="s">
        <v>138</v>
      </c>
      <c r="B49" s="38" t="s">
        <v>32</v>
      </c>
      <c r="C49" s="38"/>
      <c r="D49" s="38" t="s">
        <v>1375</v>
      </c>
      <c r="E49" s="38">
        <v>1</v>
      </c>
      <c r="F49" s="46">
        <v>2.4826388888888887E-2</v>
      </c>
      <c r="G49" s="47">
        <v>0.20208333333333334</v>
      </c>
      <c r="H49" s="46">
        <v>0.1084837962962963</v>
      </c>
      <c r="I49" s="47">
        <v>5.2083333333333336E-2</v>
      </c>
      <c r="J49" s="46">
        <v>6.5636574074074069E-2</v>
      </c>
      <c r="K49" s="46">
        <v>0.20319444444444446</v>
      </c>
      <c r="L49" s="38" t="e">
        <v>#VALUE!</v>
      </c>
      <c r="M49" s="39" t="s">
        <v>1376</v>
      </c>
      <c r="N49" s="8">
        <f t="shared" si="1"/>
        <v>929</v>
      </c>
      <c r="P49" s="6"/>
      <c r="R49" s="8"/>
    </row>
    <row r="50" spans="1:18">
      <c r="A50" s="51"/>
      <c r="B50" s="38" t="s">
        <v>340</v>
      </c>
      <c r="C50" s="38"/>
      <c r="D50" s="38" t="s">
        <v>1369</v>
      </c>
      <c r="E50" s="38">
        <v>2</v>
      </c>
      <c r="F50" s="46">
        <v>1.9143518518518518E-2</v>
      </c>
      <c r="G50" s="47">
        <v>6.805555555555555E-2</v>
      </c>
      <c r="H50" s="46">
        <v>0.1089699074074074</v>
      </c>
      <c r="I50" s="47">
        <v>7.0833333333333331E-2</v>
      </c>
      <c r="J50" s="46">
        <v>7.4386574074074077E-2</v>
      </c>
      <c r="K50" s="46">
        <v>0.20483796296296297</v>
      </c>
      <c r="L50" s="38" t="e">
        <v>#REF!</v>
      </c>
      <c r="M50" s="39" t="s">
        <v>1377</v>
      </c>
      <c r="N50" s="8">
        <f t="shared" si="1"/>
        <v>922</v>
      </c>
      <c r="P50" s="6"/>
      <c r="R50" s="8"/>
    </row>
    <row r="51" spans="1:18">
      <c r="A51" s="51" t="s">
        <v>1378</v>
      </c>
      <c r="B51" s="38" t="s">
        <v>340</v>
      </c>
      <c r="C51" s="38"/>
      <c r="D51" s="38" t="s">
        <v>1371</v>
      </c>
      <c r="E51" s="38">
        <v>2</v>
      </c>
      <c r="F51" s="46">
        <v>2.5115740740740741E-2</v>
      </c>
      <c r="G51" s="47">
        <v>8.1944444444444445E-2</v>
      </c>
      <c r="H51" s="46">
        <v>0.10932870370370371</v>
      </c>
      <c r="I51" s="47">
        <v>6.3888888888888884E-2</v>
      </c>
      <c r="J51" s="46">
        <v>6.8912037037037036E-2</v>
      </c>
      <c r="K51" s="46">
        <v>0.20581018518518518</v>
      </c>
      <c r="L51" s="38" t="e">
        <v>#VALUE!</v>
      </c>
      <c r="M51" s="39" t="s">
        <v>1379</v>
      </c>
      <c r="N51" s="8">
        <f t="shared" si="1"/>
        <v>917</v>
      </c>
      <c r="P51" s="6"/>
      <c r="R51" s="8"/>
    </row>
    <row r="52" spans="1:18">
      <c r="A52" s="51" t="s">
        <v>1058</v>
      </c>
      <c r="B52" s="38" t="s">
        <v>340</v>
      </c>
      <c r="C52" s="38"/>
      <c r="D52" s="38" t="s">
        <v>1369</v>
      </c>
      <c r="E52" s="38">
        <v>3</v>
      </c>
      <c r="F52" s="46">
        <v>1.8622685185185187E-2</v>
      </c>
      <c r="G52" s="47">
        <v>0.1</v>
      </c>
      <c r="H52" s="46">
        <v>0.11866898148148149</v>
      </c>
      <c r="I52" s="47">
        <v>7.7777777777777779E-2</v>
      </c>
      <c r="J52" s="46">
        <v>6.5902777777777782E-2</v>
      </c>
      <c r="K52" s="46">
        <v>0.20618055555555556</v>
      </c>
      <c r="L52" s="38" t="s">
        <v>1380</v>
      </c>
      <c r="M52" s="39" t="s">
        <v>1381</v>
      </c>
      <c r="N52" s="8">
        <f t="shared" si="1"/>
        <v>916</v>
      </c>
      <c r="P52" s="6"/>
      <c r="R52" s="8"/>
    </row>
    <row r="53" spans="1:18">
      <c r="A53" s="51" t="s">
        <v>173</v>
      </c>
      <c r="B53" s="38" t="s">
        <v>340</v>
      </c>
      <c r="C53" s="38"/>
      <c r="D53" s="38" t="s">
        <v>1382</v>
      </c>
      <c r="E53" s="38">
        <v>1</v>
      </c>
      <c r="F53" s="46">
        <v>2.2789351851851852E-2</v>
      </c>
      <c r="G53" s="47">
        <v>8.6805555555555552E-2</v>
      </c>
      <c r="H53" s="46">
        <v>0.1129050925925926</v>
      </c>
      <c r="I53" s="47">
        <v>6.7361111111111108E-2</v>
      </c>
      <c r="J53" s="46">
        <v>6.87962962962963E-2</v>
      </c>
      <c r="K53" s="46">
        <v>0.20707175925925925</v>
      </c>
      <c r="L53" s="38" t="e">
        <v>#VALUE!</v>
      </c>
      <c r="M53" s="39" t="s">
        <v>1383</v>
      </c>
      <c r="N53" s="8">
        <f t="shared" si="1"/>
        <v>912</v>
      </c>
      <c r="P53" s="6"/>
      <c r="R53" s="8"/>
    </row>
    <row r="54" spans="1:18">
      <c r="A54" s="51"/>
      <c r="B54" s="38" t="s">
        <v>340</v>
      </c>
      <c r="C54" s="38"/>
      <c r="D54" s="38" t="s">
        <v>1373</v>
      </c>
      <c r="E54" s="38">
        <v>2</v>
      </c>
      <c r="F54" s="46">
        <v>2.4976851851851851E-2</v>
      </c>
      <c r="G54" s="47">
        <v>0.10555555555555556</v>
      </c>
      <c r="H54" s="46">
        <v>0.11398148148148148</v>
      </c>
      <c r="I54" s="47">
        <v>8.819444444444445E-2</v>
      </c>
      <c r="J54" s="46">
        <v>6.94212962962963E-2</v>
      </c>
      <c r="K54" s="46">
        <v>0.21163194444444444</v>
      </c>
      <c r="L54" s="38" t="e">
        <v>#VALUE!</v>
      </c>
      <c r="M54" s="39" t="s">
        <v>1384</v>
      </c>
      <c r="N54" s="8">
        <f t="shared" si="1"/>
        <v>892</v>
      </c>
      <c r="P54" s="6"/>
      <c r="R54" s="8"/>
    </row>
    <row r="55" spans="1:18">
      <c r="A55" s="51"/>
      <c r="B55" s="38" t="s">
        <v>340</v>
      </c>
      <c r="C55" s="38"/>
      <c r="D55" s="38" t="s">
        <v>1371</v>
      </c>
      <c r="E55" s="38">
        <v>3</v>
      </c>
      <c r="F55" s="46">
        <v>2.6597222222222223E-2</v>
      </c>
      <c r="G55" s="47">
        <v>0.12361111111111112</v>
      </c>
      <c r="H55" s="46">
        <v>0.11373842592592592</v>
      </c>
      <c r="I55" s="47">
        <v>8.3333333333333329E-2</v>
      </c>
      <c r="J55" s="46">
        <v>6.8125000000000005E-2</v>
      </c>
      <c r="K55" s="46">
        <v>0.2119212962962963</v>
      </c>
      <c r="L55" s="38" t="e">
        <v>#VALUE!</v>
      </c>
      <c r="M55" s="39" t="s">
        <v>1385</v>
      </c>
      <c r="N55" s="8">
        <f t="shared" si="1"/>
        <v>891</v>
      </c>
      <c r="P55" s="6"/>
      <c r="R55" s="8"/>
    </row>
    <row r="56" spans="1:18">
      <c r="A56" s="51" t="s">
        <v>1386</v>
      </c>
      <c r="B56" s="38" t="s">
        <v>340</v>
      </c>
      <c r="C56" s="38"/>
      <c r="D56" s="38" t="s">
        <v>1373</v>
      </c>
      <c r="E56" s="38">
        <v>3</v>
      </c>
      <c r="F56" s="46">
        <v>2.3993055555555556E-2</v>
      </c>
      <c r="G56" s="47">
        <v>0.11180555555555556</v>
      </c>
      <c r="H56" s="46">
        <v>0.11800925925925926</v>
      </c>
      <c r="I56" s="47">
        <v>5.5555555555555552E-2</v>
      </c>
      <c r="J56" s="46">
        <v>6.8692129629629631E-2</v>
      </c>
      <c r="K56" s="46">
        <v>0.21349537037037036</v>
      </c>
      <c r="L56" s="38" t="e">
        <v>#VALUE!</v>
      </c>
      <c r="M56" s="39" t="s">
        <v>1387</v>
      </c>
      <c r="N56" s="8">
        <f t="shared" si="1"/>
        <v>884</v>
      </c>
      <c r="P56" s="6"/>
      <c r="R56" s="8"/>
    </row>
    <row r="57" spans="1:18">
      <c r="A57" s="51" t="s">
        <v>138</v>
      </c>
      <c r="B57" s="38" t="s">
        <v>33</v>
      </c>
      <c r="C57" s="38"/>
      <c r="D57" s="38" t="s">
        <v>1388</v>
      </c>
      <c r="E57" s="38">
        <v>1</v>
      </c>
      <c r="F57" s="46">
        <v>2.2013888888888888E-2</v>
      </c>
      <c r="G57" s="47">
        <v>0.11458333333333333</v>
      </c>
      <c r="H57" s="46">
        <v>0.11922453703703703</v>
      </c>
      <c r="I57" s="47">
        <v>4.9305555555555554E-2</v>
      </c>
      <c r="J57" s="46">
        <v>6.9930555555555551E-2</v>
      </c>
      <c r="K57" s="46">
        <v>0.21392361111111111</v>
      </c>
      <c r="L57" s="38" t="e">
        <v>#REF!</v>
      </c>
      <c r="M57" s="39" t="s">
        <v>1389</v>
      </c>
      <c r="N57" s="8">
        <f t="shared" si="1"/>
        <v>883</v>
      </c>
      <c r="P57" s="6"/>
      <c r="R57" s="8"/>
    </row>
    <row r="58" spans="1:18">
      <c r="A58" s="51" t="s">
        <v>138</v>
      </c>
      <c r="B58" s="38"/>
      <c r="C58" s="38"/>
      <c r="D58" s="38" t="s">
        <v>1388</v>
      </c>
      <c r="E58" s="38">
        <v>2</v>
      </c>
      <c r="F58" s="46">
        <v>2.6319444444444444E-2</v>
      </c>
      <c r="G58" s="47">
        <v>0.10347222222222222</v>
      </c>
      <c r="H58" s="46">
        <v>0.11721064814814815</v>
      </c>
      <c r="I58" s="47">
        <v>7.2916666666666671E-2</v>
      </c>
      <c r="J58" s="46">
        <v>6.9687499999999999E-2</v>
      </c>
      <c r="K58" s="46">
        <v>0.21616898148148148</v>
      </c>
      <c r="L58" s="38" t="e">
        <v>#VALUE!</v>
      </c>
      <c r="M58" s="39" t="s">
        <v>1390</v>
      </c>
      <c r="N58" s="8">
        <f t="shared" si="1"/>
        <v>873</v>
      </c>
      <c r="P58" s="6"/>
      <c r="R58" s="8"/>
    </row>
    <row r="59" spans="1:18">
      <c r="A59" s="51" t="s">
        <v>1058</v>
      </c>
      <c r="B59" s="38" t="s">
        <v>340</v>
      </c>
      <c r="C59" s="38"/>
      <c r="D59" s="38" t="s">
        <v>1373</v>
      </c>
      <c r="E59" s="38">
        <v>4</v>
      </c>
      <c r="F59" s="46">
        <v>2.3553240740740739E-2</v>
      </c>
      <c r="G59" s="47">
        <v>0.17916666666666667</v>
      </c>
      <c r="H59" s="46">
        <v>0.11413194444444444</v>
      </c>
      <c r="I59" s="47">
        <v>7.9861111111111105E-2</v>
      </c>
      <c r="J59" s="46">
        <v>7.4178240740740739E-2</v>
      </c>
      <c r="K59" s="46">
        <v>0.21621527777777777</v>
      </c>
      <c r="L59" s="38" t="e">
        <v>#VALUE!</v>
      </c>
      <c r="M59" s="39" t="s">
        <v>1390</v>
      </c>
      <c r="N59" s="8">
        <f t="shared" si="1"/>
        <v>873</v>
      </c>
      <c r="P59" s="6"/>
      <c r="R59" s="8"/>
    </row>
    <row r="60" spans="1:18">
      <c r="A60" s="52" t="s">
        <v>310</v>
      </c>
      <c r="B60" s="38" t="s">
        <v>340</v>
      </c>
      <c r="C60" s="38"/>
      <c r="D60" s="38" t="s">
        <v>1382</v>
      </c>
      <c r="E60" s="38">
        <v>2</v>
      </c>
      <c r="F60" s="46">
        <v>2.2962962962962963E-2</v>
      </c>
      <c r="G60" s="47">
        <v>0.14444444444444443</v>
      </c>
      <c r="H60" s="46">
        <v>0.11578703703703704</v>
      </c>
      <c r="I60" s="47">
        <v>0.15486111111111112</v>
      </c>
      <c r="J60" s="46">
        <v>7.5069444444444439E-2</v>
      </c>
      <c r="K60" s="46">
        <v>0.21884259259259259</v>
      </c>
      <c r="L60" s="38" t="e">
        <v>#REF!</v>
      </c>
      <c r="M60" s="39" t="s">
        <v>1391</v>
      </c>
      <c r="N60" s="8">
        <f t="shared" si="1"/>
        <v>863</v>
      </c>
      <c r="P60" s="6"/>
      <c r="R60" s="8"/>
    </row>
    <row r="61" spans="1:18">
      <c r="A61" s="51"/>
      <c r="B61" s="38" t="s">
        <v>340</v>
      </c>
      <c r="C61" s="38"/>
      <c r="D61" s="38" t="s">
        <v>1382</v>
      </c>
      <c r="E61" s="38">
        <v>3</v>
      </c>
      <c r="F61" s="46">
        <v>3.784722222222222E-2</v>
      </c>
      <c r="G61" s="47">
        <v>0.10486111111111111</v>
      </c>
      <c r="H61" s="46">
        <v>0.11113425925925927</v>
      </c>
      <c r="I61" s="47">
        <v>6.3194444444444442E-2</v>
      </c>
      <c r="J61" s="46">
        <v>7.0462962962962963E-2</v>
      </c>
      <c r="K61" s="46">
        <v>0.2222800925925926</v>
      </c>
      <c r="L61" s="38" t="e">
        <v>#REF!</v>
      </c>
      <c r="M61" s="39" t="s">
        <v>1392</v>
      </c>
      <c r="N61" s="8">
        <f t="shared" si="1"/>
        <v>849</v>
      </c>
      <c r="P61" s="6"/>
      <c r="R61" s="8"/>
    </row>
    <row r="62" spans="1:18">
      <c r="A62" s="51" t="s">
        <v>199</v>
      </c>
      <c r="B62" s="38" t="s">
        <v>340</v>
      </c>
      <c r="C62" s="38"/>
      <c r="D62" s="38" t="s">
        <v>1369</v>
      </c>
      <c r="E62" s="38">
        <v>4</v>
      </c>
      <c r="F62" s="46">
        <v>2.644675925925926E-2</v>
      </c>
      <c r="G62" s="47">
        <v>9.5138888888888884E-2</v>
      </c>
      <c r="H62" s="46">
        <v>0.11424768518518519</v>
      </c>
      <c r="I62" s="47">
        <v>4.5138888888888888E-2</v>
      </c>
      <c r="J62" s="46">
        <v>7.9490740740740737E-2</v>
      </c>
      <c r="K62" s="46">
        <v>0.2225462962962963</v>
      </c>
      <c r="L62" s="38" t="e">
        <v>#VALUE!</v>
      </c>
      <c r="M62" s="39" t="s">
        <v>1393</v>
      </c>
      <c r="N62" s="8">
        <f t="shared" si="1"/>
        <v>848</v>
      </c>
      <c r="P62" s="6"/>
      <c r="R62" s="8"/>
    </row>
    <row r="63" spans="1:18">
      <c r="A63" s="51" t="s">
        <v>173</v>
      </c>
      <c r="B63" s="38" t="s">
        <v>340</v>
      </c>
      <c r="C63" s="38"/>
      <c r="D63" s="38" t="s">
        <v>1375</v>
      </c>
      <c r="E63" s="38">
        <v>2</v>
      </c>
      <c r="F63" s="46">
        <v>2.4363425925925927E-2</v>
      </c>
      <c r="G63" s="47">
        <v>0.10347222222222222</v>
      </c>
      <c r="H63" s="46">
        <v>0.12030092592592592</v>
      </c>
      <c r="I63" s="47">
        <v>7.8472222222222221E-2</v>
      </c>
      <c r="J63" s="46">
        <v>7.6296296296296293E-2</v>
      </c>
      <c r="K63" s="46">
        <v>0.22402777777777777</v>
      </c>
      <c r="L63" s="38" t="e">
        <v>#VALUE!</v>
      </c>
      <c r="M63" s="39" t="s">
        <v>1394</v>
      </c>
      <c r="N63" s="8">
        <f t="shared" si="1"/>
        <v>843</v>
      </c>
      <c r="P63" s="6"/>
      <c r="R63" s="8"/>
    </row>
    <row r="64" spans="1:18">
      <c r="A64" s="51" t="s">
        <v>1395</v>
      </c>
      <c r="B64" s="38" t="s">
        <v>340</v>
      </c>
      <c r="C64" s="38"/>
      <c r="D64" s="38" t="s">
        <v>1371</v>
      </c>
      <c r="E64" s="38">
        <v>4</v>
      </c>
      <c r="F64" s="46">
        <v>2.8171296296296295E-2</v>
      </c>
      <c r="G64" s="47">
        <v>0.18888888888888888</v>
      </c>
      <c r="H64" s="46">
        <v>0.12638888888888888</v>
      </c>
      <c r="I64" s="47">
        <v>0.10138888888888889</v>
      </c>
      <c r="J64" s="46">
        <v>6.6354166666666672E-2</v>
      </c>
      <c r="K64" s="46">
        <v>0.22577546296296297</v>
      </c>
      <c r="L64" s="38" t="e">
        <v>#REF!</v>
      </c>
      <c r="M64" s="39" t="s">
        <v>1396</v>
      </c>
      <c r="N64" s="8">
        <f t="shared" si="1"/>
        <v>836</v>
      </c>
      <c r="P64" s="6"/>
      <c r="R64" s="8"/>
    </row>
    <row r="65" spans="1:18">
      <c r="A65" s="51"/>
      <c r="B65" s="38" t="s">
        <v>340</v>
      </c>
      <c r="C65" s="38"/>
      <c r="D65" s="38" t="s">
        <v>1382</v>
      </c>
      <c r="E65" s="38">
        <v>4</v>
      </c>
      <c r="F65" s="46">
        <v>2.8807870370370369E-2</v>
      </c>
      <c r="G65" s="47">
        <v>0.11458333333333333</v>
      </c>
      <c r="H65" s="46">
        <v>0.11765046296296296</v>
      </c>
      <c r="I65" s="47">
        <v>8.1250000000000003E-2</v>
      </c>
      <c r="J65" s="46">
        <v>7.6712962962962969E-2</v>
      </c>
      <c r="K65" s="46">
        <v>0.22645833333333334</v>
      </c>
      <c r="L65" s="38" t="e">
        <v>#REF!</v>
      </c>
      <c r="M65" s="39" t="s">
        <v>1397</v>
      </c>
      <c r="N65" s="8">
        <f t="shared" si="1"/>
        <v>834</v>
      </c>
      <c r="P65" s="6"/>
      <c r="R65" s="8"/>
    </row>
    <row r="66" spans="1:18">
      <c r="A66" s="51"/>
      <c r="B66" s="38" t="s">
        <v>340</v>
      </c>
      <c r="C66" s="38"/>
      <c r="D66" s="38" t="s">
        <v>1382</v>
      </c>
      <c r="E66" s="38">
        <v>5</v>
      </c>
      <c r="F66" s="46">
        <v>2.5763888888888888E-2</v>
      </c>
      <c r="G66" s="47">
        <v>0.14722222222222223</v>
      </c>
      <c r="H66" s="46">
        <v>0.12989583333333332</v>
      </c>
      <c r="I66" s="47">
        <v>5.2777777777777778E-2</v>
      </c>
      <c r="J66" s="46">
        <v>6.8888888888888888E-2</v>
      </c>
      <c r="K66" s="46">
        <v>0.22789351851851852</v>
      </c>
      <c r="L66" s="38" t="e">
        <v>#REF!</v>
      </c>
      <c r="M66" s="39" t="s">
        <v>1398</v>
      </c>
      <c r="N66" s="8">
        <f t="shared" si="1"/>
        <v>829</v>
      </c>
      <c r="P66" s="6"/>
      <c r="R66" s="8"/>
    </row>
    <row r="67" spans="1:18">
      <c r="A67" s="51" t="s">
        <v>1399</v>
      </c>
      <c r="B67" s="38" t="s">
        <v>340</v>
      </c>
      <c r="C67" s="38"/>
      <c r="D67" s="38" t="s">
        <v>1371</v>
      </c>
      <c r="E67" s="38">
        <v>5</v>
      </c>
      <c r="F67" s="46">
        <v>3.2546296296296295E-2</v>
      </c>
      <c r="G67" s="47">
        <v>0.30416666666666664</v>
      </c>
      <c r="H67" s="46">
        <v>0.12482638888888889</v>
      </c>
      <c r="I67" s="47">
        <v>0.11736111111111111</v>
      </c>
      <c r="J67" s="46">
        <v>6.5046296296296297E-2</v>
      </c>
      <c r="K67" s="46">
        <v>0.22946759259259258</v>
      </c>
      <c r="L67" s="38" t="e">
        <v>#VALUE!</v>
      </c>
      <c r="M67" s="39" t="s">
        <v>1400</v>
      </c>
      <c r="N67" s="8">
        <f t="shared" si="1"/>
        <v>823</v>
      </c>
      <c r="P67" s="6"/>
      <c r="R67" s="8"/>
    </row>
    <row r="68" spans="1:18">
      <c r="A68" s="51"/>
      <c r="B68" s="38" t="s">
        <v>340</v>
      </c>
      <c r="C68" s="38"/>
      <c r="D68" s="38" t="s">
        <v>1371</v>
      </c>
      <c r="E68" s="38">
        <v>6</v>
      </c>
      <c r="F68" s="46">
        <v>2.9398148148148149E-2</v>
      </c>
      <c r="G68" s="47">
        <v>0.18472222222222223</v>
      </c>
      <c r="H68" s="46">
        <v>0.12196759259259259</v>
      </c>
      <c r="I68" s="47">
        <v>6.3888888888888884E-2</v>
      </c>
      <c r="J68" s="46">
        <v>7.4004629629629629E-2</v>
      </c>
      <c r="K68" s="46">
        <v>0.22953703703703704</v>
      </c>
      <c r="L68" s="38" t="e">
        <v>#VALUE!</v>
      </c>
      <c r="M68" s="39" t="s">
        <v>1401</v>
      </c>
      <c r="N68" s="8">
        <f t="shared" si="1"/>
        <v>823</v>
      </c>
      <c r="R68" s="8"/>
    </row>
    <row r="69" spans="1:18">
      <c r="A69" s="51" t="s">
        <v>1402</v>
      </c>
      <c r="B69" s="38" t="s">
        <v>340</v>
      </c>
      <c r="C69" s="38"/>
      <c r="D69" s="38" t="s">
        <v>1369</v>
      </c>
      <c r="E69" s="38">
        <v>5</v>
      </c>
      <c r="F69" s="46">
        <v>2.7997685185185184E-2</v>
      </c>
      <c r="G69" s="47">
        <v>0.13402777777777777</v>
      </c>
      <c r="H69" s="46">
        <v>0.12144675925925925</v>
      </c>
      <c r="I69" s="47">
        <v>6.8750000000000006E-2</v>
      </c>
      <c r="J69" s="46">
        <v>7.8217592592592589E-2</v>
      </c>
      <c r="K69" s="46">
        <v>0.23105324074074074</v>
      </c>
      <c r="L69" s="38" t="s">
        <v>1380</v>
      </c>
      <c r="M69" s="39" t="s">
        <v>1403</v>
      </c>
      <c r="N69" s="8">
        <f t="shared" si="1"/>
        <v>817</v>
      </c>
      <c r="R69" s="8"/>
    </row>
    <row r="70" spans="1:18">
      <c r="A70" s="51" t="s">
        <v>1404</v>
      </c>
      <c r="B70" s="38" t="s">
        <v>340</v>
      </c>
      <c r="C70" s="38"/>
      <c r="D70" s="38" t="s">
        <v>1373</v>
      </c>
      <c r="E70" s="38">
        <v>5</v>
      </c>
      <c r="F70" s="46">
        <v>2.6689814814814816E-2</v>
      </c>
      <c r="G70" s="47">
        <v>0.24374999999999999</v>
      </c>
      <c r="H70" s="46">
        <v>0.12490740740740741</v>
      </c>
      <c r="I70" s="47">
        <v>0.16666666666666666</v>
      </c>
      <c r="J70" s="46">
        <v>7.2766203703703708E-2</v>
      </c>
      <c r="K70" s="46">
        <v>0.23123842592592592</v>
      </c>
      <c r="L70" s="38" t="e">
        <v>#N/A</v>
      </c>
      <c r="M70" s="39" t="s">
        <v>1405</v>
      </c>
      <c r="N70" s="8">
        <f t="shared" si="1"/>
        <v>817</v>
      </c>
      <c r="O70" s="6"/>
      <c r="R70" s="8"/>
    </row>
    <row r="71" spans="1:18">
      <c r="A71" s="51" t="s">
        <v>199</v>
      </c>
      <c r="B71" s="38" t="s">
        <v>340</v>
      </c>
      <c r="C71" s="38"/>
      <c r="D71" s="38" t="s">
        <v>1375</v>
      </c>
      <c r="E71" s="38">
        <v>3</v>
      </c>
      <c r="F71" s="46">
        <v>2.3773148148148147E-2</v>
      </c>
      <c r="G71" s="47">
        <v>0.2388888888888889</v>
      </c>
      <c r="H71" s="46">
        <v>0.12646990740740741</v>
      </c>
      <c r="I71" s="47">
        <v>0.13263888888888889</v>
      </c>
      <c r="J71" s="46">
        <v>7.4791666666666673E-2</v>
      </c>
      <c r="K71" s="46">
        <v>0.23126157407407408</v>
      </c>
      <c r="L71" s="38" t="e">
        <v>#N/A</v>
      </c>
      <c r="M71" s="39" t="s">
        <v>1405</v>
      </c>
      <c r="N71" s="8">
        <f t="shared" si="1"/>
        <v>816</v>
      </c>
      <c r="R71" s="8"/>
    </row>
    <row r="72" spans="1:18">
      <c r="A72" s="51" t="s">
        <v>795</v>
      </c>
      <c r="B72" s="38" t="s">
        <v>340</v>
      </c>
      <c r="C72" s="38"/>
      <c r="D72" s="38" t="s">
        <v>1388</v>
      </c>
      <c r="E72" s="38">
        <v>3</v>
      </c>
      <c r="F72" s="46">
        <v>2.1365740740740741E-2</v>
      </c>
      <c r="G72" s="47">
        <v>0.10138888888888889</v>
      </c>
      <c r="H72" s="46">
        <v>0.11681712962962963</v>
      </c>
      <c r="I72" s="47">
        <v>6.805555555555555E-2</v>
      </c>
      <c r="J72" s="46">
        <v>9.0370370370370365E-2</v>
      </c>
      <c r="K72" s="46">
        <v>0.23140046296296296</v>
      </c>
      <c r="L72" s="38" t="e">
        <v>#N/A</v>
      </c>
      <c r="M72" s="39" t="s">
        <v>1406</v>
      </c>
      <c r="N72" s="8">
        <f t="shared" si="1"/>
        <v>816</v>
      </c>
      <c r="R72" s="8"/>
    </row>
    <row r="73" spans="1:18">
      <c r="A73" s="51" t="s">
        <v>1407</v>
      </c>
      <c r="B73" s="38" t="s">
        <v>340</v>
      </c>
      <c r="C73" s="38"/>
      <c r="D73" s="38" t="s">
        <v>1371</v>
      </c>
      <c r="E73" s="38">
        <v>7</v>
      </c>
      <c r="F73" s="46">
        <v>2.5810185185185186E-2</v>
      </c>
      <c r="G73" s="47">
        <v>0.13472222222222222</v>
      </c>
      <c r="H73" s="46">
        <v>0.12393518518518519</v>
      </c>
      <c r="I73" s="47">
        <v>5.0694444444444445E-2</v>
      </c>
      <c r="J73" s="46">
        <v>7.9791666666666664E-2</v>
      </c>
      <c r="K73" s="46">
        <v>0.23265046296296296</v>
      </c>
      <c r="L73" s="38" t="e">
        <v>#N/A</v>
      </c>
      <c r="M73" s="39" t="s">
        <v>1408</v>
      </c>
      <c r="N73" s="8">
        <f t="shared" si="1"/>
        <v>812</v>
      </c>
      <c r="R73" s="8"/>
    </row>
    <row r="74" spans="1:18">
      <c r="A74" s="51"/>
      <c r="B74" s="38" t="s">
        <v>340</v>
      </c>
      <c r="C74" s="38"/>
      <c r="D74" s="38" t="s">
        <v>1369</v>
      </c>
      <c r="E74" s="38">
        <v>6</v>
      </c>
      <c r="F74" s="46">
        <v>2.4872685185185185E-2</v>
      </c>
      <c r="G74" s="47">
        <v>0.13125000000000001</v>
      </c>
      <c r="H74" s="46">
        <v>0.12211805555555555</v>
      </c>
      <c r="I74" s="47">
        <v>6.7361111111111108E-2</v>
      </c>
      <c r="J74" s="46">
        <v>8.3935185185185182E-2</v>
      </c>
      <c r="K74" s="46">
        <v>0.23425925925925925</v>
      </c>
      <c r="L74" s="38" t="e">
        <v>#N/A</v>
      </c>
      <c r="M74" s="39" t="s">
        <v>1409</v>
      </c>
      <c r="N74" s="8">
        <f t="shared" si="1"/>
        <v>806</v>
      </c>
      <c r="R74" s="8"/>
    </row>
    <row r="75" spans="1:18">
      <c r="A75" s="51" t="s">
        <v>1410</v>
      </c>
      <c r="B75" s="38" t="s">
        <v>340</v>
      </c>
      <c r="C75" s="38"/>
      <c r="D75" s="38" t="s">
        <v>1371</v>
      </c>
      <c r="E75" s="38">
        <v>8</v>
      </c>
      <c r="F75" s="46">
        <v>2.8321759259259258E-2</v>
      </c>
      <c r="G75" s="47">
        <v>0.14374999999999999</v>
      </c>
      <c r="H75" s="46">
        <v>0.1254861111111111</v>
      </c>
      <c r="I75" s="47">
        <v>6.3888888888888884E-2</v>
      </c>
      <c r="J75" s="46">
        <v>7.7094907407407404E-2</v>
      </c>
      <c r="K75" s="46">
        <v>0.234375</v>
      </c>
      <c r="L75" s="38" t="e">
        <v>#N/A</v>
      </c>
      <c r="M75" s="39" t="s">
        <v>1409</v>
      </c>
      <c r="N75" s="8">
        <f t="shared" si="1"/>
        <v>806</v>
      </c>
      <c r="R75" s="8"/>
    </row>
    <row r="76" spans="1:18">
      <c r="A76" s="51"/>
      <c r="B76" s="38" t="s">
        <v>340</v>
      </c>
      <c r="C76" s="38"/>
      <c r="D76" s="38" t="s">
        <v>1382</v>
      </c>
      <c r="E76" s="38">
        <v>6</v>
      </c>
      <c r="F76" s="46">
        <v>2.7824074074074074E-2</v>
      </c>
      <c r="G76" s="47">
        <v>0.23819444444444443</v>
      </c>
      <c r="H76" s="46">
        <v>0.11346064814814814</v>
      </c>
      <c r="I76" s="47">
        <v>0.11597222222222223</v>
      </c>
      <c r="J76" s="46">
        <v>8.8923611111111106E-2</v>
      </c>
      <c r="K76" s="46">
        <v>0.23613425925925927</v>
      </c>
      <c r="L76" s="38" t="e">
        <v>#N/A</v>
      </c>
      <c r="M76" s="39" t="s">
        <v>1411</v>
      </c>
      <c r="N76" s="8">
        <f t="shared" si="1"/>
        <v>800</v>
      </c>
      <c r="R76" s="8"/>
    </row>
    <row r="77" spans="1:18">
      <c r="A77" s="51" t="s">
        <v>203</v>
      </c>
      <c r="B77" s="38" t="s">
        <v>340</v>
      </c>
      <c r="C77" s="38"/>
      <c r="D77" s="38" t="s">
        <v>1373</v>
      </c>
      <c r="E77" s="38">
        <v>6</v>
      </c>
      <c r="F77" s="46">
        <v>2.6932870370370371E-2</v>
      </c>
      <c r="G77" s="47">
        <v>0.1111111111111111</v>
      </c>
      <c r="H77" s="46">
        <v>0.12626157407407407</v>
      </c>
      <c r="I77" s="47">
        <v>8.1944444444444445E-2</v>
      </c>
      <c r="J77" s="46">
        <v>7.9803240740740744E-2</v>
      </c>
      <c r="K77" s="46">
        <v>0.23623842592592592</v>
      </c>
      <c r="L77" s="38" t="e">
        <v>#N/A</v>
      </c>
      <c r="M77" s="39" t="s">
        <v>1411</v>
      </c>
      <c r="N77" s="8">
        <f t="shared" si="1"/>
        <v>799</v>
      </c>
      <c r="R77" s="8"/>
    </row>
    <row r="78" spans="1:18">
      <c r="A78" s="51"/>
      <c r="B78" s="38" t="s">
        <v>340</v>
      </c>
      <c r="C78" s="38"/>
      <c r="D78" s="38" t="s">
        <v>1373</v>
      </c>
      <c r="E78" s="38">
        <v>7</v>
      </c>
      <c r="F78" s="46">
        <v>3.3564814814814818E-2</v>
      </c>
      <c r="G78" s="47">
        <v>0.12291666666666666</v>
      </c>
      <c r="H78" s="46">
        <v>0.12618055555555555</v>
      </c>
      <c r="I78" s="47">
        <v>4.027777777777778E-2</v>
      </c>
      <c r="J78" s="46">
        <v>7.5300925925925924E-2</v>
      </c>
      <c r="K78" s="46">
        <v>0.23780092592592592</v>
      </c>
      <c r="L78" s="38" t="e">
        <v>#N/A</v>
      </c>
      <c r="M78" s="39" t="s">
        <v>1412</v>
      </c>
      <c r="N78" s="8">
        <f t="shared" si="1"/>
        <v>794</v>
      </c>
      <c r="R78" s="8"/>
    </row>
    <row r="79" spans="1:18">
      <c r="A79" s="51" t="s">
        <v>1413</v>
      </c>
      <c r="B79" s="38" t="s">
        <v>340</v>
      </c>
      <c r="C79" s="38"/>
      <c r="D79" s="38" t="s">
        <v>1371</v>
      </c>
      <c r="E79" s="38">
        <v>9</v>
      </c>
      <c r="F79" s="46">
        <v>2.9120370370370369E-2</v>
      </c>
      <c r="G79" s="47">
        <v>0.17777777777777778</v>
      </c>
      <c r="H79" s="46">
        <v>0.12516203703703704</v>
      </c>
      <c r="I79" s="47">
        <v>0.10069444444444445</v>
      </c>
      <c r="J79" s="46">
        <v>7.9780092592592597E-2</v>
      </c>
      <c r="K79" s="46">
        <v>0.23872685185185186</v>
      </c>
      <c r="L79" s="38" t="e">
        <v>#N/A</v>
      </c>
      <c r="M79" s="39" t="s">
        <v>1414</v>
      </c>
      <c r="N79" s="8">
        <f t="shared" si="1"/>
        <v>791</v>
      </c>
    </row>
    <row r="80" spans="1:18">
      <c r="A80" s="51" t="s">
        <v>1415</v>
      </c>
      <c r="B80" s="38" t="s">
        <v>340</v>
      </c>
      <c r="C80" s="38"/>
      <c r="D80" s="38" t="s">
        <v>1371</v>
      </c>
      <c r="E80" s="38">
        <v>10</v>
      </c>
      <c r="F80" s="46">
        <v>2.7766203703703703E-2</v>
      </c>
      <c r="G80" s="47">
        <v>0.19305555555555556</v>
      </c>
      <c r="H80" s="46">
        <v>0.13194444444444445</v>
      </c>
      <c r="I80" s="47">
        <v>6.7361111111111108E-2</v>
      </c>
      <c r="J80" s="46">
        <v>7.4733796296296298E-2</v>
      </c>
      <c r="K80" s="46">
        <v>0.23879629629629628</v>
      </c>
      <c r="L80" s="38" t="e">
        <v>#N/A</v>
      </c>
      <c r="M80" s="39" t="s">
        <v>1414</v>
      </c>
      <c r="N80" s="8">
        <f t="shared" si="1"/>
        <v>791</v>
      </c>
    </row>
    <row r="81" spans="1:18">
      <c r="A81" s="51"/>
      <c r="B81" s="38" t="s">
        <v>340</v>
      </c>
      <c r="C81" s="38"/>
      <c r="D81" s="38" t="s">
        <v>1371</v>
      </c>
      <c r="E81" s="38">
        <v>11</v>
      </c>
      <c r="F81" s="46">
        <v>2.8055555555555556E-2</v>
      </c>
      <c r="G81" s="47">
        <v>0.20972222222222223</v>
      </c>
      <c r="H81" s="46">
        <v>0.12305555555555556</v>
      </c>
      <c r="I81" s="47">
        <v>8.819444444444445E-2</v>
      </c>
      <c r="J81" s="46">
        <v>8.3043981481481483E-2</v>
      </c>
      <c r="K81" s="46">
        <v>0.2391550925925926</v>
      </c>
      <c r="L81" s="38" t="e">
        <v>#N/A</v>
      </c>
      <c r="M81" s="39" t="s">
        <v>1416</v>
      </c>
      <c r="N81" s="8">
        <f t="shared" si="1"/>
        <v>790</v>
      </c>
    </row>
    <row r="82" spans="1:18">
      <c r="A82" s="51" t="s">
        <v>1417</v>
      </c>
      <c r="B82" s="38" t="s">
        <v>319</v>
      </c>
      <c r="C82" s="38"/>
      <c r="D82" s="38" t="s">
        <v>1382</v>
      </c>
      <c r="E82" s="38">
        <v>1</v>
      </c>
      <c r="F82" s="46">
        <v>3.2511574074074075E-2</v>
      </c>
      <c r="G82" s="47">
        <v>0.12916666666666668</v>
      </c>
      <c r="H82" s="46">
        <v>0.12909722222222222</v>
      </c>
      <c r="I82" s="47">
        <v>6.3194444444444442E-2</v>
      </c>
      <c r="J82" s="46">
        <v>7.4664351851851857E-2</v>
      </c>
      <c r="K82" s="46">
        <v>0.23949074074074075</v>
      </c>
      <c r="L82" s="38" t="e">
        <v>#N/A</v>
      </c>
      <c r="M82" s="39" t="s">
        <v>1418</v>
      </c>
      <c r="N82" s="8">
        <f t="shared" si="1"/>
        <v>788</v>
      </c>
      <c r="O82" s="6"/>
      <c r="R82" s="8"/>
    </row>
    <row r="83" spans="1:18">
      <c r="A83" s="51" t="s">
        <v>199</v>
      </c>
      <c r="B83" s="38" t="s">
        <v>340</v>
      </c>
      <c r="C83" s="38"/>
      <c r="D83" s="38" t="s">
        <v>1373</v>
      </c>
      <c r="E83" s="38">
        <v>8</v>
      </c>
      <c r="F83" s="46">
        <v>2.7141203703703702E-2</v>
      </c>
      <c r="G83" s="47">
        <v>0.11736111111111111</v>
      </c>
      <c r="H83" s="46">
        <v>0.12791666666666668</v>
      </c>
      <c r="I83" s="47">
        <v>5.5555555555555552E-2</v>
      </c>
      <c r="J83" s="46">
        <v>8.1666666666666665E-2</v>
      </c>
      <c r="K83" s="46">
        <v>0.23962962962962964</v>
      </c>
      <c r="L83" s="38" t="e">
        <v>#N/A</v>
      </c>
      <c r="M83" s="39" t="s">
        <v>1419</v>
      </c>
      <c r="N83" s="8">
        <f t="shared" si="1"/>
        <v>788</v>
      </c>
      <c r="O83" s="6"/>
      <c r="R83" s="8"/>
    </row>
    <row r="84" spans="1:18">
      <c r="A84" s="51"/>
      <c r="B84" s="38" t="s">
        <v>340</v>
      </c>
      <c r="C84" s="38"/>
      <c r="D84" s="38" t="s">
        <v>1382</v>
      </c>
      <c r="E84" s="38">
        <v>7</v>
      </c>
      <c r="F84" s="46">
        <v>2.8125000000000001E-2</v>
      </c>
      <c r="G84" s="47">
        <v>0.18402777777777779</v>
      </c>
      <c r="H84" s="46">
        <v>0.11717592592592592</v>
      </c>
      <c r="I84" s="47">
        <v>7.9166666666666663E-2</v>
      </c>
      <c r="J84" s="46">
        <v>9.0451388888888887E-2</v>
      </c>
      <c r="K84" s="46">
        <v>0.2401736111111111</v>
      </c>
      <c r="L84" s="38" t="e">
        <v>#N/A</v>
      </c>
      <c r="M84" s="39" t="s">
        <v>1420</v>
      </c>
      <c r="N84" s="8">
        <f t="shared" si="1"/>
        <v>786</v>
      </c>
      <c r="O84" s="6"/>
      <c r="R84" s="8"/>
    </row>
    <row r="85" spans="1:18">
      <c r="A85" s="51"/>
      <c r="B85" s="38" t="s">
        <v>340</v>
      </c>
      <c r="C85" s="38"/>
      <c r="D85" s="38" t="s">
        <v>1382</v>
      </c>
      <c r="E85" s="38">
        <v>8</v>
      </c>
      <c r="F85" s="46">
        <v>2.795138888888889E-2</v>
      </c>
      <c r="G85" s="47">
        <v>0.1125</v>
      </c>
      <c r="H85" s="46">
        <v>0.1233912037037037</v>
      </c>
      <c r="I85" s="47">
        <v>5.6250000000000001E-2</v>
      </c>
      <c r="J85" s="46">
        <v>8.6759259259259258E-2</v>
      </c>
      <c r="K85" s="46">
        <v>0.24094907407407407</v>
      </c>
      <c r="L85" s="38" t="e">
        <v>#N/A</v>
      </c>
      <c r="M85" s="39" t="s">
        <v>1421</v>
      </c>
      <c r="N85" s="8">
        <f t="shared" si="1"/>
        <v>784</v>
      </c>
      <c r="O85" s="6"/>
      <c r="R85" s="8"/>
    </row>
    <row r="86" spans="1:18">
      <c r="A86" s="51"/>
      <c r="B86" s="38" t="s">
        <v>340</v>
      </c>
      <c r="C86" s="38"/>
      <c r="D86" s="38" t="s">
        <v>1373</v>
      </c>
      <c r="E86" s="38">
        <v>9</v>
      </c>
      <c r="F86" s="46">
        <v>2.7303240740740739E-2</v>
      </c>
      <c r="G86" s="47">
        <v>9.930555555555555E-2</v>
      </c>
      <c r="H86" s="46">
        <v>0.12819444444444444</v>
      </c>
      <c r="I86" s="47">
        <v>5.5555555555555552E-2</v>
      </c>
      <c r="J86" s="46">
        <v>8.3414351851851851E-2</v>
      </c>
      <c r="K86" s="46">
        <v>0.24151620370370369</v>
      </c>
      <c r="L86" s="38" t="e">
        <v>#N/A</v>
      </c>
      <c r="M86" s="39" t="s">
        <v>1422</v>
      </c>
      <c r="N86" s="8">
        <f t="shared" si="1"/>
        <v>782</v>
      </c>
      <c r="O86" s="6"/>
      <c r="R86" s="8"/>
    </row>
    <row r="87" spans="1:18">
      <c r="A87" s="51"/>
      <c r="B87" s="38" t="s">
        <v>340</v>
      </c>
      <c r="C87" s="38"/>
      <c r="D87" s="38" t="s">
        <v>1375</v>
      </c>
      <c r="E87" s="38">
        <v>4</v>
      </c>
      <c r="F87" s="46">
        <v>2.8009259259259258E-2</v>
      </c>
      <c r="G87" s="47">
        <v>0.22361111111111112</v>
      </c>
      <c r="H87" s="46">
        <v>0.12457175925925926</v>
      </c>
      <c r="I87" s="47">
        <v>0.12986111111111112</v>
      </c>
      <c r="J87" s="46">
        <v>8.369212962962963E-2</v>
      </c>
      <c r="K87" s="46">
        <v>0.24217592592592593</v>
      </c>
      <c r="L87" s="38" t="e">
        <v>#N/A</v>
      </c>
      <c r="M87" s="39" t="s">
        <v>1423</v>
      </c>
      <c r="N87" s="8">
        <f t="shared" si="1"/>
        <v>780</v>
      </c>
      <c r="O87" s="6"/>
      <c r="R87" s="8"/>
    </row>
    <row r="88" spans="1:18">
      <c r="A88" s="51" t="s">
        <v>538</v>
      </c>
      <c r="B88" s="38" t="s">
        <v>340</v>
      </c>
      <c r="C88" s="38"/>
      <c r="D88" s="38" t="s">
        <v>1424</v>
      </c>
      <c r="E88" s="38">
        <v>1</v>
      </c>
      <c r="F88" s="46">
        <v>3.2245370370370369E-2</v>
      </c>
      <c r="G88" s="47">
        <v>0.30069444444444443</v>
      </c>
      <c r="H88" s="46">
        <v>0.11961805555555556</v>
      </c>
      <c r="I88" s="47">
        <v>0.11319444444444444</v>
      </c>
      <c r="J88" s="46">
        <v>8.3738425925925924E-2</v>
      </c>
      <c r="K88" s="46">
        <v>0.24251157407407409</v>
      </c>
      <c r="L88" s="38" t="e">
        <v>#N/A</v>
      </c>
      <c r="M88" s="39" t="s">
        <v>1425</v>
      </c>
      <c r="N88" s="8">
        <f t="shared" si="1"/>
        <v>779</v>
      </c>
      <c r="O88" s="6"/>
      <c r="R88" s="8"/>
    </row>
    <row r="89" spans="1:18">
      <c r="A89" s="51"/>
      <c r="B89" s="38" t="s">
        <v>340</v>
      </c>
      <c r="C89" s="38"/>
      <c r="D89" s="38" t="s">
        <v>1369</v>
      </c>
      <c r="E89" s="38">
        <v>7</v>
      </c>
      <c r="F89" s="46">
        <v>2.5925925925925925E-2</v>
      </c>
      <c r="G89" s="47">
        <v>0.12083333333333333</v>
      </c>
      <c r="H89" s="46">
        <v>0.1270486111111111</v>
      </c>
      <c r="I89" s="47">
        <v>7.9166666666666663E-2</v>
      </c>
      <c r="J89" s="46">
        <v>8.6226851851851846E-2</v>
      </c>
      <c r="K89" s="46">
        <v>0.24256944444444445</v>
      </c>
      <c r="L89" s="38" t="e">
        <v>#N/A</v>
      </c>
      <c r="M89" s="39" t="s">
        <v>1425</v>
      </c>
      <c r="N89" s="8">
        <f t="shared" si="1"/>
        <v>778</v>
      </c>
      <c r="O89" s="6"/>
      <c r="R89" s="8"/>
    </row>
    <row r="90" spans="1:18">
      <c r="A90" s="51" t="s">
        <v>1426</v>
      </c>
      <c r="B90" s="38" t="s">
        <v>340</v>
      </c>
      <c r="C90" s="38"/>
      <c r="D90" s="38" t="s">
        <v>1427</v>
      </c>
      <c r="E90" s="38">
        <v>1</v>
      </c>
      <c r="F90" s="46">
        <v>2.9340277777777778E-2</v>
      </c>
      <c r="G90" s="47">
        <v>0.16875000000000001</v>
      </c>
      <c r="H90" s="46">
        <v>0.1312962962962963</v>
      </c>
      <c r="I90" s="47">
        <v>8.0555555555555561E-2</v>
      </c>
      <c r="J90" s="46">
        <v>7.9722222222222222E-2</v>
      </c>
      <c r="K90" s="46">
        <v>0.24451388888888889</v>
      </c>
      <c r="L90" s="38" t="e">
        <v>#N/A</v>
      </c>
      <c r="M90" s="39" t="s">
        <v>1428</v>
      </c>
      <c r="N90" s="8">
        <f t="shared" si="1"/>
        <v>772</v>
      </c>
      <c r="O90" s="6"/>
      <c r="R90" s="8"/>
    </row>
    <row r="91" spans="1:18">
      <c r="A91" s="51"/>
      <c r="B91" s="38" t="s">
        <v>340</v>
      </c>
      <c r="C91" s="38"/>
      <c r="D91" s="38" t="s">
        <v>1382</v>
      </c>
      <c r="E91" s="38">
        <v>9</v>
      </c>
      <c r="F91" s="46">
        <v>2.8101851851851854E-2</v>
      </c>
      <c r="G91" s="47">
        <v>0.16041666666666668</v>
      </c>
      <c r="H91" s="46">
        <v>0.13011574074074075</v>
      </c>
      <c r="I91" s="47">
        <v>0.13958333333333334</v>
      </c>
      <c r="J91" s="46">
        <v>8.3113425925925924E-2</v>
      </c>
      <c r="K91" s="46">
        <v>0.24635416666666668</v>
      </c>
      <c r="L91" s="38" t="e">
        <v>#N/A</v>
      </c>
      <c r="M91" s="39" t="s">
        <v>1429</v>
      </c>
      <c r="N91" s="8">
        <f t="shared" si="1"/>
        <v>766</v>
      </c>
      <c r="O91" s="6"/>
      <c r="R91" s="8"/>
    </row>
    <row r="92" spans="1:18">
      <c r="A92" s="51" t="s">
        <v>138</v>
      </c>
      <c r="B92" s="38" t="s">
        <v>75</v>
      </c>
      <c r="C92" s="38"/>
      <c r="D92" s="38" t="s">
        <v>1382</v>
      </c>
      <c r="E92" s="38">
        <v>10</v>
      </c>
      <c r="F92" s="46">
        <v>3.0324074074074073E-2</v>
      </c>
      <c r="G92" s="47">
        <v>0.34375</v>
      </c>
      <c r="H92" s="46">
        <v>0.1257523148148148</v>
      </c>
      <c r="I92" s="47">
        <v>8.3333333333333329E-2</v>
      </c>
      <c r="J92" s="46">
        <v>8.3379629629629623E-2</v>
      </c>
      <c r="K92" s="46">
        <v>0.24659722222222222</v>
      </c>
      <c r="L92" s="38" t="e">
        <v>#N/A</v>
      </c>
      <c r="M92" s="39" t="s">
        <v>1430</v>
      </c>
      <c r="N92" s="8">
        <f t="shared" si="1"/>
        <v>766</v>
      </c>
      <c r="O92" s="6"/>
      <c r="R92" s="8"/>
    </row>
    <row r="93" spans="1:18">
      <c r="A93" s="51" t="s">
        <v>138</v>
      </c>
      <c r="B93" s="38" t="s">
        <v>61</v>
      </c>
      <c r="C93" s="38"/>
      <c r="D93" s="38" t="s">
        <v>1382</v>
      </c>
      <c r="E93" s="38">
        <v>11</v>
      </c>
      <c r="F93" s="46">
        <v>3.0231481481481481E-2</v>
      </c>
      <c r="G93" s="47">
        <v>0.35486111111111113</v>
      </c>
      <c r="H93" s="46">
        <v>0.12561342592592592</v>
      </c>
      <c r="I93" s="47">
        <v>8.5416666666666669E-2</v>
      </c>
      <c r="J93" s="46">
        <v>8.413194444444444E-2</v>
      </c>
      <c r="K93" s="46">
        <v>0.24733796296296295</v>
      </c>
      <c r="L93" s="38" t="e">
        <v>#N/A</v>
      </c>
      <c r="M93" s="39" t="s">
        <v>1431</v>
      </c>
      <c r="N93" s="8">
        <f t="shared" si="1"/>
        <v>763</v>
      </c>
      <c r="O93" s="6"/>
      <c r="R93" s="8"/>
    </row>
    <row r="94" spans="1:18">
      <c r="A94" s="51"/>
      <c r="B94" s="38" t="s">
        <v>340</v>
      </c>
      <c r="C94" s="38"/>
      <c r="D94" s="38" t="s">
        <v>1373</v>
      </c>
      <c r="E94" s="38">
        <v>10</v>
      </c>
      <c r="F94" s="46">
        <v>3.2048611111111111E-2</v>
      </c>
      <c r="G94" s="47">
        <v>0.25486111111111109</v>
      </c>
      <c r="H94" s="46">
        <v>0.12658564814814816</v>
      </c>
      <c r="I94" s="47">
        <v>8.819444444444445E-2</v>
      </c>
      <c r="J94" s="46">
        <v>8.2997685185185188E-2</v>
      </c>
      <c r="K94" s="46">
        <v>0.24737268518518518</v>
      </c>
      <c r="L94" s="38" t="e">
        <v>#N/A</v>
      </c>
      <c r="M94" s="39" t="s">
        <v>1431</v>
      </c>
      <c r="N94" s="8">
        <f t="shared" si="1"/>
        <v>763</v>
      </c>
      <c r="O94" s="6"/>
      <c r="R94" s="8"/>
    </row>
    <row r="95" spans="1:18">
      <c r="A95" s="51"/>
      <c r="B95" s="38" t="s">
        <v>340</v>
      </c>
      <c r="C95" s="38"/>
      <c r="D95" s="38" t="s">
        <v>1382</v>
      </c>
      <c r="E95" s="38">
        <v>12</v>
      </c>
      <c r="F95" s="46">
        <v>2.7175925925925926E-2</v>
      </c>
      <c r="G95" s="47">
        <v>0.12430555555555556</v>
      </c>
      <c r="H95" s="46">
        <v>0.13269675925925925</v>
      </c>
      <c r="I95" s="47">
        <v>9.166666666666666E-2</v>
      </c>
      <c r="J95" s="46">
        <v>8.4039351851851851E-2</v>
      </c>
      <c r="K95" s="46">
        <v>0.24754629629629629</v>
      </c>
      <c r="L95" s="38" t="e">
        <v>#N/A</v>
      </c>
      <c r="M95" s="39" t="s">
        <v>1432</v>
      </c>
      <c r="N95" s="8">
        <f t="shared" si="1"/>
        <v>763</v>
      </c>
      <c r="O95" s="6"/>
      <c r="R95" s="8"/>
    </row>
    <row r="96" spans="1:18">
      <c r="A96" s="51" t="s">
        <v>1433</v>
      </c>
      <c r="B96" s="38" t="s">
        <v>340</v>
      </c>
      <c r="C96" s="38"/>
      <c r="D96" s="38" t="s">
        <v>1369</v>
      </c>
      <c r="E96" s="38">
        <v>8</v>
      </c>
      <c r="F96" s="46">
        <v>2.7986111111111111E-2</v>
      </c>
      <c r="G96" s="47">
        <v>0.27569444444444446</v>
      </c>
      <c r="H96" s="46">
        <v>0.13387731481481482</v>
      </c>
      <c r="I96" s="47">
        <v>0.11527777777777778</v>
      </c>
      <c r="J96" s="46">
        <v>7.9456018518518523E-2</v>
      </c>
      <c r="K96" s="46">
        <v>0.24787037037037038</v>
      </c>
      <c r="L96" s="38" t="e">
        <v>#N/A</v>
      </c>
      <c r="M96" s="39" t="s">
        <v>1434</v>
      </c>
      <c r="N96" s="8">
        <f t="shared" si="1"/>
        <v>762</v>
      </c>
      <c r="O96" s="6"/>
      <c r="R96" s="8"/>
    </row>
    <row r="97" spans="1:18">
      <c r="A97" s="51" t="s">
        <v>1435</v>
      </c>
      <c r="B97" s="38" t="s">
        <v>340</v>
      </c>
      <c r="C97" s="38"/>
      <c r="D97" s="38" t="s">
        <v>1373</v>
      </c>
      <c r="E97" s="38">
        <v>11</v>
      </c>
      <c r="F97" s="46">
        <v>2.8518518518518519E-2</v>
      </c>
      <c r="G97" s="46">
        <v>9.6296296296296303E-3</v>
      </c>
      <c r="H97" s="46">
        <v>0.13484953703703703</v>
      </c>
      <c r="I97" s="47">
        <v>0.3</v>
      </c>
      <c r="J97" s="46">
        <v>7.013888888888889E-2</v>
      </c>
      <c r="K97" s="46">
        <v>0.24815972222222221</v>
      </c>
      <c r="L97" s="38" t="e">
        <v>#N/A</v>
      </c>
      <c r="M97" s="39" t="s">
        <v>1436</v>
      </c>
      <c r="N97" s="8">
        <f t="shared" si="1"/>
        <v>761</v>
      </c>
      <c r="O97" s="6"/>
      <c r="R97" s="8"/>
    </row>
    <row r="98" spans="1:18">
      <c r="A98" s="51" t="s">
        <v>1058</v>
      </c>
      <c r="B98" s="38" t="s">
        <v>340</v>
      </c>
      <c r="C98" s="38"/>
      <c r="D98" s="38" t="s">
        <v>1371</v>
      </c>
      <c r="E98" s="38">
        <v>12</v>
      </c>
      <c r="F98" s="46">
        <v>3.3912037037037039E-2</v>
      </c>
      <c r="G98" s="47">
        <v>0.1986111111111111</v>
      </c>
      <c r="H98" s="46">
        <v>0.12531249999999999</v>
      </c>
      <c r="I98" s="47">
        <v>0.13055555555555556</v>
      </c>
      <c r="J98" s="46">
        <v>8.4039351851851851E-2</v>
      </c>
      <c r="K98" s="46">
        <v>0.24877314814814816</v>
      </c>
      <c r="L98" s="38" t="e">
        <v>#N/A</v>
      </c>
      <c r="M98" s="39" t="s">
        <v>1437</v>
      </c>
      <c r="N98" s="8">
        <f t="shared" si="1"/>
        <v>759</v>
      </c>
      <c r="O98" s="6"/>
      <c r="R98" s="8"/>
    </row>
    <row r="99" spans="1:18">
      <c r="A99" s="51"/>
      <c r="B99" s="38" t="s">
        <v>340</v>
      </c>
      <c r="C99" s="38"/>
      <c r="D99" s="38" t="s">
        <v>1373</v>
      </c>
      <c r="E99" s="38">
        <v>12</v>
      </c>
      <c r="F99" s="46">
        <v>2.8229166666666666E-2</v>
      </c>
      <c r="G99" s="47">
        <v>0.14583333333333334</v>
      </c>
      <c r="H99" s="46">
        <v>0.13892361111111112</v>
      </c>
      <c r="I99" s="47">
        <v>5.486111111111111E-2</v>
      </c>
      <c r="J99" s="46">
        <v>7.857638888888889E-2</v>
      </c>
      <c r="K99" s="46">
        <v>0.24909722222222222</v>
      </c>
      <c r="L99" s="38" t="e">
        <v>#N/A</v>
      </c>
      <c r="M99" s="39" t="s">
        <v>1438</v>
      </c>
      <c r="N99" s="8">
        <f t="shared" si="1"/>
        <v>758</v>
      </c>
      <c r="O99" s="6"/>
      <c r="R99" s="8"/>
    </row>
    <row r="100" spans="1:18">
      <c r="A100" s="51" t="s">
        <v>511</v>
      </c>
      <c r="B100" s="38" t="s">
        <v>340</v>
      </c>
      <c r="C100" s="38"/>
      <c r="D100" s="38" t="s">
        <v>1369</v>
      </c>
      <c r="E100" s="38">
        <v>9</v>
      </c>
      <c r="F100" s="46">
        <v>3.4074074074074076E-2</v>
      </c>
      <c r="G100" s="47">
        <v>0.13680555555555557</v>
      </c>
      <c r="H100" s="46">
        <v>0.12586805555555555</v>
      </c>
      <c r="I100" s="47">
        <v>4.6527777777777779E-2</v>
      </c>
      <c r="J100" s="46">
        <v>8.6597222222222228E-2</v>
      </c>
      <c r="K100" s="46">
        <v>0.24962962962962962</v>
      </c>
      <c r="L100" s="38" t="e">
        <v>#N/A</v>
      </c>
      <c r="M100" s="39" t="s">
        <v>1439</v>
      </c>
      <c r="N100" s="8">
        <f t="shared" si="1"/>
        <v>756</v>
      </c>
      <c r="O100" s="6"/>
      <c r="R100" s="8"/>
    </row>
    <row r="101" spans="1:18">
      <c r="A101" s="51" t="s">
        <v>1440</v>
      </c>
      <c r="B101" s="38" t="s">
        <v>340</v>
      </c>
      <c r="C101" s="38"/>
      <c r="D101" s="38" t="s">
        <v>1375</v>
      </c>
      <c r="E101" s="38">
        <v>5</v>
      </c>
      <c r="F101" s="46">
        <v>3.0740740740740742E-2</v>
      </c>
      <c r="G101" s="47">
        <v>0.14305555555555555</v>
      </c>
      <c r="H101" s="46">
        <v>0.13305555555555557</v>
      </c>
      <c r="I101" s="47">
        <v>0.10625</v>
      </c>
      <c r="J101" s="46">
        <v>8.2488425925925923E-2</v>
      </c>
      <c r="K101" s="46">
        <v>0.25046296296296294</v>
      </c>
      <c r="L101" s="38" t="e">
        <v>#N/A</v>
      </c>
      <c r="M101" s="39" t="s">
        <v>1441</v>
      </c>
      <c r="N101" s="8">
        <f t="shared" si="1"/>
        <v>754</v>
      </c>
      <c r="O101" s="6"/>
      <c r="R101" s="8"/>
    </row>
    <row r="102" spans="1:18">
      <c r="A102" s="51" t="s">
        <v>1410</v>
      </c>
      <c r="B102" s="38" t="s">
        <v>340</v>
      </c>
      <c r="C102" s="38"/>
      <c r="D102" s="38" t="s">
        <v>1382</v>
      </c>
      <c r="E102" s="38">
        <v>13</v>
      </c>
      <c r="F102" s="46">
        <v>2.6388888888888889E-2</v>
      </c>
      <c r="G102" s="47">
        <v>0.1423611111111111</v>
      </c>
      <c r="H102" s="46">
        <v>0.12946759259259261</v>
      </c>
      <c r="I102" s="47">
        <v>7.5694444444444439E-2</v>
      </c>
      <c r="J102" s="46">
        <v>9.3368055555555551E-2</v>
      </c>
      <c r="K102" s="46">
        <v>0.25288194444444445</v>
      </c>
      <c r="L102" s="38" t="e">
        <v>#N/A</v>
      </c>
      <c r="M102" s="39" t="s">
        <v>1442</v>
      </c>
      <c r="N102" s="8">
        <f t="shared" si="1"/>
        <v>747</v>
      </c>
      <c r="O102" s="6"/>
      <c r="R102" s="8"/>
    </row>
    <row r="103" spans="1:18">
      <c r="A103" s="51" t="s">
        <v>1443</v>
      </c>
      <c r="B103" s="38" t="s">
        <v>340</v>
      </c>
      <c r="C103" s="38"/>
      <c r="D103" s="38" t="s">
        <v>1373</v>
      </c>
      <c r="E103" s="38">
        <v>13</v>
      </c>
      <c r="F103" s="46">
        <v>3.1493055555555559E-2</v>
      </c>
      <c r="G103" s="47">
        <v>0.17430555555555555</v>
      </c>
      <c r="H103" s="46">
        <v>0.1305787037037037</v>
      </c>
      <c r="I103" s="47">
        <v>9.5138888888888884E-2</v>
      </c>
      <c r="J103" s="46">
        <v>8.7083333333333332E-2</v>
      </c>
      <c r="K103" s="46">
        <v>0.25366898148148148</v>
      </c>
      <c r="L103" s="38" t="e">
        <v>#N/A</v>
      </c>
      <c r="M103" s="39" t="s">
        <v>1444</v>
      </c>
      <c r="N103" s="8">
        <f t="shared" si="1"/>
        <v>744</v>
      </c>
      <c r="O103" s="6"/>
      <c r="R103" s="8"/>
    </row>
    <row r="104" spans="1:18">
      <c r="A104" s="51"/>
      <c r="B104" s="38" t="s">
        <v>340</v>
      </c>
      <c r="C104" s="38"/>
      <c r="D104" s="38" t="s">
        <v>1445</v>
      </c>
      <c r="E104" s="38">
        <v>1</v>
      </c>
      <c r="F104" s="46">
        <v>2.7986111111111111E-2</v>
      </c>
      <c r="G104" s="47">
        <v>0.14374999999999999</v>
      </c>
      <c r="H104" s="46">
        <v>0.13333333333333333</v>
      </c>
      <c r="I104" s="47">
        <v>7.6388888888888895E-2</v>
      </c>
      <c r="J104" s="46">
        <v>8.8680555555555554E-2</v>
      </c>
      <c r="K104" s="46">
        <v>0.25369212962962961</v>
      </c>
      <c r="L104" s="38" t="e">
        <v>#N/A</v>
      </c>
      <c r="M104" s="39" t="s">
        <v>1444</v>
      </c>
      <c r="N104" s="8">
        <f t="shared" si="1"/>
        <v>744</v>
      </c>
      <c r="O104" s="6"/>
      <c r="R104" s="8"/>
    </row>
    <row r="105" spans="1:18">
      <c r="A105" s="51" t="s">
        <v>782</v>
      </c>
      <c r="B105" s="38" t="s">
        <v>340</v>
      </c>
      <c r="C105" s="38"/>
      <c r="D105" s="38" t="s">
        <v>1371</v>
      </c>
      <c r="E105" s="38">
        <v>13</v>
      </c>
      <c r="F105" s="46">
        <v>2.0543981481481483E-2</v>
      </c>
      <c r="G105" s="47">
        <v>0.12013888888888889</v>
      </c>
      <c r="H105" s="46">
        <v>0.13571759259259258</v>
      </c>
      <c r="I105" s="47">
        <v>9.930555555555555E-2</v>
      </c>
      <c r="J105" s="46">
        <v>9.3831018518518522E-2</v>
      </c>
      <c r="K105" s="46">
        <v>0.25377314814814816</v>
      </c>
      <c r="L105" s="38" t="e">
        <v>#N/A</v>
      </c>
      <c r="M105" s="39" t="s">
        <v>1446</v>
      </c>
      <c r="N105" s="8">
        <f t="shared" si="1"/>
        <v>744</v>
      </c>
      <c r="O105" s="6"/>
      <c r="R105" s="8"/>
    </row>
    <row r="106" spans="1:18">
      <c r="A106" s="51" t="s">
        <v>1447</v>
      </c>
      <c r="B106" s="38" t="s">
        <v>340</v>
      </c>
      <c r="C106" s="38"/>
      <c r="D106" s="38" t="s">
        <v>1371</v>
      </c>
      <c r="E106" s="38">
        <v>14</v>
      </c>
      <c r="F106" s="46">
        <v>3.079861111111111E-2</v>
      </c>
      <c r="G106" s="47">
        <v>0.16666666666666666</v>
      </c>
      <c r="H106" s="46">
        <v>0.13412037037037036</v>
      </c>
      <c r="I106" s="47">
        <v>0.12916666666666668</v>
      </c>
      <c r="J106" s="46">
        <v>8.4490740740740741E-2</v>
      </c>
      <c r="K106" s="46">
        <v>0.25436342592592592</v>
      </c>
      <c r="L106" s="38" t="e">
        <v>#N/A</v>
      </c>
      <c r="M106" s="39" t="s">
        <v>1448</v>
      </c>
      <c r="N106" s="8">
        <f t="shared" si="1"/>
        <v>742</v>
      </c>
      <c r="O106" s="6"/>
      <c r="R106" s="8"/>
    </row>
    <row r="107" spans="1:18">
      <c r="A107" s="51"/>
      <c r="B107" s="38" t="s">
        <v>340</v>
      </c>
      <c r="C107" s="38"/>
      <c r="D107" s="38" t="s">
        <v>1382</v>
      </c>
      <c r="E107" s="38">
        <v>14</v>
      </c>
      <c r="F107" s="46">
        <v>2.5879629629629631E-2</v>
      </c>
      <c r="G107" s="47">
        <v>0.28611111111111109</v>
      </c>
      <c r="H107" s="46">
        <v>0.13810185185185186</v>
      </c>
      <c r="I107" s="47">
        <v>0.18124999999999999</v>
      </c>
      <c r="J107" s="46">
        <v>8.2673611111111114E-2</v>
      </c>
      <c r="K107" s="46">
        <v>0.25446759259259261</v>
      </c>
      <c r="L107" s="38" t="e">
        <v>#N/A</v>
      </c>
      <c r="M107" s="39" t="s">
        <v>1449</v>
      </c>
      <c r="N107" s="8">
        <f t="shared" si="1"/>
        <v>742</v>
      </c>
      <c r="O107" s="6"/>
      <c r="R107" s="8"/>
    </row>
    <row r="108" spans="1:18">
      <c r="A108" s="51"/>
      <c r="B108" s="38" t="s">
        <v>319</v>
      </c>
      <c r="C108" s="38"/>
      <c r="D108" s="38" t="s">
        <v>1375</v>
      </c>
      <c r="E108" s="38">
        <v>1</v>
      </c>
      <c r="F108" s="46">
        <v>3.2175925925925927E-2</v>
      </c>
      <c r="G108" s="47">
        <v>0.33194444444444443</v>
      </c>
      <c r="H108" s="46">
        <v>0.13442129629629629</v>
      </c>
      <c r="I108" s="47">
        <v>0.18402777777777779</v>
      </c>
      <c r="J108" s="46">
        <v>7.9675925925925928E-2</v>
      </c>
      <c r="K108" s="46">
        <v>0.25490740740740742</v>
      </c>
      <c r="L108" s="38" t="e">
        <v>#N/A</v>
      </c>
      <c r="M108" s="39" t="s">
        <v>1450</v>
      </c>
      <c r="N108" s="8">
        <f t="shared" si="1"/>
        <v>741</v>
      </c>
      <c r="O108" s="6"/>
      <c r="R108" s="8"/>
    </row>
    <row r="109" spans="1:18">
      <c r="A109" s="51"/>
      <c r="B109" s="38" t="s">
        <v>340</v>
      </c>
      <c r="C109" s="38"/>
      <c r="D109" s="38" t="s">
        <v>1369</v>
      </c>
      <c r="E109" s="38">
        <v>10</v>
      </c>
      <c r="F109" s="46">
        <v>2.5671296296296296E-2</v>
      </c>
      <c r="G109" s="47">
        <v>0.17499999999999999</v>
      </c>
      <c r="H109" s="46">
        <v>0.13376157407407407</v>
      </c>
      <c r="I109" s="47">
        <v>0.15138888888888888</v>
      </c>
      <c r="J109" s="46">
        <v>9.1377314814814814E-2</v>
      </c>
      <c r="K109" s="46">
        <v>0.25628472222222221</v>
      </c>
      <c r="L109" s="38" t="e">
        <v>#N/A</v>
      </c>
      <c r="M109" s="39" t="s">
        <v>1451</v>
      </c>
      <c r="N109" s="8">
        <f t="shared" si="1"/>
        <v>737</v>
      </c>
      <c r="O109" s="6"/>
      <c r="R109" s="8"/>
    </row>
    <row r="110" spans="1:18">
      <c r="A110" s="51" t="s">
        <v>173</v>
      </c>
      <c r="B110" s="38" t="s">
        <v>340</v>
      </c>
      <c r="C110" s="38"/>
      <c r="D110" s="38" t="s">
        <v>1388</v>
      </c>
      <c r="E110" s="38">
        <v>4</v>
      </c>
      <c r="F110" s="46">
        <v>2.6226851851851852E-2</v>
      </c>
      <c r="G110" s="47">
        <v>0.12152777777777778</v>
      </c>
      <c r="H110" s="46">
        <v>0.13032407407407406</v>
      </c>
      <c r="I110" s="47">
        <v>6.7361111111111108E-2</v>
      </c>
      <c r="J110" s="46">
        <v>9.7951388888888893E-2</v>
      </c>
      <c r="K110" s="46">
        <v>0.25767361111111109</v>
      </c>
      <c r="L110" s="38" t="e">
        <v>#N/A</v>
      </c>
      <c r="M110" s="39" t="s">
        <v>1452</v>
      </c>
      <c r="N110" s="8">
        <f t="shared" si="1"/>
        <v>733</v>
      </c>
      <c r="O110" s="6"/>
      <c r="R110" s="8"/>
    </row>
    <row r="111" spans="1:18">
      <c r="A111" s="51" t="s">
        <v>1453</v>
      </c>
      <c r="B111" s="38" t="s">
        <v>340</v>
      </c>
      <c r="C111" s="38"/>
      <c r="D111" s="38" t="s">
        <v>1375</v>
      </c>
      <c r="E111" s="38">
        <v>6</v>
      </c>
      <c r="F111" s="46">
        <v>2.8796296296296296E-2</v>
      </c>
      <c r="G111" s="47">
        <v>0.26597222222222222</v>
      </c>
      <c r="H111" s="46">
        <v>0.1335648148148148</v>
      </c>
      <c r="I111" s="47">
        <v>0.13263888888888889</v>
      </c>
      <c r="J111" s="46">
        <v>8.8888888888888892E-2</v>
      </c>
      <c r="K111" s="46">
        <v>0.25791666666666668</v>
      </c>
      <c r="L111" s="38" t="e">
        <v>#N/A</v>
      </c>
      <c r="M111" s="39" t="s">
        <v>1454</v>
      </c>
      <c r="N111" s="8">
        <f t="shared" ref="N111:N144" si="2">IFERROR(ROUND($K$46/K111*1000,0),0)</f>
        <v>732</v>
      </c>
      <c r="O111" s="6"/>
      <c r="R111" s="8"/>
    </row>
    <row r="112" spans="1:18">
      <c r="A112" s="51" t="s">
        <v>1058</v>
      </c>
      <c r="B112" s="38" t="s">
        <v>340</v>
      </c>
      <c r="C112" s="38"/>
      <c r="D112" s="38" t="s">
        <v>1373</v>
      </c>
      <c r="E112" s="38">
        <v>14</v>
      </c>
      <c r="F112" s="46">
        <v>3.6030092592592593E-2</v>
      </c>
      <c r="G112" s="47">
        <v>0.1701388888888889</v>
      </c>
      <c r="H112" s="46">
        <v>0.13846064814814815</v>
      </c>
      <c r="I112" s="47">
        <v>0.10902777777777778</v>
      </c>
      <c r="J112" s="46">
        <v>8.038194444444445E-2</v>
      </c>
      <c r="K112" s="46">
        <v>0.2595486111111111</v>
      </c>
      <c r="L112" s="38" t="e">
        <v>#N/A</v>
      </c>
      <c r="M112" s="39" t="s">
        <v>1455</v>
      </c>
      <c r="N112" s="8">
        <f t="shared" si="2"/>
        <v>727</v>
      </c>
      <c r="O112" s="6"/>
      <c r="R112" s="8"/>
    </row>
    <row r="113" spans="1:18">
      <c r="A113" s="51"/>
      <c r="B113" s="38" t="s">
        <v>340</v>
      </c>
      <c r="C113" s="38"/>
      <c r="D113" s="38" t="s">
        <v>1371</v>
      </c>
      <c r="E113" s="38">
        <v>15</v>
      </c>
      <c r="F113" s="46">
        <v>2.9178240740740741E-2</v>
      </c>
      <c r="G113" s="47">
        <v>0.19027777777777777</v>
      </c>
      <c r="H113" s="46">
        <v>0.14376157407407408</v>
      </c>
      <c r="I113" s="47">
        <v>0.10902777777777778</v>
      </c>
      <c r="J113" s="46">
        <v>8.1736111111111107E-2</v>
      </c>
      <c r="K113" s="46">
        <v>0.25967592592592592</v>
      </c>
      <c r="L113" s="38" t="e">
        <v>#N/A</v>
      </c>
      <c r="M113" s="39" t="s">
        <v>1456</v>
      </c>
      <c r="N113" s="8">
        <f t="shared" si="2"/>
        <v>727</v>
      </c>
      <c r="O113" s="6"/>
      <c r="R113" s="8"/>
    </row>
    <row r="114" spans="1:18">
      <c r="A114" s="51"/>
      <c r="B114" s="38" t="s">
        <v>340</v>
      </c>
      <c r="C114" s="38"/>
      <c r="D114" s="38" t="s">
        <v>1373</v>
      </c>
      <c r="E114" s="38">
        <v>15</v>
      </c>
      <c r="F114" s="46">
        <v>2.6527777777777779E-2</v>
      </c>
      <c r="G114" s="47">
        <v>0.12847222222222221</v>
      </c>
      <c r="H114" s="46">
        <v>0.13039351851851852</v>
      </c>
      <c r="I114" s="47">
        <v>9.930555555555555E-2</v>
      </c>
      <c r="J114" s="46">
        <v>9.9942129629629631E-2</v>
      </c>
      <c r="K114" s="46">
        <v>0.26068287037037036</v>
      </c>
      <c r="L114" s="38" t="e">
        <v>#N/A</v>
      </c>
      <c r="M114" s="39" t="s">
        <v>1457</v>
      </c>
      <c r="N114" s="8">
        <f t="shared" si="2"/>
        <v>724</v>
      </c>
      <c r="O114" s="6"/>
      <c r="R114" s="8"/>
    </row>
    <row r="115" spans="1:18">
      <c r="A115" s="51" t="s">
        <v>138</v>
      </c>
      <c r="B115" s="38" t="s">
        <v>81</v>
      </c>
      <c r="C115" s="38"/>
      <c r="D115" s="38" t="s">
        <v>1371</v>
      </c>
      <c r="E115" s="38">
        <v>16</v>
      </c>
      <c r="F115" s="46">
        <v>3.6909722222222219E-2</v>
      </c>
      <c r="G115" s="47">
        <v>0.24583333333333332</v>
      </c>
      <c r="H115" s="46">
        <v>0.14241898148148149</v>
      </c>
      <c r="I115" s="47">
        <v>0.13402777777777777</v>
      </c>
      <c r="J115" s="46">
        <v>7.6504629629629631E-2</v>
      </c>
      <c r="K115" s="46">
        <v>0.26217592592592592</v>
      </c>
      <c r="L115" s="38" t="e">
        <v>#N/A</v>
      </c>
      <c r="M115" s="39" t="s">
        <v>1458</v>
      </c>
      <c r="N115" s="8">
        <f t="shared" si="2"/>
        <v>720</v>
      </c>
      <c r="O115" s="6"/>
      <c r="R115" s="8"/>
    </row>
    <row r="116" spans="1:18">
      <c r="A116" s="51"/>
      <c r="B116" s="38" t="s">
        <v>340</v>
      </c>
      <c r="C116" s="38"/>
      <c r="D116" s="38" t="s">
        <v>1445</v>
      </c>
      <c r="E116" s="38">
        <v>2</v>
      </c>
      <c r="F116" s="46">
        <v>2.7824074074074074E-2</v>
      </c>
      <c r="G116" s="47">
        <v>0.19375000000000001</v>
      </c>
      <c r="H116" s="46">
        <v>0.13533564814814814</v>
      </c>
      <c r="I116" s="47">
        <v>6.5277777777777782E-2</v>
      </c>
      <c r="J116" s="46">
        <v>9.6631944444444451E-2</v>
      </c>
      <c r="K116" s="46">
        <v>0.26414351851851853</v>
      </c>
      <c r="L116" s="38" t="e">
        <v>#N/A</v>
      </c>
      <c r="M116" s="39" t="s">
        <v>1459</v>
      </c>
      <c r="N116" s="8">
        <f t="shared" si="2"/>
        <v>715</v>
      </c>
      <c r="O116" s="6"/>
      <c r="R116" s="8"/>
    </row>
    <row r="117" spans="1:18">
      <c r="A117" s="51"/>
      <c r="B117" s="38" t="s">
        <v>340</v>
      </c>
      <c r="C117" s="38"/>
      <c r="D117" s="38" t="s">
        <v>1369</v>
      </c>
      <c r="E117" s="38">
        <v>11</v>
      </c>
      <c r="F117" s="46">
        <v>3.4502314814814812E-2</v>
      </c>
      <c r="G117" s="47">
        <v>0.40347222222222223</v>
      </c>
      <c r="H117" s="46">
        <v>0.14399305555555555</v>
      </c>
      <c r="I117" s="47">
        <v>0.1125</v>
      </c>
      <c r="J117" s="46">
        <v>7.7893518518518515E-2</v>
      </c>
      <c r="K117" s="46">
        <v>0.26501157407407405</v>
      </c>
      <c r="L117" s="38" t="e">
        <v>#N/A</v>
      </c>
      <c r="M117" s="39" t="s">
        <v>1460</v>
      </c>
      <c r="N117" s="8">
        <f t="shared" si="2"/>
        <v>712</v>
      </c>
      <c r="O117" s="6"/>
      <c r="R117" s="8"/>
    </row>
    <row r="118" spans="1:18">
      <c r="A118" s="51" t="s">
        <v>1461</v>
      </c>
      <c r="B118" s="38" t="s">
        <v>340</v>
      </c>
      <c r="C118" s="38"/>
      <c r="D118" s="38" t="s">
        <v>1369</v>
      </c>
      <c r="E118" s="38">
        <v>12</v>
      </c>
      <c r="F118" s="46">
        <v>3.215277777777778E-2</v>
      </c>
      <c r="G118" s="47">
        <v>0.1763888888888889</v>
      </c>
      <c r="H118" s="46">
        <v>0.143125</v>
      </c>
      <c r="I118" s="47">
        <v>0.11319444444444444</v>
      </c>
      <c r="J118" s="46">
        <v>8.6018518518518522E-2</v>
      </c>
      <c r="K118" s="46">
        <v>0.26614583333333336</v>
      </c>
      <c r="L118" s="38" t="e">
        <v>#N/A</v>
      </c>
      <c r="M118" s="39" t="s">
        <v>1462</v>
      </c>
      <c r="N118" s="8">
        <f t="shared" si="2"/>
        <v>709</v>
      </c>
      <c r="O118" s="6"/>
      <c r="R118" s="8"/>
    </row>
    <row r="119" spans="1:18">
      <c r="A119" s="51" t="s">
        <v>199</v>
      </c>
      <c r="B119" s="38" t="s">
        <v>340</v>
      </c>
      <c r="C119" s="38"/>
      <c r="D119" s="38" t="s">
        <v>1388</v>
      </c>
      <c r="E119" s="38">
        <v>5</v>
      </c>
      <c r="F119" s="46">
        <v>2.991898148148148E-2</v>
      </c>
      <c r="G119" s="47">
        <v>0.14166666666666666</v>
      </c>
      <c r="H119" s="46">
        <v>0.13946759259259259</v>
      </c>
      <c r="I119" s="47">
        <v>7.2916666666666671E-2</v>
      </c>
      <c r="J119" s="46">
        <v>9.5347222222222222E-2</v>
      </c>
      <c r="K119" s="46">
        <v>0.26834490740740741</v>
      </c>
      <c r="L119" s="38" t="e">
        <v>#N/A</v>
      </c>
      <c r="M119" s="39" t="s">
        <v>1463</v>
      </c>
      <c r="N119" s="8">
        <f t="shared" si="2"/>
        <v>704</v>
      </c>
    </row>
    <row r="120" spans="1:18">
      <c r="A120" s="51"/>
      <c r="B120" s="38" t="s">
        <v>340</v>
      </c>
      <c r="C120" s="38"/>
      <c r="D120" s="38" t="s">
        <v>1382</v>
      </c>
      <c r="E120" s="38">
        <v>15</v>
      </c>
      <c r="F120" s="46">
        <v>2.644675925925926E-2</v>
      </c>
      <c r="G120" s="47">
        <v>8.6805555555555552E-2</v>
      </c>
      <c r="H120" s="46">
        <v>0.13918981481481482</v>
      </c>
      <c r="I120" s="47">
        <v>9.0277777777777776E-2</v>
      </c>
      <c r="J120" s="46">
        <v>0.10244212962962963</v>
      </c>
      <c r="K120" s="46">
        <v>0.27104166666666668</v>
      </c>
      <c r="L120" s="38" t="e">
        <v>#N/A</v>
      </c>
      <c r="M120" s="39" t="s">
        <v>1464</v>
      </c>
      <c r="N120" s="8">
        <f t="shared" si="2"/>
        <v>697</v>
      </c>
    </row>
    <row r="121" spans="1:18">
      <c r="A121" s="51" t="s">
        <v>1465</v>
      </c>
      <c r="B121" s="38" t="s">
        <v>340</v>
      </c>
      <c r="C121" s="38"/>
      <c r="D121" s="38" t="s">
        <v>1382</v>
      </c>
      <c r="E121" s="38">
        <v>16</v>
      </c>
      <c r="F121" s="46">
        <v>3.9351851851851853E-2</v>
      </c>
      <c r="G121" s="47">
        <v>0.27430555555555558</v>
      </c>
      <c r="H121" s="46">
        <v>0.13854166666666667</v>
      </c>
      <c r="I121" s="47">
        <v>0.17499999999999999</v>
      </c>
      <c r="J121" s="46">
        <v>8.5810185185185184E-2</v>
      </c>
      <c r="K121" s="46">
        <v>0.27121527777777776</v>
      </c>
      <c r="L121" s="38" t="e">
        <v>#N/A</v>
      </c>
      <c r="M121" s="39" t="s">
        <v>1466</v>
      </c>
      <c r="N121" s="8">
        <f t="shared" si="2"/>
        <v>696</v>
      </c>
    </row>
    <row r="122" spans="1:18">
      <c r="A122" s="51"/>
      <c r="B122" s="38" t="s">
        <v>340</v>
      </c>
      <c r="C122" s="38"/>
      <c r="D122" s="38" t="s">
        <v>1371</v>
      </c>
      <c r="E122" s="38">
        <v>17</v>
      </c>
      <c r="F122" s="46">
        <v>2.8229166666666666E-2</v>
      </c>
      <c r="G122" s="47">
        <v>0.2013888888888889</v>
      </c>
      <c r="H122" s="46">
        <v>0.1371412037037037</v>
      </c>
      <c r="I122" s="47">
        <v>0.10902777777777778</v>
      </c>
      <c r="J122" s="46">
        <v>0.10209490740740741</v>
      </c>
      <c r="K122" s="46">
        <v>0.27266203703703706</v>
      </c>
      <c r="L122" s="38" t="s">
        <v>1380</v>
      </c>
      <c r="M122" s="39" t="s">
        <v>1467</v>
      </c>
      <c r="N122" s="8">
        <f t="shared" si="2"/>
        <v>693</v>
      </c>
    </row>
    <row r="123" spans="1:18">
      <c r="A123" s="51"/>
      <c r="B123" s="38" t="s">
        <v>340</v>
      </c>
      <c r="C123" s="38"/>
      <c r="D123" s="38" t="s">
        <v>1382</v>
      </c>
      <c r="E123" s="38">
        <v>17</v>
      </c>
      <c r="F123" s="46">
        <v>2.6469907407407407E-2</v>
      </c>
      <c r="G123" s="47">
        <v>0.14583333333333334</v>
      </c>
      <c r="H123" s="46">
        <v>0.15106481481481482</v>
      </c>
      <c r="I123" s="47">
        <v>0.1</v>
      </c>
      <c r="J123" s="46">
        <v>9.268518518518519E-2</v>
      </c>
      <c r="K123" s="46">
        <v>0.27435185185185185</v>
      </c>
      <c r="L123" s="38" t="e">
        <v>#N/A</v>
      </c>
      <c r="M123" s="39" t="s">
        <v>1468</v>
      </c>
      <c r="N123" s="8">
        <f t="shared" si="2"/>
        <v>688</v>
      </c>
    </row>
    <row r="124" spans="1:18">
      <c r="A124" s="51"/>
      <c r="B124" s="38" t="s">
        <v>340</v>
      </c>
      <c r="C124" s="38"/>
      <c r="D124" s="38" t="s">
        <v>1445</v>
      </c>
      <c r="E124" s="38">
        <v>3</v>
      </c>
      <c r="F124" s="46">
        <v>3.0578703703703705E-2</v>
      </c>
      <c r="G124" s="46">
        <v>1.15625E-2</v>
      </c>
      <c r="H124" s="46">
        <v>0.13903935185185184</v>
      </c>
      <c r="I124" s="47">
        <v>0.2388888888888889</v>
      </c>
      <c r="J124" s="46">
        <v>8.9687500000000003E-2</v>
      </c>
      <c r="K124" s="46">
        <v>0.27488425925925924</v>
      </c>
      <c r="L124" s="38" t="e">
        <v>#N/A</v>
      </c>
      <c r="M124" s="39" t="s">
        <v>1469</v>
      </c>
      <c r="N124" s="8">
        <f t="shared" si="2"/>
        <v>687</v>
      </c>
    </row>
    <row r="125" spans="1:18">
      <c r="A125" s="51" t="s">
        <v>1470</v>
      </c>
      <c r="B125" s="38" t="s">
        <v>319</v>
      </c>
      <c r="C125" s="38"/>
      <c r="D125" s="38" t="s">
        <v>1371</v>
      </c>
      <c r="E125" s="38">
        <v>1</v>
      </c>
      <c r="F125" s="46">
        <v>3.1238425925925926E-2</v>
      </c>
      <c r="G125" s="47">
        <v>0.26874999999999999</v>
      </c>
      <c r="H125" s="46">
        <v>0.15234953703703705</v>
      </c>
      <c r="I125" s="47">
        <v>0.13402777777777777</v>
      </c>
      <c r="J125" s="46">
        <v>8.4988425925925926E-2</v>
      </c>
      <c r="K125" s="46">
        <v>0.27531250000000002</v>
      </c>
      <c r="L125" s="38" t="e">
        <v>#N/A</v>
      </c>
      <c r="M125" s="39" t="s">
        <v>1471</v>
      </c>
      <c r="N125" s="8">
        <f t="shared" si="2"/>
        <v>686</v>
      </c>
    </row>
    <row r="126" spans="1:18">
      <c r="A126" s="51" t="s">
        <v>631</v>
      </c>
      <c r="B126" s="38" t="s">
        <v>340</v>
      </c>
      <c r="C126" s="38"/>
      <c r="D126" s="38" t="s">
        <v>1373</v>
      </c>
      <c r="E126" s="38">
        <v>16</v>
      </c>
      <c r="F126" s="46">
        <v>2.9467592592592594E-2</v>
      </c>
      <c r="G126" s="47">
        <v>0.26458333333333334</v>
      </c>
      <c r="H126" s="46">
        <v>0.14079861111111111</v>
      </c>
      <c r="I126" s="47">
        <v>0.13263888888888889</v>
      </c>
      <c r="J126" s="46">
        <v>9.8680555555555549E-2</v>
      </c>
      <c r="K126" s="46">
        <v>0.27559027777777778</v>
      </c>
      <c r="L126" s="38" t="e">
        <v>#N/A</v>
      </c>
      <c r="M126" s="39" t="s">
        <v>1472</v>
      </c>
      <c r="N126" s="8">
        <f t="shared" si="2"/>
        <v>685</v>
      </c>
    </row>
    <row r="127" spans="1:18">
      <c r="A127" s="51"/>
      <c r="B127" s="38" t="s">
        <v>340</v>
      </c>
      <c r="C127" s="38"/>
      <c r="D127" s="38" t="s">
        <v>1382</v>
      </c>
      <c r="E127" s="38">
        <v>18</v>
      </c>
      <c r="F127" s="46">
        <v>3.9675925925925927E-2</v>
      </c>
      <c r="G127" s="47">
        <v>0.21736111111111112</v>
      </c>
      <c r="H127" s="46">
        <v>0.14221064814814816</v>
      </c>
      <c r="I127" s="47">
        <v>0.11666666666666667</v>
      </c>
      <c r="J127" s="46">
        <v>9.3437500000000007E-2</v>
      </c>
      <c r="K127" s="46">
        <v>0.28092592592592591</v>
      </c>
      <c r="L127" s="38" t="e">
        <v>#N/A</v>
      </c>
      <c r="M127" s="39" t="s">
        <v>1473</v>
      </c>
      <c r="N127" s="8">
        <f t="shared" si="2"/>
        <v>672</v>
      </c>
    </row>
    <row r="128" spans="1:18">
      <c r="A128" s="51" t="s">
        <v>1474</v>
      </c>
      <c r="B128" s="38" t="s">
        <v>319</v>
      </c>
      <c r="C128" s="38"/>
      <c r="D128" s="38" t="s">
        <v>1371</v>
      </c>
      <c r="E128" s="38">
        <v>2</v>
      </c>
      <c r="F128" s="46">
        <v>3.2615740740740744E-2</v>
      </c>
      <c r="G128" s="47">
        <v>0.14791666666666667</v>
      </c>
      <c r="H128" s="46">
        <v>0.15474537037037037</v>
      </c>
      <c r="I128" s="47">
        <v>0.10486111111111111</v>
      </c>
      <c r="J128" s="46">
        <v>9.0011574074074077E-2</v>
      </c>
      <c r="K128" s="46">
        <v>0.28162037037037035</v>
      </c>
      <c r="L128" s="38" t="e">
        <v>#N/A</v>
      </c>
      <c r="M128" s="39" t="s">
        <v>1475</v>
      </c>
      <c r="N128" s="8">
        <f t="shared" si="2"/>
        <v>670</v>
      </c>
    </row>
    <row r="129" spans="1:14">
      <c r="A129" s="51"/>
      <c r="B129" s="38" t="s">
        <v>340</v>
      </c>
      <c r="C129" s="38"/>
      <c r="D129" s="38" t="s">
        <v>1375</v>
      </c>
      <c r="E129" s="38">
        <v>7</v>
      </c>
      <c r="F129" s="46">
        <v>3.8055555555555558E-2</v>
      </c>
      <c r="G129" s="47">
        <v>0.37361111111111112</v>
      </c>
      <c r="H129" s="46">
        <v>0.14421296296296296</v>
      </c>
      <c r="I129" s="46">
        <v>8.067129629629629E-3</v>
      </c>
      <c r="J129" s="46">
        <v>8.5821759259259264E-2</v>
      </c>
      <c r="K129" s="46">
        <v>0.28240740740740738</v>
      </c>
      <c r="L129" s="38" t="e">
        <v>#N/A</v>
      </c>
      <c r="M129" s="39" t="s">
        <v>1476</v>
      </c>
      <c r="N129" s="8">
        <f t="shared" si="2"/>
        <v>669</v>
      </c>
    </row>
    <row r="130" spans="1:14">
      <c r="A130" s="51"/>
      <c r="B130" s="38" t="s">
        <v>340</v>
      </c>
      <c r="C130" s="38"/>
      <c r="D130" s="38" t="s">
        <v>1369</v>
      </c>
      <c r="E130" s="38">
        <v>13</v>
      </c>
      <c r="F130" s="46">
        <v>2.6412037037037036E-2</v>
      </c>
      <c r="G130" s="47">
        <v>0.25624999999999998</v>
      </c>
      <c r="H130" s="46">
        <v>0.14988425925925927</v>
      </c>
      <c r="I130" s="47">
        <v>0.15763888888888888</v>
      </c>
      <c r="J130" s="46">
        <v>9.9918981481481484E-2</v>
      </c>
      <c r="K130" s="46">
        <v>0.28312500000000002</v>
      </c>
      <c r="L130" s="38" t="e">
        <v>#N/A</v>
      </c>
      <c r="M130" s="39" t="s">
        <v>1477</v>
      </c>
      <c r="N130" s="8">
        <f t="shared" si="2"/>
        <v>667</v>
      </c>
    </row>
    <row r="131" spans="1:14">
      <c r="A131" s="51" t="s">
        <v>1478</v>
      </c>
      <c r="B131" s="38" t="s">
        <v>340</v>
      </c>
      <c r="C131" s="38"/>
      <c r="D131" s="38" t="s">
        <v>1371</v>
      </c>
      <c r="E131" s="38">
        <v>18</v>
      </c>
      <c r="F131" s="46">
        <v>2.4756944444444446E-2</v>
      </c>
      <c r="G131" s="47">
        <v>0.33124999999999999</v>
      </c>
      <c r="H131" s="46">
        <v>0.1496875</v>
      </c>
      <c r="I131" s="47">
        <v>0.15902777777777777</v>
      </c>
      <c r="J131" s="46">
        <v>0.10223379629629629</v>
      </c>
      <c r="K131" s="46">
        <v>0.28487268518518516</v>
      </c>
      <c r="L131" s="38" t="e">
        <v>#N/A</v>
      </c>
      <c r="M131" s="39" t="s">
        <v>1479</v>
      </c>
      <c r="N131" s="8">
        <f t="shared" si="2"/>
        <v>663</v>
      </c>
    </row>
    <row r="132" spans="1:14">
      <c r="A132" s="51" t="s">
        <v>1480</v>
      </c>
      <c r="B132" s="38" t="s">
        <v>340</v>
      </c>
      <c r="C132" s="38"/>
      <c r="D132" s="38" t="s">
        <v>1371</v>
      </c>
      <c r="E132" s="38">
        <v>19</v>
      </c>
      <c r="F132" s="46">
        <v>3.1574074074074074E-2</v>
      </c>
      <c r="G132" s="47">
        <v>0.30138888888888887</v>
      </c>
      <c r="H132" s="46">
        <v>0.15878472222222223</v>
      </c>
      <c r="I132" s="47">
        <v>0.22430555555555556</v>
      </c>
      <c r="J132" s="46">
        <v>8.6979166666666663E-2</v>
      </c>
      <c r="K132" s="46">
        <v>0.28613425925925928</v>
      </c>
      <c r="L132" s="38" t="e">
        <v>#N/A</v>
      </c>
      <c r="M132" s="39" t="s">
        <v>1481</v>
      </c>
      <c r="N132" s="8">
        <f t="shared" si="2"/>
        <v>660</v>
      </c>
    </row>
    <row r="133" spans="1:14">
      <c r="A133" s="51"/>
      <c r="B133" s="38" t="s">
        <v>340</v>
      </c>
      <c r="C133" s="38"/>
      <c r="D133" s="38" t="s">
        <v>1373</v>
      </c>
      <c r="E133" s="38">
        <v>17</v>
      </c>
      <c r="F133" s="46">
        <v>2.9849537037037036E-2</v>
      </c>
      <c r="G133" s="47">
        <v>0.21458333333333332</v>
      </c>
      <c r="H133" s="46">
        <v>0.14391203703703703</v>
      </c>
      <c r="I133" s="47">
        <v>0.16041666666666668</v>
      </c>
      <c r="J133" s="46">
        <v>0.11140046296296297</v>
      </c>
      <c r="K133" s="46">
        <v>0.29144675925925928</v>
      </c>
      <c r="L133" s="38" t="e">
        <v>#N/A</v>
      </c>
      <c r="M133" s="39" t="s">
        <v>1482</v>
      </c>
      <c r="N133" s="8">
        <f t="shared" si="2"/>
        <v>648</v>
      </c>
    </row>
    <row r="134" spans="1:14">
      <c r="A134" s="51"/>
      <c r="B134" s="38" t="s">
        <v>340</v>
      </c>
      <c r="C134" s="38"/>
      <c r="D134" s="38" t="s">
        <v>1371</v>
      </c>
      <c r="E134" s="38">
        <v>20</v>
      </c>
      <c r="F134" s="46">
        <v>3.9224537037037037E-2</v>
      </c>
      <c r="G134" s="46">
        <v>7.8125E-3</v>
      </c>
      <c r="H134" s="46">
        <v>0.15517361111111111</v>
      </c>
      <c r="I134" s="47">
        <v>0.24513888888888888</v>
      </c>
      <c r="J134" s="46">
        <v>8.6099537037037044E-2</v>
      </c>
      <c r="K134" s="46">
        <v>0.29240740740740739</v>
      </c>
      <c r="L134" s="38" t="e">
        <v>#N/A</v>
      </c>
      <c r="M134" s="39" t="s">
        <v>1483</v>
      </c>
      <c r="N134" s="8">
        <f t="shared" si="2"/>
        <v>646</v>
      </c>
    </row>
    <row r="135" spans="1:14">
      <c r="A135" s="51" t="s">
        <v>1484</v>
      </c>
      <c r="B135" s="38" t="s">
        <v>340</v>
      </c>
      <c r="C135" s="38"/>
      <c r="D135" s="38" t="s">
        <v>1373</v>
      </c>
      <c r="E135" s="38">
        <v>18</v>
      </c>
      <c r="F135" s="46">
        <v>4.7696759259259258E-2</v>
      </c>
      <c r="G135" s="47">
        <v>0.2673611111111111</v>
      </c>
      <c r="H135" s="46">
        <v>0.16802083333333334</v>
      </c>
      <c r="I135" s="47">
        <v>5.8333333333333334E-2</v>
      </c>
      <c r="J135" s="46">
        <v>7.7326388888888889E-2</v>
      </c>
      <c r="K135" s="46">
        <v>0.29849537037037038</v>
      </c>
      <c r="L135" s="38" t="e">
        <v>#N/A</v>
      </c>
      <c r="M135" s="39" t="s">
        <v>1485</v>
      </c>
      <c r="N135" s="8">
        <f t="shared" si="2"/>
        <v>633</v>
      </c>
    </row>
    <row r="136" spans="1:14">
      <c r="A136" s="51"/>
      <c r="B136" s="38" t="s">
        <v>340</v>
      </c>
      <c r="C136" s="38"/>
      <c r="D136" s="38" t="s">
        <v>1369</v>
      </c>
      <c r="E136" s="38">
        <v>14</v>
      </c>
      <c r="F136" s="46">
        <v>3.9456018518518515E-2</v>
      </c>
      <c r="G136" s="47">
        <v>0.18055555555555555</v>
      </c>
      <c r="H136" s="46">
        <v>0.15277777777777779</v>
      </c>
      <c r="I136" s="47">
        <v>0.10555555555555556</v>
      </c>
      <c r="J136" s="46">
        <v>0.10386574074074074</v>
      </c>
      <c r="K136" s="46">
        <v>0.3008912037037037</v>
      </c>
      <c r="L136" s="38" t="e">
        <v>#N/A</v>
      </c>
      <c r="M136" s="39" t="s">
        <v>1486</v>
      </c>
      <c r="N136" s="8">
        <f t="shared" si="2"/>
        <v>628</v>
      </c>
    </row>
    <row r="137" spans="1:14">
      <c r="A137" s="51"/>
      <c r="B137" s="38" t="s">
        <v>340</v>
      </c>
      <c r="C137" s="38"/>
      <c r="D137" s="38" t="s">
        <v>1445</v>
      </c>
      <c r="E137" s="38">
        <v>4</v>
      </c>
      <c r="F137" s="46">
        <v>3.7800925925925925E-2</v>
      </c>
      <c r="G137" s="47">
        <v>0.20972222222222223</v>
      </c>
      <c r="H137" s="46">
        <v>0.1426736111111111</v>
      </c>
      <c r="I137" s="47">
        <v>0.11458333333333333</v>
      </c>
      <c r="J137" s="46">
        <v>0.11896990740740741</v>
      </c>
      <c r="K137" s="46">
        <v>0.30487268518518518</v>
      </c>
      <c r="L137" s="38" t="e">
        <v>#N/A</v>
      </c>
      <c r="M137" s="39" t="s">
        <v>1487</v>
      </c>
      <c r="N137" s="8">
        <f t="shared" si="2"/>
        <v>619</v>
      </c>
    </row>
    <row r="138" spans="1:14">
      <c r="A138" s="51" t="s">
        <v>1488</v>
      </c>
      <c r="B138" s="38" t="s">
        <v>340</v>
      </c>
      <c r="C138" s="38"/>
      <c r="D138" s="38" t="s">
        <v>1369</v>
      </c>
      <c r="E138" s="38">
        <v>15</v>
      </c>
      <c r="F138" s="46">
        <v>3.6122685185185188E-2</v>
      </c>
      <c r="G138" s="47">
        <v>0.31597222222222221</v>
      </c>
      <c r="H138" s="46">
        <v>0.15121527777777777</v>
      </c>
      <c r="I138" s="47">
        <v>0.39305555555555555</v>
      </c>
      <c r="J138" s="46">
        <v>0.109375</v>
      </c>
      <c r="K138" s="46">
        <v>0.30856481481481479</v>
      </c>
      <c r="L138" s="38" t="e">
        <v>#N/A</v>
      </c>
      <c r="M138" s="39" t="s">
        <v>1489</v>
      </c>
      <c r="N138" s="8">
        <f t="shared" si="2"/>
        <v>612</v>
      </c>
    </row>
    <row r="139" spans="1:14">
      <c r="A139" s="51" t="s">
        <v>1490</v>
      </c>
      <c r="B139" s="38" t="s">
        <v>340</v>
      </c>
      <c r="C139" s="38"/>
      <c r="D139" s="38" t="s">
        <v>1369</v>
      </c>
      <c r="E139" s="38">
        <v>16</v>
      </c>
      <c r="F139" s="46">
        <v>2.9849537037037036E-2</v>
      </c>
      <c r="G139" s="46">
        <v>8.4143518518518517E-3</v>
      </c>
      <c r="H139" s="46">
        <v>0.18467592592592594</v>
      </c>
      <c r="I139" s="47">
        <v>0.37916666666666665</v>
      </c>
      <c r="J139" s="46">
        <v>8.261574074074074E-2</v>
      </c>
      <c r="K139" s="46">
        <v>0.31189814814814815</v>
      </c>
      <c r="L139" s="38" t="e">
        <v>#N/A</v>
      </c>
      <c r="M139" s="39" t="s">
        <v>1491</v>
      </c>
      <c r="N139" s="8">
        <f t="shared" si="2"/>
        <v>605</v>
      </c>
    </row>
    <row r="140" spans="1:14">
      <c r="A140" s="51"/>
      <c r="B140" s="38" t="s">
        <v>340</v>
      </c>
      <c r="C140" s="38"/>
      <c r="D140" s="38" t="s">
        <v>1371</v>
      </c>
      <c r="E140" s="38">
        <v>21</v>
      </c>
      <c r="F140" s="46">
        <v>3.0127314814814815E-2</v>
      </c>
      <c r="G140" s="46">
        <v>8.0439814814814818E-3</v>
      </c>
      <c r="H140" s="46">
        <v>0.18914351851851852</v>
      </c>
      <c r="I140" s="47">
        <v>0.40416666666666667</v>
      </c>
      <c r="J140" s="46">
        <v>8.2673611111111114E-2</v>
      </c>
      <c r="K140" s="46">
        <v>0.31675925925925924</v>
      </c>
      <c r="L140" s="38" t="e">
        <v>#N/A</v>
      </c>
      <c r="M140" s="39" t="s">
        <v>1492</v>
      </c>
      <c r="N140" s="8">
        <f t="shared" si="2"/>
        <v>596</v>
      </c>
    </row>
    <row r="141" spans="1:14">
      <c r="A141" s="51" t="s">
        <v>1380</v>
      </c>
      <c r="B141" s="38" t="s">
        <v>340</v>
      </c>
      <c r="C141" s="38"/>
      <c r="D141" s="38" t="s">
        <v>1371</v>
      </c>
      <c r="E141" s="38">
        <v>22</v>
      </c>
      <c r="F141" s="46">
        <v>4.1215277777777781E-2</v>
      </c>
      <c r="G141" s="47">
        <v>0.23680555555555555</v>
      </c>
      <c r="H141" s="46">
        <v>0.18557870370370369</v>
      </c>
      <c r="I141" s="47">
        <v>9.4444444444444442E-2</v>
      </c>
      <c r="J141" s="46">
        <v>0.12206018518518519</v>
      </c>
      <c r="K141" s="46">
        <v>0.35440972222222222</v>
      </c>
      <c r="L141" s="38" t="e">
        <v>#N/A</v>
      </c>
      <c r="M141" s="39" t="s">
        <v>1493</v>
      </c>
      <c r="N141" s="8">
        <f t="shared" si="2"/>
        <v>533</v>
      </c>
    </row>
    <row r="142" spans="1:14">
      <c r="A142" s="51" t="s">
        <v>1494</v>
      </c>
      <c r="B142" s="38" t="s">
        <v>340</v>
      </c>
      <c r="C142" s="38"/>
      <c r="D142" s="38" t="s">
        <v>1375</v>
      </c>
      <c r="E142" s="38">
        <v>8</v>
      </c>
      <c r="F142" s="46">
        <v>4.5486111111111109E-2</v>
      </c>
      <c r="G142" s="47">
        <v>0.28958333333333336</v>
      </c>
      <c r="H142" s="46">
        <v>0.17541666666666667</v>
      </c>
      <c r="I142" s="47">
        <v>0.2</v>
      </c>
      <c r="J142" s="46">
        <v>0.13224537037037037</v>
      </c>
      <c r="K142" s="46">
        <v>0.36131944444444447</v>
      </c>
      <c r="L142" s="38" t="e">
        <v>#N/A</v>
      </c>
      <c r="M142" s="39" t="s">
        <v>1495</v>
      </c>
      <c r="N142" s="8">
        <f t="shared" si="2"/>
        <v>523</v>
      </c>
    </row>
    <row r="143" spans="1:14">
      <c r="A143" s="51"/>
      <c r="B143" s="38" t="s">
        <v>340</v>
      </c>
      <c r="C143" s="38"/>
      <c r="D143" s="38" t="s">
        <v>1445</v>
      </c>
      <c r="E143" s="38">
        <v>5</v>
      </c>
      <c r="F143" s="46">
        <v>5.8981481481481482E-2</v>
      </c>
      <c r="G143" s="47">
        <v>0.29375000000000001</v>
      </c>
      <c r="H143" s="46">
        <v>0.17634259259259261</v>
      </c>
      <c r="I143" s="47">
        <v>0.23680555555555555</v>
      </c>
      <c r="J143" s="46">
        <v>0.13633101851851853</v>
      </c>
      <c r="K143" s="46">
        <v>0.38050925925925927</v>
      </c>
      <c r="L143" s="38" t="e">
        <v>#N/A</v>
      </c>
      <c r="M143" s="39" t="s">
        <v>1496</v>
      </c>
      <c r="N143" s="8">
        <f t="shared" si="2"/>
        <v>496</v>
      </c>
    </row>
    <row r="144" spans="1:14">
      <c r="A144" s="51" t="s">
        <v>1497</v>
      </c>
      <c r="B144" s="38" t="s">
        <v>340</v>
      </c>
      <c r="C144" s="38"/>
      <c r="D144" s="38" t="s">
        <v>1498</v>
      </c>
      <c r="E144" s="38">
        <v>1</v>
      </c>
      <c r="F144" s="46">
        <v>5.9155092592592592E-2</v>
      </c>
      <c r="G144" s="46">
        <v>9.7337962962962959E-3</v>
      </c>
      <c r="H144" s="46">
        <v>0.17188657407407407</v>
      </c>
      <c r="I144" s="47">
        <v>0.21875</v>
      </c>
      <c r="J144" s="46">
        <v>0.16978009259259258</v>
      </c>
      <c r="K144" s="46">
        <v>0.41422453703703704</v>
      </c>
      <c r="L144" s="38" t="e">
        <v>#N/A</v>
      </c>
      <c r="M144" s="39" t="s">
        <v>1499</v>
      </c>
      <c r="N144" s="8">
        <f t="shared" si="2"/>
        <v>456</v>
      </c>
    </row>
    <row r="145" spans="1:14">
      <c r="A145" s="51"/>
      <c r="B145" s="38" t="s">
        <v>340</v>
      </c>
      <c r="C145" s="38"/>
      <c r="D145" s="38" t="s">
        <v>1369</v>
      </c>
      <c r="E145" s="38"/>
      <c r="F145" s="46">
        <v>2.7025462962962963E-2</v>
      </c>
      <c r="G145" s="47">
        <v>0.13402777777777777</v>
      </c>
      <c r="H145" s="46">
        <v>0.12063657407407408</v>
      </c>
      <c r="I145" s="47">
        <v>5.6944444444444443E-2</v>
      </c>
      <c r="J145" s="38"/>
      <c r="K145" s="38" t="s">
        <v>686</v>
      </c>
      <c r="L145" s="38"/>
      <c r="M145" s="39"/>
      <c r="N145" s="8">
        <f t="shared" ref="N145:N147" si="3">IFERROR(ROUND($K$46/K145*1100,0),0)</f>
        <v>0</v>
      </c>
    </row>
    <row r="146" spans="1:14">
      <c r="A146" s="51" t="s">
        <v>138</v>
      </c>
      <c r="B146" s="38" t="s">
        <v>85</v>
      </c>
      <c r="C146" s="38"/>
      <c r="D146" s="38" t="s">
        <v>1373</v>
      </c>
      <c r="E146" s="38"/>
      <c r="F146" s="46">
        <v>2.5879629629629631E-2</v>
      </c>
      <c r="G146" s="47">
        <v>0.36180555555555555</v>
      </c>
      <c r="H146" s="46">
        <v>0.14399305555555555</v>
      </c>
      <c r="I146" s="47">
        <v>0.20208333333333334</v>
      </c>
      <c r="J146" s="38"/>
      <c r="K146" s="38" t="s">
        <v>686</v>
      </c>
      <c r="L146" s="38"/>
      <c r="M146" s="39"/>
      <c r="N146" s="8">
        <f t="shared" si="3"/>
        <v>0</v>
      </c>
    </row>
    <row r="147" spans="1:14">
      <c r="A147" s="53" t="s">
        <v>173</v>
      </c>
      <c r="B147" s="42" t="s">
        <v>340</v>
      </c>
      <c r="C147" s="42"/>
      <c r="D147" s="42" t="s">
        <v>1375</v>
      </c>
      <c r="E147" s="42"/>
      <c r="F147" s="48">
        <v>3.0671296296296297E-2</v>
      </c>
      <c r="G147" s="49">
        <v>0.18055555555555555</v>
      </c>
      <c r="H147" s="42"/>
      <c r="I147" s="42"/>
      <c r="J147" s="42"/>
      <c r="K147" s="42" t="s">
        <v>686</v>
      </c>
      <c r="L147" s="43"/>
      <c r="M147" s="44"/>
      <c r="N147" s="8">
        <f t="shared" si="3"/>
        <v>0</v>
      </c>
    </row>
    <row r="148" spans="1:14">
      <c r="B148" s="15"/>
      <c r="C148" s="15"/>
      <c r="D148" s="15"/>
      <c r="E148" s="15"/>
      <c r="G148" s="15"/>
      <c r="H148" s="11"/>
      <c r="I148" s="15"/>
      <c r="K148" s="15"/>
      <c r="L148" s="15"/>
      <c r="M148" s="14"/>
    </row>
    <row r="149" spans="1:14">
      <c r="B149" s="15"/>
      <c r="C149" s="15"/>
      <c r="D149" s="15"/>
      <c r="E149" s="15"/>
      <c r="G149" s="15"/>
      <c r="H149" s="11"/>
      <c r="I149" s="15"/>
      <c r="K149" s="15"/>
      <c r="L149" s="15"/>
      <c r="M149" s="14"/>
    </row>
    <row r="150" spans="1:14">
      <c r="B150" s="15"/>
      <c r="C150" s="15"/>
      <c r="D150" s="15"/>
      <c r="E150" s="15"/>
      <c r="G150" s="15"/>
      <c r="H150" s="11"/>
      <c r="I150" s="15"/>
      <c r="K150" s="15"/>
      <c r="L150" s="15"/>
      <c r="M150" s="14"/>
    </row>
    <row r="151" spans="1:14">
      <c r="B151" s="15"/>
      <c r="C151" s="15"/>
      <c r="D151" s="15"/>
      <c r="E151" s="15"/>
      <c r="G151" s="15"/>
      <c r="H151" s="11"/>
      <c r="I151" s="15"/>
      <c r="K151" s="15"/>
      <c r="L151" s="15"/>
      <c r="M151" s="14"/>
    </row>
    <row r="152" spans="1:14">
      <c r="B152" s="15"/>
      <c r="C152" s="15"/>
      <c r="D152" s="15"/>
      <c r="E152" s="15"/>
      <c r="G152" s="15"/>
      <c r="H152" s="11"/>
      <c r="I152" s="15"/>
      <c r="K152" s="15"/>
      <c r="L152" s="15"/>
      <c r="M152" s="14"/>
    </row>
    <row r="153" spans="1:14">
      <c r="B153" s="15"/>
      <c r="C153" s="15"/>
      <c r="D153" s="15"/>
      <c r="E153" s="15"/>
      <c r="G153" s="15"/>
      <c r="H153" s="11"/>
      <c r="I153" s="15"/>
      <c r="K153" s="15"/>
      <c r="L153" s="15"/>
      <c r="M153" s="14"/>
    </row>
    <row r="154" spans="1:14">
      <c r="B154" s="15"/>
      <c r="C154" s="15"/>
      <c r="D154" s="15"/>
      <c r="E154" s="15"/>
      <c r="G154" s="15"/>
      <c r="H154" s="11"/>
      <c r="I154" s="15"/>
      <c r="K154" s="15"/>
      <c r="L154" s="15"/>
      <c r="M154" s="14"/>
    </row>
    <row r="155" spans="1:14">
      <c r="B155" s="15"/>
      <c r="C155" s="15"/>
      <c r="D155" s="15"/>
      <c r="E155" s="15"/>
      <c r="G155" s="15"/>
      <c r="H155" s="11"/>
      <c r="I155" s="15"/>
      <c r="K155" s="15"/>
      <c r="L155" s="15"/>
      <c r="M155" s="14"/>
    </row>
    <row r="156" spans="1:14">
      <c r="B156" s="15"/>
      <c r="C156" s="15"/>
      <c r="D156" s="15"/>
      <c r="E156" s="15"/>
      <c r="G156" s="15"/>
      <c r="H156" s="11"/>
      <c r="I156" s="15"/>
      <c r="K156" s="15"/>
      <c r="L156" s="15"/>
      <c r="M156" s="14"/>
    </row>
    <row r="157" spans="1:14">
      <c r="B157" s="15"/>
      <c r="C157" s="15"/>
      <c r="D157" s="15"/>
      <c r="E157" s="15"/>
      <c r="G157" s="15"/>
      <c r="H157" s="11"/>
      <c r="I157" s="15"/>
      <c r="K157" s="15"/>
      <c r="L157" s="15"/>
      <c r="M157" s="14"/>
    </row>
    <row r="158" spans="1:14">
      <c r="B158" s="15"/>
      <c r="C158" s="15"/>
      <c r="D158" s="15"/>
      <c r="E158" s="15"/>
      <c r="G158" s="15"/>
      <c r="H158" s="11"/>
      <c r="I158" s="15"/>
      <c r="K158" s="15"/>
      <c r="L158" s="15"/>
      <c r="M158" s="14"/>
    </row>
    <row r="159" spans="1:14">
      <c r="B159" s="15"/>
      <c r="C159" s="15"/>
      <c r="D159" s="15"/>
      <c r="E159" s="15"/>
      <c r="G159" s="15"/>
      <c r="H159" s="11"/>
      <c r="I159" s="15"/>
      <c r="K159" s="15"/>
      <c r="L159" s="15"/>
      <c r="M159" s="14"/>
    </row>
    <row r="160" spans="1:14">
      <c r="B160" s="15"/>
      <c r="C160" s="15"/>
      <c r="D160" s="15"/>
      <c r="E160" s="15"/>
      <c r="G160" s="15"/>
      <c r="H160" s="11"/>
      <c r="I160" s="15"/>
      <c r="K160" s="15"/>
      <c r="L160" s="15"/>
      <c r="M160" s="14"/>
    </row>
    <row r="161" spans="2:13">
      <c r="B161" s="15"/>
      <c r="C161" s="15"/>
      <c r="D161" s="15"/>
      <c r="E161" s="15"/>
      <c r="G161" s="15"/>
      <c r="H161" s="11"/>
      <c r="I161" s="15"/>
      <c r="K161" s="15"/>
      <c r="L161" s="15"/>
      <c r="M161" s="14"/>
    </row>
    <row r="162" spans="2:13">
      <c r="B162" s="15"/>
      <c r="C162" s="15"/>
      <c r="D162" s="15"/>
      <c r="E162" s="15"/>
      <c r="G162" s="15"/>
      <c r="H162" s="11"/>
      <c r="I162" s="15"/>
      <c r="K162" s="15"/>
      <c r="L162" s="15"/>
      <c r="M162" s="14"/>
    </row>
    <row r="163" spans="2:13">
      <c r="B163" s="15"/>
      <c r="C163" s="15"/>
      <c r="D163" s="15"/>
      <c r="E163" s="15"/>
      <c r="G163" s="15"/>
      <c r="H163" s="11"/>
      <c r="I163" s="15"/>
      <c r="K163" s="15"/>
      <c r="L163" s="15"/>
      <c r="M163" s="14"/>
    </row>
    <row r="164" spans="2:13">
      <c r="B164" s="15"/>
      <c r="C164" s="15"/>
      <c r="D164" s="15"/>
      <c r="E164" s="15"/>
      <c r="G164" s="15"/>
      <c r="H164" s="11"/>
      <c r="I164" s="15"/>
      <c r="K164" s="15"/>
      <c r="L164" s="15"/>
      <c r="M164" s="14"/>
    </row>
    <row r="165" spans="2:13">
      <c r="B165" s="15"/>
      <c r="C165" s="15"/>
      <c r="D165" s="15"/>
      <c r="E165" s="15"/>
      <c r="G165" s="15"/>
      <c r="H165" s="11"/>
      <c r="I165" s="15"/>
      <c r="K165" s="15"/>
      <c r="L165" s="15"/>
      <c r="M165" s="14"/>
    </row>
    <row r="166" spans="2:13">
      <c r="B166" s="15"/>
      <c r="C166" s="15"/>
      <c r="D166" s="15"/>
      <c r="E166" s="15"/>
      <c r="G166" s="15"/>
      <c r="H166" s="11"/>
      <c r="I166" s="15"/>
      <c r="K166" s="15"/>
      <c r="L166" s="15"/>
      <c r="M166" s="14"/>
    </row>
    <row r="167" spans="2:13">
      <c r="B167" s="15"/>
      <c r="C167" s="15"/>
      <c r="D167" s="15"/>
      <c r="E167" s="15"/>
      <c r="G167" s="15"/>
      <c r="H167" s="11"/>
      <c r="I167" s="15"/>
      <c r="K167" s="15"/>
      <c r="L167" s="15"/>
      <c r="M167" s="14"/>
    </row>
    <row r="168" spans="2:13">
      <c r="B168" s="15"/>
      <c r="C168" s="15"/>
      <c r="D168" s="15"/>
      <c r="E168" s="15"/>
      <c r="G168" s="15"/>
      <c r="H168" s="11"/>
      <c r="I168" s="15"/>
      <c r="K168" s="15"/>
      <c r="L168" s="15"/>
      <c r="M168" s="14"/>
    </row>
    <row r="169" spans="2:13">
      <c r="B169" s="15"/>
      <c r="C169" s="15"/>
      <c r="D169" s="15"/>
      <c r="E169" s="15"/>
      <c r="G169" s="15"/>
      <c r="H169" s="11"/>
      <c r="I169" s="15"/>
      <c r="K169" s="15"/>
      <c r="L169" s="15"/>
      <c r="M169" s="14"/>
    </row>
    <row r="170" spans="2:13">
      <c r="B170" s="15"/>
      <c r="C170" s="15"/>
      <c r="D170" s="15"/>
      <c r="E170" s="15"/>
      <c r="G170" s="15"/>
      <c r="H170" s="11"/>
      <c r="I170" s="15"/>
      <c r="K170" s="15"/>
      <c r="L170" s="15"/>
      <c r="M170" s="14"/>
    </row>
    <row r="171" spans="2:13">
      <c r="B171" s="15"/>
      <c r="C171" s="15"/>
      <c r="D171" s="15"/>
      <c r="E171" s="15"/>
      <c r="G171" s="15"/>
      <c r="H171" s="11"/>
      <c r="I171" s="15"/>
      <c r="K171" s="15"/>
      <c r="L171" s="15"/>
      <c r="M171" s="14"/>
    </row>
    <row r="172" spans="2:13">
      <c r="B172" s="15"/>
      <c r="C172" s="15"/>
      <c r="D172" s="15"/>
      <c r="E172" s="15"/>
      <c r="G172" s="15"/>
      <c r="H172" s="11"/>
      <c r="I172" s="15"/>
      <c r="K172" s="15"/>
      <c r="L172" s="15"/>
      <c r="M172" s="14"/>
    </row>
    <row r="173" spans="2:13">
      <c r="B173" s="15"/>
      <c r="C173" s="15"/>
      <c r="D173" s="15"/>
      <c r="E173" s="15"/>
      <c r="G173" s="15"/>
      <c r="H173" s="11"/>
      <c r="I173" s="15"/>
      <c r="K173" s="15"/>
      <c r="L173" s="15"/>
      <c r="M173" s="14"/>
    </row>
    <row r="174" spans="2:13">
      <c r="B174" s="15"/>
      <c r="C174" s="15"/>
      <c r="D174" s="15"/>
      <c r="E174" s="15"/>
      <c r="G174" s="15"/>
      <c r="H174" s="11"/>
      <c r="I174" s="15"/>
      <c r="K174" s="15"/>
      <c r="L174" s="15"/>
      <c r="M174" s="14"/>
    </row>
    <row r="175" spans="2:13">
      <c r="B175" s="15"/>
      <c r="C175" s="15"/>
      <c r="D175" s="15"/>
      <c r="E175" s="15"/>
      <c r="G175" s="15"/>
      <c r="H175" s="11"/>
      <c r="I175" s="15"/>
      <c r="K175" s="15"/>
      <c r="L175" s="15"/>
      <c r="M175" s="14"/>
    </row>
    <row r="176" spans="2:13">
      <c r="B176" s="15"/>
      <c r="C176" s="15"/>
      <c r="D176" s="15"/>
      <c r="E176" s="15"/>
      <c r="G176" s="15"/>
      <c r="H176" s="11"/>
      <c r="I176" s="15"/>
      <c r="K176" s="15"/>
      <c r="L176" s="15"/>
      <c r="M176" s="14"/>
    </row>
    <row r="177" spans="2:13">
      <c r="B177" s="15"/>
      <c r="C177" s="15"/>
      <c r="D177" s="15"/>
      <c r="E177" s="15"/>
      <c r="G177" s="15"/>
      <c r="H177" s="11"/>
      <c r="I177" s="15"/>
      <c r="K177" s="15"/>
      <c r="L177" s="15"/>
      <c r="M177" s="14"/>
    </row>
    <row r="178" spans="2:13">
      <c r="B178" s="15"/>
      <c r="C178" s="15"/>
      <c r="D178" s="15"/>
      <c r="E178" s="15"/>
      <c r="G178" s="15"/>
      <c r="H178" s="11"/>
      <c r="I178" s="15"/>
      <c r="K178" s="15"/>
      <c r="L178" s="15"/>
      <c r="M178" s="14"/>
    </row>
    <row r="179" spans="2:13">
      <c r="B179" s="15"/>
      <c r="C179" s="15"/>
      <c r="D179" s="15"/>
      <c r="E179" s="15"/>
      <c r="G179" s="15"/>
      <c r="H179" s="11"/>
      <c r="I179" s="15"/>
      <c r="K179" s="15"/>
      <c r="L179" s="15"/>
      <c r="M179" s="14"/>
    </row>
    <row r="180" spans="2:13">
      <c r="B180" s="15"/>
      <c r="C180" s="15"/>
      <c r="D180" s="15"/>
      <c r="E180" s="15"/>
      <c r="G180" s="15"/>
      <c r="H180" s="11"/>
      <c r="I180" s="15"/>
      <c r="K180" s="15"/>
      <c r="L180" s="15"/>
      <c r="M180" s="14"/>
    </row>
    <row r="181" spans="2:13">
      <c r="B181" s="15"/>
      <c r="C181" s="15"/>
      <c r="D181" s="15"/>
      <c r="E181" s="15"/>
      <c r="G181" s="15"/>
      <c r="H181" s="11"/>
      <c r="I181" s="15"/>
      <c r="K181" s="15"/>
      <c r="L181" s="15"/>
      <c r="M181" s="14"/>
    </row>
    <row r="182" spans="2:13">
      <c r="B182" s="15"/>
      <c r="C182" s="15"/>
      <c r="D182" s="15"/>
      <c r="E182" s="15"/>
      <c r="G182" s="15"/>
      <c r="H182" s="11"/>
      <c r="I182" s="15"/>
      <c r="K182" s="15"/>
      <c r="L182" s="15"/>
      <c r="M182" s="14"/>
    </row>
    <row r="183" spans="2:13">
      <c r="B183" s="15"/>
      <c r="C183" s="15"/>
      <c r="D183" s="15"/>
      <c r="E183" s="15"/>
      <c r="G183" s="15"/>
      <c r="H183" s="11"/>
      <c r="I183" s="15"/>
      <c r="K183" s="15"/>
      <c r="L183" s="15"/>
      <c r="M183" s="14"/>
    </row>
    <row r="184" spans="2:13">
      <c r="B184" s="15"/>
      <c r="C184" s="15"/>
      <c r="D184" s="15"/>
      <c r="E184" s="15"/>
      <c r="G184" s="15"/>
      <c r="H184" s="11"/>
      <c r="I184" s="15"/>
      <c r="K184" s="15"/>
      <c r="L184" s="15"/>
      <c r="M184" s="14"/>
    </row>
    <row r="185" spans="2:13">
      <c r="B185" s="15"/>
      <c r="C185" s="15"/>
      <c r="D185" s="15"/>
      <c r="E185" s="15"/>
      <c r="G185" s="15"/>
      <c r="H185" s="11"/>
      <c r="I185" s="15"/>
      <c r="K185" s="15"/>
      <c r="L185" s="15"/>
      <c r="M185" s="14"/>
    </row>
    <row r="186" spans="2:13">
      <c r="B186" s="15"/>
      <c r="C186" s="15"/>
      <c r="D186" s="15"/>
      <c r="E186" s="15"/>
      <c r="G186" s="15"/>
      <c r="H186" s="11"/>
      <c r="I186" s="15"/>
      <c r="K186" s="15"/>
      <c r="L186" s="15"/>
      <c r="M186" s="14"/>
    </row>
    <row r="187" spans="2:13">
      <c r="B187" s="15"/>
      <c r="C187" s="15"/>
      <c r="D187" s="15"/>
      <c r="E187" s="15"/>
      <c r="G187" s="15"/>
      <c r="H187" s="11"/>
      <c r="I187" s="15"/>
      <c r="K187" s="15"/>
      <c r="L187" s="15"/>
      <c r="M187" s="14"/>
    </row>
    <row r="188" spans="2:13">
      <c r="B188" s="15"/>
      <c r="C188" s="15"/>
      <c r="D188" s="15"/>
      <c r="E188" s="15"/>
      <c r="G188" s="15"/>
      <c r="H188" s="11"/>
      <c r="I188" s="15"/>
      <c r="K188" s="15"/>
      <c r="L188" s="15"/>
      <c r="M188" s="14"/>
    </row>
    <row r="189" spans="2:13">
      <c r="B189" s="15"/>
      <c r="C189" s="15"/>
      <c r="D189" s="15"/>
      <c r="E189" s="15"/>
      <c r="G189" s="15"/>
      <c r="H189" s="11"/>
      <c r="I189" s="15"/>
      <c r="K189" s="15"/>
      <c r="L189" s="15"/>
      <c r="M189" s="14"/>
    </row>
    <row r="190" spans="2:13">
      <c r="B190" s="15"/>
      <c r="C190" s="15"/>
      <c r="D190" s="15"/>
      <c r="E190" s="15"/>
      <c r="G190" s="15"/>
      <c r="H190" s="11"/>
      <c r="I190" s="15"/>
      <c r="K190" s="15"/>
      <c r="L190" s="15"/>
      <c r="M190" s="14"/>
    </row>
    <row r="191" spans="2:13">
      <c r="B191" s="15"/>
      <c r="C191" s="15"/>
      <c r="D191" s="15"/>
      <c r="E191" s="15"/>
      <c r="G191" s="15"/>
      <c r="H191" s="11"/>
      <c r="I191" s="15"/>
      <c r="K191" s="15"/>
      <c r="L191" s="15"/>
      <c r="M191" s="14"/>
    </row>
    <row r="192" spans="2:13">
      <c r="B192" s="15"/>
      <c r="C192" s="15"/>
      <c r="D192" s="15"/>
      <c r="E192" s="15"/>
      <c r="G192" s="15"/>
      <c r="H192" s="11"/>
      <c r="I192" s="15"/>
      <c r="K192" s="15"/>
      <c r="L192" s="15"/>
      <c r="M192" s="14"/>
    </row>
    <row r="193" spans="2:13">
      <c r="B193" s="15"/>
      <c r="C193" s="15"/>
      <c r="D193" s="15"/>
      <c r="E193" s="15"/>
      <c r="G193" s="15"/>
      <c r="H193" s="11"/>
      <c r="I193" s="15"/>
      <c r="K193" s="15"/>
      <c r="L193" s="15"/>
      <c r="M193" s="14"/>
    </row>
    <row r="194" spans="2:13">
      <c r="B194" s="15"/>
      <c r="C194" s="15"/>
      <c r="D194" s="15"/>
      <c r="E194" s="15"/>
      <c r="G194" s="15"/>
      <c r="H194" s="11"/>
      <c r="I194" s="15"/>
      <c r="K194" s="15"/>
      <c r="L194" s="15"/>
      <c r="M194" s="14"/>
    </row>
    <row r="195" spans="2:13">
      <c r="B195" s="15"/>
      <c r="C195" s="15"/>
      <c r="D195" s="15"/>
      <c r="E195" s="15"/>
      <c r="G195" s="15"/>
      <c r="H195" s="11"/>
      <c r="I195" s="15"/>
      <c r="K195" s="15"/>
      <c r="L195" s="15"/>
      <c r="M195" s="14"/>
    </row>
    <row r="196" spans="2:13">
      <c r="B196" s="15"/>
      <c r="C196" s="15"/>
      <c r="D196" s="15"/>
      <c r="E196" s="15"/>
      <c r="G196" s="15"/>
      <c r="H196" s="11"/>
      <c r="I196" s="15"/>
      <c r="K196" s="15"/>
      <c r="L196" s="15"/>
      <c r="M196" s="14"/>
    </row>
    <row r="197" spans="2:13">
      <c r="B197" s="15"/>
      <c r="C197" s="15"/>
      <c r="D197" s="15"/>
      <c r="E197" s="15"/>
      <c r="G197" s="15"/>
      <c r="H197" s="11"/>
      <c r="I197" s="15"/>
      <c r="K197" s="15"/>
      <c r="L197" s="15"/>
      <c r="M197" s="14"/>
    </row>
    <row r="198" spans="2:13">
      <c r="B198" s="15"/>
      <c r="C198" s="15"/>
      <c r="D198" s="15"/>
      <c r="E198" s="15"/>
      <c r="G198" s="15"/>
      <c r="H198" s="11"/>
      <c r="I198" s="15"/>
      <c r="K198" s="15"/>
      <c r="L198" s="15"/>
      <c r="M198" s="14"/>
    </row>
    <row r="199" spans="2:13">
      <c r="B199" s="15"/>
      <c r="C199" s="15"/>
      <c r="D199" s="15"/>
      <c r="E199" s="15"/>
      <c r="G199" s="15"/>
      <c r="H199" s="11"/>
      <c r="I199" s="15"/>
      <c r="K199" s="15"/>
      <c r="L199" s="15"/>
      <c r="M199" s="14"/>
    </row>
    <row r="200" spans="2:13">
      <c r="B200" s="15"/>
      <c r="C200" s="15"/>
      <c r="D200" s="15"/>
      <c r="E200" s="15"/>
      <c r="G200" s="15"/>
      <c r="H200" s="11"/>
      <c r="I200" s="15"/>
      <c r="K200" s="15"/>
      <c r="L200" s="15"/>
      <c r="M200" s="14"/>
    </row>
    <row r="201" spans="2:13">
      <c r="B201" s="15"/>
      <c r="C201" s="15"/>
      <c r="D201" s="15"/>
      <c r="E201" s="15"/>
      <c r="G201" s="15"/>
      <c r="H201" s="11"/>
      <c r="I201" s="15"/>
      <c r="K201" s="15"/>
      <c r="L201" s="15"/>
      <c r="M201" s="14"/>
    </row>
    <row r="202" spans="2:13">
      <c r="B202" s="15"/>
      <c r="C202" s="15"/>
      <c r="D202" s="15"/>
      <c r="E202" s="15"/>
      <c r="G202" s="15"/>
      <c r="H202" s="11"/>
      <c r="I202" s="15"/>
      <c r="K202" s="15"/>
      <c r="L202" s="15"/>
      <c r="M202" s="14"/>
    </row>
    <row r="203" spans="2:13">
      <c r="B203" s="15"/>
      <c r="C203" s="15"/>
      <c r="D203" s="15"/>
      <c r="E203" s="15"/>
      <c r="G203" s="15"/>
      <c r="H203" s="11"/>
      <c r="I203" s="15"/>
      <c r="K203" s="15"/>
      <c r="L203" s="15"/>
      <c r="M203" s="14"/>
    </row>
    <row r="204" spans="2:13">
      <c r="B204" s="15"/>
      <c r="C204" s="15"/>
      <c r="D204" s="15"/>
      <c r="E204" s="15"/>
      <c r="G204" s="15"/>
      <c r="H204" s="11"/>
      <c r="I204" s="15"/>
      <c r="K204" s="15"/>
      <c r="L204" s="15"/>
      <c r="M204" s="14"/>
    </row>
    <row r="205" spans="2:13">
      <c r="B205" s="15"/>
      <c r="C205" s="15"/>
      <c r="D205" s="15"/>
      <c r="E205" s="15"/>
      <c r="G205" s="15"/>
      <c r="H205" s="11"/>
      <c r="I205" s="15"/>
      <c r="K205" s="15"/>
      <c r="L205" s="15"/>
      <c r="M205" s="14"/>
    </row>
    <row r="206" spans="2:13">
      <c r="B206" s="15"/>
      <c r="C206" s="15"/>
      <c r="D206" s="15"/>
      <c r="E206" s="15"/>
      <c r="G206" s="15"/>
      <c r="H206" s="11"/>
      <c r="I206" s="15"/>
      <c r="K206" s="15"/>
      <c r="L206" s="15"/>
      <c r="M206" s="14"/>
    </row>
    <row r="207" spans="2:13">
      <c r="B207" s="15"/>
      <c r="C207" s="15"/>
      <c r="D207" s="15"/>
      <c r="E207" s="15"/>
      <c r="G207" s="15"/>
      <c r="H207" s="11"/>
      <c r="I207" s="15"/>
      <c r="K207" s="15"/>
      <c r="L207" s="15"/>
      <c r="M207" s="14"/>
    </row>
    <row r="208" spans="2:13">
      <c r="B208" s="15"/>
      <c r="C208" s="15"/>
      <c r="D208" s="15"/>
      <c r="E208" s="15"/>
      <c r="G208" s="15"/>
      <c r="H208" s="11"/>
      <c r="I208" s="15"/>
      <c r="K208" s="15"/>
      <c r="L208" s="15"/>
      <c r="M208" s="14"/>
    </row>
    <row r="209" spans="1:13">
      <c r="B209" s="15"/>
      <c r="C209" s="15"/>
      <c r="D209" s="15"/>
      <c r="E209" s="15"/>
      <c r="G209" s="15"/>
      <c r="H209" s="11"/>
      <c r="I209" s="15"/>
      <c r="K209" s="15"/>
      <c r="L209" s="15"/>
      <c r="M209" s="14"/>
    </row>
    <row r="210" spans="1:13">
      <c r="B210" s="15"/>
      <c r="C210" s="15"/>
      <c r="D210" s="15"/>
      <c r="E210" s="15"/>
      <c r="G210" s="15"/>
      <c r="H210" s="11"/>
      <c r="I210" s="15"/>
      <c r="K210" s="15"/>
      <c r="L210" s="15"/>
      <c r="M210" s="14"/>
    </row>
    <row r="211" spans="1:13">
      <c r="B211" s="15"/>
      <c r="C211" s="15"/>
      <c r="D211" s="15"/>
      <c r="E211" s="15"/>
      <c r="G211" s="15"/>
      <c r="H211" s="11"/>
      <c r="I211" s="15"/>
      <c r="K211" s="15"/>
      <c r="L211" s="15"/>
      <c r="M211" s="14"/>
    </row>
    <row r="212" spans="1:13">
      <c r="B212" s="15"/>
      <c r="C212" s="15"/>
      <c r="D212" s="15"/>
      <c r="E212" s="15"/>
      <c r="G212" s="15"/>
      <c r="H212" s="11"/>
      <c r="I212" s="15"/>
      <c r="K212" s="15"/>
      <c r="L212" s="15"/>
      <c r="M212" s="14"/>
    </row>
    <row r="213" spans="1:13">
      <c r="B213" s="15"/>
      <c r="C213" s="15"/>
      <c r="D213" s="15"/>
      <c r="E213" s="15"/>
      <c r="G213" s="15"/>
      <c r="H213" s="11"/>
      <c r="I213" s="15"/>
      <c r="K213" s="15"/>
      <c r="L213" s="15"/>
      <c r="M213" s="14"/>
    </row>
    <row r="214" spans="1:13">
      <c r="B214" s="15"/>
      <c r="C214" s="15"/>
      <c r="D214" s="15"/>
      <c r="E214" s="15"/>
      <c r="G214" s="15"/>
      <c r="H214" s="11"/>
      <c r="I214" s="15"/>
      <c r="K214" s="15"/>
      <c r="L214" s="15"/>
      <c r="M214" s="14"/>
    </row>
    <row r="216" spans="1:13">
      <c r="A216" s="15"/>
      <c r="B216" s="15"/>
      <c r="C216" s="15"/>
      <c r="D216" s="15"/>
      <c r="E216" s="15"/>
      <c r="G216" s="15"/>
      <c r="H216" s="11"/>
      <c r="I216" s="15"/>
      <c r="K216" s="15"/>
      <c r="L216" s="15"/>
      <c r="M216" s="14"/>
    </row>
    <row r="217" spans="1:13">
      <c r="A217" s="15"/>
      <c r="B217" s="15"/>
      <c r="C217" s="15"/>
      <c r="D217" s="15"/>
      <c r="E217" s="15"/>
      <c r="G217" s="15"/>
      <c r="H217" s="11"/>
      <c r="I217" s="15"/>
      <c r="K217" s="15"/>
      <c r="L217" s="15"/>
      <c r="M217" s="14"/>
    </row>
    <row r="218" spans="1:13">
      <c r="A218" s="15"/>
      <c r="B218" s="15"/>
      <c r="C218" s="15"/>
      <c r="D218" s="15"/>
      <c r="E218" s="15"/>
      <c r="G218" s="15"/>
      <c r="H218" s="11"/>
      <c r="I218" s="15"/>
      <c r="K218" s="15"/>
      <c r="L218" s="15"/>
      <c r="M218" s="14"/>
    </row>
    <row r="219" spans="1:13">
      <c r="A219" s="15"/>
      <c r="B219" s="15"/>
      <c r="C219" s="15"/>
      <c r="D219" s="15"/>
      <c r="E219" s="15"/>
      <c r="G219" s="15"/>
      <c r="H219" s="11"/>
      <c r="I219" s="15"/>
      <c r="K219" s="15"/>
      <c r="L219" s="15"/>
      <c r="M219" s="14"/>
    </row>
    <row r="220" spans="1:13">
      <c r="A220" s="15"/>
      <c r="B220" s="15"/>
      <c r="C220" s="15"/>
      <c r="D220" s="15"/>
      <c r="E220" s="15"/>
      <c r="G220" s="15"/>
      <c r="H220" s="11"/>
      <c r="I220" s="15"/>
      <c r="K220" s="15"/>
      <c r="L220" s="15"/>
      <c r="M220" s="14"/>
    </row>
    <row r="221" spans="1:13">
      <c r="A221" s="15"/>
      <c r="B221" s="15"/>
      <c r="C221" s="15"/>
      <c r="D221" s="15"/>
      <c r="E221" s="15"/>
      <c r="G221" s="15"/>
      <c r="H221" s="11"/>
      <c r="I221" s="15"/>
      <c r="K221" s="15"/>
      <c r="L221" s="15"/>
      <c r="M221" s="14"/>
    </row>
    <row r="222" spans="1:13">
      <c r="A222" s="15"/>
      <c r="B222" s="15"/>
      <c r="C222" s="15"/>
      <c r="D222" s="15"/>
      <c r="E222" s="15"/>
      <c r="G222" s="15"/>
      <c r="H222" s="11"/>
      <c r="I222" s="15"/>
      <c r="K222" s="15"/>
      <c r="L222" s="15"/>
      <c r="M222" s="14"/>
    </row>
    <row r="223" spans="1:13">
      <c r="A223" s="15"/>
      <c r="B223" s="15"/>
      <c r="C223" s="15"/>
      <c r="D223" s="15"/>
      <c r="E223" s="15"/>
      <c r="G223" s="15"/>
      <c r="H223" s="11"/>
      <c r="I223" s="15"/>
      <c r="K223" s="15"/>
      <c r="L223" s="15"/>
      <c r="M223" s="14"/>
    </row>
    <row r="224" spans="1:13">
      <c r="A224" s="15"/>
      <c r="B224" s="15"/>
      <c r="C224" s="15"/>
      <c r="D224" s="15"/>
      <c r="E224" s="15"/>
      <c r="G224" s="15"/>
      <c r="H224" s="11"/>
      <c r="I224" s="15"/>
      <c r="K224" s="15"/>
      <c r="L224" s="15"/>
      <c r="M224" s="14"/>
    </row>
    <row r="225" spans="1:13">
      <c r="A225" s="15"/>
      <c r="B225" s="15"/>
      <c r="C225" s="15"/>
      <c r="D225" s="15"/>
      <c r="E225" s="15"/>
      <c r="G225" s="15"/>
      <c r="H225" s="11"/>
      <c r="I225" s="15"/>
      <c r="K225" s="15"/>
      <c r="L225" s="15"/>
      <c r="M225" s="14"/>
    </row>
    <row r="226" spans="1:13">
      <c r="A226" s="15"/>
      <c r="B226" s="15"/>
      <c r="C226" s="15"/>
      <c r="D226" s="15"/>
      <c r="E226" s="15"/>
      <c r="G226" s="15"/>
      <c r="H226" s="11"/>
      <c r="I226" s="15"/>
      <c r="K226" s="15"/>
      <c r="L226" s="15"/>
      <c r="M226" s="14"/>
    </row>
    <row r="227" spans="1:13">
      <c r="A227" s="15"/>
      <c r="B227" s="15"/>
      <c r="C227" s="15"/>
      <c r="D227" s="15"/>
      <c r="E227" s="15"/>
      <c r="G227" s="15"/>
      <c r="H227" s="11"/>
      <c r="I227" s="15"/>
      <c r="K227" s="15"/>
      <c r="L227" s="15"/>
      <c r="M227" s="14"/>
    </row>
    <row r="228" spans="1:13">
      <c r="A228" s="15"/>
      <c r="B228" s="15"/>
      <c r="C228" s="15"/>
      <c r="D228" s="15"/>
      <c r="E228" s="15"/>
      <c r="G228" s="15"/>
      <c r="H228" s="11"/>
      <c r="I228" s="15"/>
      <c r="K228" s="15"/>
      <c r="L228" s="15"/>
      <c r="M228" s="14"/>
    </row>
    <row r="229" spans="1:13">
      <c r="A229" s="15"/>
      <c r="B229" s="15"/>
      <c r="C229" s="15"/>
      <c r="D229" s="15"/>
      <c r="E229" s="15"/>
      <c r="G229" s="15"/>
      <c r="H229" s="11"/>
      <c r="I229" s="15"/>
      <c r="K229" s="15"/>
      <c r="L229" s="15"/>
      <c r="M229" s="14"/>
    </row>
    <row r="230" spans="1:13">
      <c r="A230" s="15"/>
      <c r="B230" s="15"/>
      <c r="C230" s="15"/>
      <c r="D230" s="15"/>
      <c r="E230" s="15"/>
      <c r="G230" s="15"/>
      <c r="H230" s="11"/>
      <c r="I230" s="15"/>
      <c r="K230" s="15"/>
      <c r="L230" s="15"/>
      <c r="M230" s="14"/>
    </row>
    <row r="231" spans="1:13">
      <c r="A231" s="15"/>
      <c r="B231" s="15"/>
      <c r="C231" s="15"/>
      <c r="D231" s="15"/>
      <c r="E231" s="15"/>
      <c r="G231" s="15"/>
      <c r="H231" s="11"/>
      <c r="I231" s="15"/>
      <c r="K231" s="15"/>
      <c r="L231" s="15"/>
      <c r="M231" s="14"/>
    </row>
    <row r="232" spans="1:13">
      <c r="A232" s="15"/>
      <c r="B232" s="15"/>
      <c r="C232" s="15"/>
      <c r="D232" s="15"/>
      <c r="E232" s="15"/>
      <c r="G232" s="15"/>
      <c r="H232" s="11"/>
      <c r="I232" s="15"/>
      <c r="K232" s="15"/>
      <c r="L232" s="15"/>
      <c r="M232" s="14"/>
    </row>
    <row r="233" spans="1:13">
      <c r="A233" s="15"/>
      <c r="B233" s="15"/>
      <c r="C233" s="15"/>
      <c r="D233" s="15"/>
      <c r="E233" s="15"/>
      <c r="G233" s="15"/>
      <c r="H233" s="11"/>
      <c r="I233" s="15"/>
      <c r="K233" s="15"/>
      <c r="L233" s="15"/>
      <c r="M233" s="14"/>
    </row>
    <row r="234" spans="1:13">
      <c r="A234" s="15"/>
      <c r="B234" s="15"/>
      <c r="C234" s="15"/>
      <c r="D234" s="15"/>
      <c r="E234" s="15"/>
      <c r="G234" s="15"/>
      <c r="H234" s="11"/>
      <c r="I234" s="15"/>
      <c r="K234" s="15"/>
      <c r="L234" s="15"/>
      <c r="M234" s="14"/>
    </row>
    <row r="235" spans="1:13">
      <c r="A235" s="15"/>
      <c r="B235" s="15"/>
      <c r="C235" s="15"/>
      <c r="D235" s="15"/>
      <c r="E235" s="15"/>
      <c r="G235" s="15"/>
      <c r="H235" s="11"/>
      <c r="I235" s="15"/>
      <c r="K235" s="15"/>
      <c r="L235" s="15"/>
      <c r="M235" s="14"/>
    </row>
    <row r="236" spans="1:13">
      <c r="A236" s="15"/>
      <c r="B236" s="15"/>
      <c r="C236" s="15"/>
      <c r="D236" s="15"/>
      <c r="E236" s="15"/>
      <c r="G236" s="15"/>
      <c r="H236" s="11"/>
      <c r="I236" s="15"/>
      <c r="K236" s="15"/>
      <c r="L236" s="15"/>
      <c r="M236" s="14"/>
    </row>
    <row r="237" spans="1:13">
      <c r="A237" s="15"/>
      <c r="B237" s="15"/>
      <c r="C237" s="15"/>
      <c r="D237" s="15"/>
      <c r="E237" s="15"/>
      <c r="G237" s="15"/>
      <c r="H237" s="11"/>
      <c r="I237" s="15"/>
      <c r="K237" s="15"/>
      <c r="L237" s="15"/>
      <c r="M237" s="14"/>
    </row>
    <row r="238" spans="1:13">
      <c r="A238" s="15"/>
      <c r="B238" s="15"/>
      <c r="C238" s="15"/>
      <c r="D238" s="15"/>
      <c r="E238" s="15"/>
      <c r="G238" s="15"/>
      <c r="H238" s="11"/>
      <c r="I238" s="15"/>
      <c r="K238" s="15"/>
      <c r="L238" s="15"/>
      <c r="M238" s="14"/>
    </row>
    <row r="239" spans="1:13">
      <c r="A239" s="15"/>
      <c r="B239" s="15"/>
      <c r="C239" s="15"/>
      <c r="D239" s="15"/>
      <c r="E239" s="15"/>
      <c r="G239" s="15"/>
      <c r="H239" s="11"/>
      <c r="I239" s="15"/>
      <c r="K239" s="15"/>
      <c r="L239" s="15"/>
      <c r="M239" s="14"/>
    </row>
    <row r="240" spans="1:13">
      <c r="A240" s="15"/>
      <c r="B240" s="15"/>
      <c r="C240" s="15"/>
      <c r="D240" s="15"/>
      <c r="E240" s="15"/>
      <c r="G240" s="15"/>
      <c r="H240" s="11"/>
      <c r="I240" s="15"/>
      <c r="K240" s="15"/>
      <c r="L240" s="15"/>
      <c r="M240" s="14"/>
    </row>
    <row r="241" spans="1:13">
      <c r="A241" s="15"/>
      <c r="B241" s="15"/>
      <c r="C241" s="15"/>
      <c r="D241" s="15"/>
      <c r="E241" s="15"/>
      <c r="G241" s="15"/>
      <c r="H241" s="11"/>
      <c r="I241" s="15"/>
      <c r="K241" s="15"/>
      <c r="L241" s="15"/>
      <c r="M241" s="14"/>
    </row>
    <row r="242" spans="1:13">
      <c r="A242" s="15"/>
      <c r="B242" s="15"/>
      <c r="C242" s="15"/>
      <c r="D242" s="15"/>
      <c r="E242" s="15"/>
      <c r="G242" s="15"/>
      <c r="H242" s="11"/>
      <c r="I242" s="15"/>
      <c r="K242" s="15"/>
      <c r="L242" s="15"/>
      <c r="M242" s="14"/>
    </row>
    <row r="243" spans="1:13">
      <c r="A243" s="15"/>
      <c r="B243" s="15"/>
      <c r="C243" s="15"/>
      <c r="D243" s="15"/>
      <c r="E243" s="15"/>
      <c r="G243" s="15"/>
      <c r="H243" s="11"/>
      <c r="I243" s="15"/>
      <c r="K243" s="15"/>
      <c r="L243" s="15"/>
      <c r="M243" s="14"/>
    </row>
    <row r="244" spans="1:13">
      <c r="A244" s="15"/>
      <c r="B244" s="15"/>
      <c r="C244" s="15"/>
      <c r="D244" s="15"/>
      <c r="E244" s="15"/>
      <c r="G244" s="15"/>
      <c r="H244" s="11"/>
      <c r="I244" s="15"/>
      <c r="K244" s="15"/>
      <c r="L244" s="15"/>
      <c r="M244" s="14"/>
    </row>
    <row r="245" spans="1:13">
      <c r="A245" s="15"/>
      <c r="B245" s="15"/>
      <c r="C245" s="15"/>
      <c r="D245" s="15"/>
      <c r="E245" s="15"/>
      <c r="G245" s="15"/>
      <c r="H245" s="11"/>
      <c r="I245" s="15"/>
      <c r="K245" s="15"/>
      <c r="L245" s="15"/>
      <c r="M245" s="14"/>
    </row>
    <row r="246" spans="1:13">
      <c r="A246" s="15"/>
      <c r="B246" s="15"/>
      <c r="C246" s="15"/>
      <c r="D246" s="15"/>
      <c r="E246" s="15"/>
      <c r="G246" s="15"/>
      <c r="H246" s="11"/>
      <c r="I246" s="15"/>
      <c r="K246" s="15"/>
      <c r="L246" s="15"/>
      <c r="M246" s="14"/>
    </row>
    <row r="247" spans="1:13">
      <c r="A247" s="15"/>
      <c r="B247" s="15"/>
      <c r="C247" s="15"/>
      <c r="D247" s="15"/>
      <c r="E247" s="15"/>
      <c r="G247" s="15"/>
      <c r="H247" s="11"/>
      <c r="I247" s="15"/>
      <c r="K247" s="15"/>
      <c r="L247" s="15"/>
      <c r="M247" s="14"/>
    </row>
    <row r="248" spans="1:13">
      <c r="A248" s="15"/>
      <c r="B248" s="15"/>
      <c r="C248" s="15"/>
      <c r="D248" s="15"/>
      <c r="E248" s="15"/>
      <c r="G248" s="15"/>
      <c r="H248" s="11"/>
      <c r="I248" s="15"/>
      <c r="K248" s="15"/>
      <c r="L248" s="15"/>
      <c r="M248" s="14"/>
    </row>
    <row r="249" spans="1:13">
      <c r="A249" s="15"/>
      <c r="B249" s="15"/>
      <c r="C249" s="15"/>
      <c r="D249" s="15"/>
      <c r="E249" s="15"/>
      <c r="G249" s="15"/>
      <c r="H249" s="11"/>
      <c r="I249" s="15"/>
      <c r="K249" s="15"/>
      <c r="L249" s="15"/>
      <c r="M249" s="14"/>
    </row>
    <row r="250" spans="1:13">
      <c r="A250" s="15"/>
      <c r="B250" s="15"/>
      <c r="C250" s="15"/>
      <c r="D250" s="15"/>
      <c r="E250" s="15"/>
      <c r="G250" s="15"/>
      <c r="H250" s="11"/>
      <c r="I250" s="15"/>
      <c r="K250" s="15"/>
      <c r="L250" s="15"/>
      <c r="M250" s="14"/>
    </row>
    <row r="251" spans="1:13">
      <c r="A251" s="15"/>
      <c r="B251" s="15"/>
      <c r="C251" s="15"/>
      <c r="D251" s="15"/>
      <c r="E251" s="15"/>
      <c r="G251" s="15"/>
      <c r="H251" s="11"/>
      <c r="I251" s="15"/>
      <c r="K251" s="15"/>
      <c r="L251" s="15"/>
      <c r="M251" s="14"/>
    </row>
    <row r="252" spans="1:13">
      <c r="A252" s="15"/>
      <c r="B252" s="15"/>
      <c r="C252" s="15"/>
      <c r="D252" s="15"/>
      <c r="E252" s="15"/>
      <c r="G252" s="15"/>
      <c r="H252" s="11"/>
      <c r="I252" s="15"/>
      <c r="K252" s="15"/>
      <c r="L252" s="15"/>
      <c r="M252" s="14"/>
    </row>
    <row r="253" spans="1:13">
      <c r="A253" s="15"/>
      <c r="B253" s="15"/>
      <c r="C253" s="15"/>
      <c r="D253" s="15"/>
      <c r="E253" s="15"/>
      <c r="G253" s="15"/>
      <c r="H253" s="11"/>
      <c r="I253" s="15"/>
      <c r="K253" s="15"/>
      <c r="L253" s="15"/>
      <c r="M253" s="14"/>
    </row>
    <row r="254" spans="1:13">
      <c r="A254" s="15"/>
      <c r="B254" s="15"/>
      <c r="C254" s="15"/>
      <c r="D254" s="15"/>
      <c r="E254" s="15"/>
      <c r="G254" s="15"/>
      <c r="H254" s="11"/>
      <c r="I254" s="15"/>
      <c r="K254" s="15"/>
      <c r="L254" s="15"/>
      <c r="M254" s="14"/>
    </row>
    <row r="255" spans="1:13">
      <c r="A255" s="15"/>
      <c r="B255" s="15"/>
      <c r="C255" s="15"/>
      <c r="D255" s="15"/>
      <c r="E255" s="15"/>
      <c r="G255" s="15"/>
      <c r="H255" s="11"/>
      <c r="I255" s="15"/>
      <c r="K255" s="15"/>
      <c r="L255" s="15"/>
      <c r="M255" s="14"/>
    </row>
    <row r="256" spans="1:13">
      <c r="A256" s="15"/>
      <c r="B256" s="15"/>
      <c r="C256" s="15"/>
      <c r="D256" s="15"/>
      <c r="E256" s="15"/>
      <c r="G256" s="15"/>
      <c r="H256" s="11"/>
      <c r="I256" s="15"/>
      <c r="K256" s="15"/>
      <c r="L256" s="15"/>
      <c r="M256" s="14"/>
    </row>
    <row r="257" spans="1:13">
      <c r="A257" s="15"/>
      <c r="B257" s="15"/>
      <c r="C257" s="15"/>
      <c r="D257" s="15"/>
      <c r="E257" s="15"/>
      <c r="G257" s="15"/>
      <c r="H257" s="11"/>
      <c r="I257" s="15"/>
      <c r="K257" s="15"/>
      <c r="L257" s="15"/>
      <c r="M257" s="14"/>
    </row>
    <row r="258" spans="1:13">
      <c r="A258" s="15"/>
      <c r="B258" s="15"/>
      <c r="C258" s="15"/>
      <c r="D258" s="15"/>
      <c r="E258" s="15"/>
      <c r="G258" s="15"/>
      <c r="H258" s="11"/>
      <c r="I258" s="15"/>
      <c r="K258" s="15"/>
      <c r="L258" s="15"/>
      <c r="M258" s="14"/>
    </row>
    <row r="259" spans="1:13">
      <c r="A259" s="15"/>
      <c r="B259" s="15"/>
      <c r="C259" s="15"/>
      <c r="D259" s="15"/>
      <c r="E259" s="15"/>
      <c r="G259" s="15"/>
      <c r="H259" s="11"/>
      <c r="I259" s="15"/>
      <c r="K259" s="15"/>
      <c r="L259" s="15"/>
      <c r="M259" s="14"/>
    </row>
    <row r="260" spans="1:13">
      <c r="A260" s="15"/>
      <c r="B260" s="15"/>
      <c r="C260" s="15"/>
      <c r="D260" s="15"/>
      <c r="E260" s="15"/>
      <c r="G260" s="15"/>
      <c r="H260" s="11"/>
      <c r="I260" s="15"/>
      <c r="K260" s="15"/>
      <c r="L260" s="15"/>
      <c r="M260" s="14"/>
    </row>
    <row r="261" spans="1:13">
      <c r="A261" s="15"/>
      <c r="B261" s="15"/>
      <c r="C261" s="15"/>
      <c r="D261" s="15"/>
      <c r="E261" s="15"/>
      <c r="G261" s="15"/>
      <c r="H261" s="11"/>
      <c r="I261" s="15"/>
      <c r="K261" s="15"/>
      <c r="L261" s="15"/>
      <c r="M261" s="14"/>
    </row>
    <row r="262" spans="1:13">
      <c r="A262" s="15"/>
      <c r="B262" s="15"/>
      <c r="C262" s="15"/>
      <c r="D262" s="15"/>
      <c r="E262" s="15"/>
      <c r="G262" s="15"/>
      <c r="H262" s="11"/>
      <c r="I262" s="15"/>
      <c r="K262" s="15"/>
      <c r="L262" s="15"/>
      <c r="M262" s="14"/>
    </row>
    <row r="263" spans="1:13">
      <c r="A263" s="15"/>
      <c r="B263" s="15"/>
      <c r="C263" s="15"/>
      <c r="D263" s="15"/>
      <c r="E263" s="15"/>
      <c r="G263" s="15"/>
      <c r="H263" s="11"/>
      <c r="I263" s="15"/>
      <c r="K263" s="15"/>
      <c r="L263" s="15"/>
      <c r="M263" s="14"/>
    </row>
    <row r="264" spans="1:13">
      <c r="A264" s="15"/>
      <c r="B264" s="15"/>
      <c r="C264" s="15"/>
      <c r="D264" s="15"/>
      <c r="E264" s="15"/>
      <c r="G264" s="15"/>
      <c r="H264" s="11"/>
      <c r="I264" s="15"/>
      <c r="K264" s="15"/>
      <c r="L264" s="15"/>
      <c r="M264" s="14"/>
    </row>
  </sheetData>
  <autoFilter ref="A45:M147" xr:uid="{8B1412D9-E5A9-4DD9-AD69-215F3DE429BC}"/>
  <conditionalFormatting sqref="B216:C264">
    <cfRule type="cellIs" dxfId="32" priority="2" operator="equal">
      <formula>0</formula>
    </cfRule>
  </conditionalFormatting>
  <conditionalFormatting sqref="D44 H44">
    <cfRule type="cellIs" dxfId="31" priority="5" operator="equal">
      <formula>0</formula>
    </cfRule>
  </conditionalFormatting>
  <conditionalFormatting sqref="D148:D214 H148:H214">
    <cfRule type="cellIs" dxfId="30" priority="4" operator="equal">
      <formula>0</formula>
    </cfRule>
  </conditionalFormatting>
  <conditionalFormatting sqref="H216:H264">
    <cfRule type="cellIs" dxfId="29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F996-D155-45C5-B26C-FF6C550C8435}">
  <dimension ref="A1:R449"/>
  <sheetViews>
    <sheetView topLeftCell="D71" workbookViewId="0">
      <selection activeCell="E89" sqref="E89"/>
    </sheetView>
  </sheetViews>
  <sheetFormatPr defaultColWidth="8.85546875" defaultRowHeight="14.45"/>
  <cols>
    <col min="1" max="1" width="22.140625" bestFit="1" customWidth="1"/>
    <col min="2" max="2" width="12.140625" bestFit="1" customWidth="1"/>
    <col min="3" max="6" width="28.7109375" customWidth="1"/>
    <col min="7" max="7" width="14.28515625" bestFit="1" customWidth="1"/>
    <col min="14" max="14" width="25.42578125" bestFit="1" customWidth="1"/>
    <col min="17" max="17" width="11.42578125" customWidth="1"/>
    <col min="18" max="18" width="25.85546875" customWidth="1"/>
  </cols>
  <sheetData>
    <row r="1" spans="1:18" ht="29.1">
      <c r="A1" s="58" t="s">
        <v>121</v>
      </c>
      <c r="B1" s="58" t="s">
        <v>122</v>
      </c>
      <c r="C1" s="58"/>
      <c r="D1" s="58" t="s">
        <v>123</v>
      </c>
      <c r="E1" s="59" t="s">
        <v>124</v>
      </c>
      <c r="F1" s="58" t="s">
        <v>125</v>
      </c>
      <c r="G1" s="58" t="s">
        <v>333</v>
      </c>
      <c r="H1" s="58" t="s">
        <v>126</v>
      </c>
      <c r="I1" s="58" t="s">
        <v>127</v>
      </c>
      <c r="J1" s="58" t="s">
        <v>1023</v>
      </c>
      <c r="K1" s="58" t="s">
        <v>129</v>
      </c>
      <c r="L1" s="58" t="s">
        <v>335</v>
      </c>
      <c r="M1" s="58" t="s">
        <v>131</v>
      </c>
      <c r="N1" s="58" t="s">
        <v>336</v>
      </c>
      <c r="O1" s="58" t="s">
        <v>1500</v>
      </c>
      <c r="P1" s="58" t="s">
        <v>133</v>
      </c>
      <c r="Q1" s="58" t="s">
        <v>134</v>
      </c>
    </row>
    <row r="2" spans="1:18">
      <c r="A2" s="59">
        <v>1</v>
      </c>
      <c r="B2" s="59">
        <v>215</v>
      </c>
      <c r="C2" s="60" t="s">
        <v>135</v>
      </c>
      <c r="D2" s="59" t="s">
        <v>136</v>
      </c>
      <c r="E2" s="59" t="s">
        <v>137</v>
      </c>
      <c r="F2" s="59" t="s">
        <v>138</v>
      </c>
      <c r="G2" s="59" t="s">
        <v>340</v>
      </c>
      <c r="H2" s="59" t="s">
        <v>1501</v>
      </c>
      <c r="I2" s="59">
        <v>1</v>
      </c>
      <c r="J2" s="61">
        <v>1.8027777777777778E-2</v>
      </c>
      <c r="K2" s="61">
        <v>7.361111111111111E-4</v>
      </c>
      <c r="L2" s="61">
        <v>4.0063657407407409E-2</v>
      </c>
      <c r="M2" s="61">
        <v>7.2800925925925919E-4</v>
      </c>
      <c r="N2" s="61">
        <v>2.5164351851851851E-2</v>
      </c>
      <c r="O2" s="61">
        <v>1.4641203703703704E-3</v>
      </c>
      <c r="P2" s="61">
        <v>8.4722222222222227E-2</v>
      </c>
      <c r="Q2" s="59"/>
      <c r="R2" s="8">
        <f>IFERROR(ROUND($P$2/P2*1000,0),0)</f>
        <v>1000</v>
      </c>
    </row>
    <row r="3" spans="1:18">
      <c r="A3" s="59">
        <v>2</v>
      </c>
      <c r="B3" s="59">
        <v>267</v>
      </c>
      <c r="C3" s="60" t="s">
        <v>135</v>
      </c>
      <c r="D3" s="59" t="s">
        <v>1502</v>
      </c>
      <c r="E3" s="59" t="s">
        <v>0</v>
      </c>
      <c r="F3" s="59" t="s">
        <v>1503</v>
      </c>
      <c r="G3" s="59" t="s">
        <v>340</v>
      </c>
      <c r="H3" s="59" t="s">
        <v>1501</v>
      </c>
      <c r="I3" s="59">
        <v>2</v>
      </c>
      <c r="J3" s="61">
        <v>1.5104166666666667E-2</v>
      </c>
      <c r="K3" s="61">
        <v>6.3310185185185192E-4</v>
      </c>
      <c r="L3" s="61">
        <v>4.2583333333333334E-2</v>
      </c>
      <c r="M3" s="61">
        <v>5.6018518518518516E-4</v>
      </c>
      <c r="N3" s="61">
        <v>2.6318287037037039E-2</v>
      </c>
      <c r="O3" s="61">
        <v>1.193287037037037E-3</v>
      </c>
      <c r="P3" s="61">
        <v>8.5203703703703712E-2</v>
      </c>
      <c r="Q3" s="59">
        <v>41.6</v>
      </c>
      <c r="R3" s="8">
        <f t="shared" ref="R3:R66" si="0">IFERROR(ROUND($P$2/P3*1000,0),0)</f>
        <v>994</v>
      </c>
    </row>
    <row r="4" spans="1:18">
      <c r="A4" s="59">
        <v>3</v>
      </c>
      <c r="B4" s="59">
        <v>242</v>
      </c>
      <c r="C4" s="60" t="s">
        <v>135</v>
      </c>
      <c r="D4" s="59" t="s">
        <v>337</v>
      </c>
      <c r="E4" s="59" t="s">
        <v>338</v>
      </c>
      <c r="F4" s="59" t="s">
        <v>339</v>
      </c>
      <c r="G4" s="59" t="s">
        <v>340</v>
      </c>
      <c r="H4" s="59" t="s">
        <v>1501</v>
      </c>
      <c r="I4" s="59">
        <v>3</v>
      </c>
      <c r="J4" s="61">
        <v>1.8032407407407407E-2</v>
      </c>
      <c r="K4" s="61">
        <v>9.2939814814814816E-4</v>
      </c>
      <c r="L4" s="61">
        <v>3.9861111111111111E-2</v>
      </c>
      <c r="M4" s="61">
        <v>8.0324074074074076E-4</v>
      </c>
      <c r="N4" s="61">
        <v>2.7372685185185184E-2</v>
      </c>
      <c r="O4" s="61">
        <v>1.7326388888888888E-3</v>
      </c>
      <c r="P4" s="61">
        <v>8.7000000000000008E-2</v>
      </c>
      <c r="Q4" s="59" t="s">
        <v>1504</v>
      </c>
      <c r="R4" s="8">
        <f t="shared" si="0"/>
        <v>974</v>
      </c>
    </row>
    <row r="5" spans="1:18">
      <c r="A5" s="59">
        <v>4</v>
      </c>
      <c r="B5" s="59">
        <v>310</v>
      </c>
      <c r="C5" s="60" t="s">
        <v>135</v>
      </c>
      <c r="D5" s="59" t="s">
        <v>346</v>
      </c>
      <c r="E5" s="59" t="s">
        <v>347</v>
      </c>
      <c r="F5" s="59" t="s">
        <v>138</v>
      </c>
      <c r="G5" s="59" t="s">
        <v>340</v>
      </c>
      <c r="H5" s="59" t="s">
        <v>1501</v>
      </c>
      <c r="I5" s="59">
        <v>4</v>
      </c>
      <c r="J5" s="61">
        <v>1.9866898148148147E-2</v>
      </c>
      <c r="K5" s="61">
        <v>6.5625000000000004E-4</v>
      </c>
      <c r="L5" s="61">
        <v>4.1857638888888889E-2</v>
      </c>
      <c r="M5" s="61">
        <v>6.6898148148148145E-4</v>
      </c>
      <c r="N5" s="61">
        <v>2.5604166666666664E-2</v>
      </c>
      <c r="O5" s="61">
        <v>1.3252314814814815E-3</v>
      </c>
      <c r="P5" s="61">
        <v>8.8655092592592591E-2</v>
      </c>
      <c r="Q5" s="59" t="s">
        <v>1505</v>
      </c>
      <c r="R5" s="8">
        <f t="shared" si="0"/>
        <v>956</v>
      </c>
    </row>
    <row r="6" spans="1:18">
      <c r="A6" s="59">
        <v>5</v>
      </c>
      <c r="B6" s="59">
        <v>285</v>
      </c>
      <c r="C6" s="60" t="s">
        <v>135</v>
      </c>
      <c r="D6" s="59" t="s">
        <v>350</v>
      </c>
      <c r="E6" s="59" t="s">
        <v>351</v>
      </c>
      <c r="F6" s="59"/>
      <c r="G6" s="59" t="s">
        <v>340</v>
      </c>
      <c r="H6" s="59" t="s">
        <v>1501</v>
      </c>
      <c r="I6" s="59">
        <v>5</v>
      </c>
      <c r="J6" s="61">
        <v>1.9568287037037037E-2</v>
      </c>
      <c r="K6" s="61">
        <v>9.1782407407407405E-4</v>
      </c>
      <c r="L6" s="61">
        <v>4.1928240740740738E-2</v>
      </c>
      <c r="M6" s="61">
        <v>6.2615740740740741E-4</v>
      </c>
      <c r="N6" s="61">
        <v>2.5894675925925929E-2</v>
      </c>
      <c r="O6" s="61">
        <v>1.5439814814814815E-3</v>
      </c>
      <c r="P6" s="61">
        <v>8.8937500000000003E-2</v>
      </c>
      <c r="Q6" s="59" t="s">
        <v>1506</v>
      </c>
      <c r="R6" s="8">
        <f t="shared" si="0"/>
        <v>953</v>
      </c>
    </row>
    <row r="7" spans="1:18">
      <c r="A7" s="59">
        <v>6</v>
      </c>
      <c r="B7" s="59">
        <v>239</v>
      </c>
      <c r="C7" s="60" t="s">
        <v>135</v>
      </c>
      <c r="D7" s="59" t="s">
        <v>359</v>
      </c>
      <c r="E7" s="59" t="s">
        <v>360</v>
      </c>
      <c r="F7" s="59" t="s">
        <v>138</v>
      </c>
      <c r="G7" s="59" t="s">
        <v>340</v>
      </c>
      <c r="H7" s="59" t="s">
        <v>1501</v>
      </c>
      <c r="I7" s="59">
        <v>6</v>
      </c>
      <c r="J7" s="61">
        <v>1.9322916666666665E-2</v>
      </c>
      <c r="K7" s="61">
        <v>8.4490740740740739E-4</v>
      </c>
      <c r="L7" s="61">
        <v>4.2288194444444441E-2</v>
      </c>
      <c r="M7" s="61">
        <v>6.7361111111111116E-4</v>
      </c>
      <c r="N7" s="61">
        <v>2.6201388888888892E-2</v>
      </c>
      <c r="O7" s="61">
        <v>1.5185185185185184E-3</v>
      </c>
      <c r="P7" s="61">
        <v>8.9333333333333334E-2</v>
      </c>
      <c r="Q7" s="59" t="s">
        <v>1507</v>
      </c>
      <c r="R7" s="8">
        <f t="shared" si="0"/>
        <v>948</v>
      </c>
    </row>
    <row r="8" spans="1:18">
      <c r="A8" s="59">
        <v>7</v>
      </c>
      <c r="B8" s="59">
        <v>299</v>
      </c>
      <c r="C8" s="60" t="s">
        <v>135</v>
      </c>
      <c r="D8" s="59" t="s">
        <v>362</v>
      </c>
      <c r="E8" s="59" t="s">
        <v>363</v>
      </c>
      <c r="F8" s="59" t="s">
        <v>252</v>
      </c>
      <c r="G8" s="59" t="s">
        <v>340</v>
      </c>
      <c r="H8" s="59" t="s">
        <v>1501</v>
      </c>
      <c r="I8" s="59">
        <v>7</v>
      </c>
      <c r="J8" s="61">
        <v>1.971875E-2</v>
      </c>
      <c r="K8" s="61">
        <v>6.7476851851851845E-4</v>
      </c>
      <c r="L8" s="61">
        <v>4.1989583333333337E-2</v>
      </c>
      <c r="M8" s="61">
        <v>6.8055555555555556E-4</v>
      </c>
      <c r="N8" s="61">
        <v>2.8053240740740743E-2</v>
      </c>
      <c r="O8" s="61">
        <v>1.3553240740740741E-3</v>
      </c>
      <c r="P8" s="61">
        <v>9.1119212962962964E-2</v>
      </c>
      <c r="Q8" s="59" t="s">
        <v>1508</v>
      </c>
      <c r="R8" s="8">
        <f t="shared" si="0"/>
        <v>930</v>
      </c>
    </row>
    <row r="9" spans="1:18">
      <c r="A9" s="59">
        <v>8</v>
      </c>
      <c r="B9" s="59">
        <v>19</v>
      </c>
      <c r="C9" s="60" t="s">
        <v>135</v>
      </c>
      <c r="D9" s="59" t="s">
        <v>146</v>
      </c>
      <c r="E9" s="59" t="s">
        <v>147</v>
      </c>
      <c r="F9" s="59" t="s">
        <v>148</v>
      </c>
      <c r="G9" s="59" t="s">
        <v>340</v>
      </c>
      <c r="H9" s="59" t="s">
        <v>1501</v>
      </c>
      <c r="I9" s="59">
        <v>8</v>
      </c>
      <c r="J9" s="61">
        <v>1.7986111111111112E-2</v>
      </c>
      <c r="K9" s="61">
        <v>8.0902777777777787E-4</v>
      </c>
      <c r="L9" s="61">
        <v>4.3626157407407412E-2</v>
      </c>
      <c r="M9" s="61">
        <v>9.1203703703703705E-4</v>
      </c>
      <c r="N9" s="61">
        <v>2.851041666666667E-2</v>
      </c>
      <c r="O9" s="61">
        <v>1.7210648148148146E-3</v>
      </c>
      <c r="P9" s="61">
        <v>9.1846064814814818E-2</v>
      </c>
      <c r="Q9" s="59" t="s">
        <v>1509</v>
      </c>
      <c r="R9" s="8">
        <f t="shared" si="0"/>
        <v>922</v>
      </c>
    </row>
    <row r="10" spans="1:18">
      <c r="A10" s="59">
        <v>9</v>
      </c>
      <c r="B10" s="59">
        <v>15</v>
      </c>
      <c r="C10" s="60" t="s">
        <v>135</v>
      </c>
      <c r="D10" s="59" t="s">
        <v>151</v>
      </c>
      <c r="E10" s="59" t="s">
        <v>152</v>
      </c>
      <c r="F10" s="59" t="s">
        <v>153</v>
      </c>
      <c r="G10" s="59" t="s">
        <v>340</v>
      </c>
      <c r="H10" s="59" t="s">
        <v>1501</v>
      </c>
      <c r="I10" s="59">
        <v>9</v>
      </c>
      <c r="J10" s="61">
        <v>1.7990740740740741E-2</v>
      </c>
      <c r="K10" s="61">
        <v>7.5115740740740752E-4</v>
      </c>
      <c r="L10" s="61">
        <v>4.3665509259259258E-2</v>
      </c>
      <c r="M10" s="61">
        <v>6.8981481481481487E-4</v>
      </c>
      <c r="N10" s="61">
        <v>2.9350694444444447E-2</v>
      </c>
      <c r="O10" s="61">
        <v>1.4409722222222222E-3</v>
      </c>
      <c r="P10" s="61">
        <v>9.2449074074074072E-2</v>
      </c>
      <c r="Q10" s="59" t="s">
        <v>1510</v>
      </c>
      <c r="R10" s="8">
        <f t="shared" si="0"/>
        <v>916</v>
      </c>
    </row>
    <row r="11" spans="1:18">
      <c r="A11" s="59">
        <v>10</v>
      </c>
      <c r="B11" s="59">
        <v>79</v>
      </c>
      <c r="C11" s="60" t="s">
        <v>135</v>
      </c>
      <c r="D11" s="59" t="s">
        <v>701</v>
      </c>
      <c r="E11" s="59" t="s">
        <v>702</v>
      </c>
      <c r="F11" s="59" t="s">
        <v>199</v>
      </c>
      <c r="G11" s="59" t="s">
        <v>340</v>
      </c>
      <c r="H11" s="59" t="s">
        <v>1501</v>
      </c>
      <c r="I11" s="59">
        <v>10</v>
      </c>
      <c r="J11" s="61">
        <v>1.8765046296296297E-2</v>
      </c>
      <c r="K11" s="61">
        <v>1.269675925925926E-3</v>
      </c>
      <c r="L11" s="61">
        <v>4.2435185185185187E-2</v>
      </c>
      <c r="M11" s="61">
        <v>6.8287037037037036E-4</v>
      </c>
      <c r="N11" s="61">
        <v>2.9908564814814815E-2</v>
      </c>
      <c r="O11" s="61">
        <v>1.9525462962962962E-3</v>
      </c>
      <c r="P11" s="61">
        <v>9.3063657407407407E-2</v>
      </c>
      <c r="Q11" s="59" t="s">
        <v>1511</v>
      </c>
      <c r="R11" s="8">
        <f t="shared" si="0"/>
        <v>910</v>
      </c>
    </row>
    <row r="12" spans="1:18">
      <c r="A12" s="59">
        <v>11</v>
      </c>
      <c r="B12" s="59">
        <v>225</v>
      </c>
      <c r="C12" s="60" t="s">
        <v>135</v>
      </c>
      <c r="D12" s="59" t="s">
        <v>375</v>
      </c>
      <c r="E12" s="59" t="s">
        <v>376</v>
      </c>
      <c r="F12" s="59" t="s">
        <v>189</v>
      </c>
      <c r="G12" s="59" t="s">
        <v>340</v>
      </c>
      <c r="H12" s="59" t="s">
        <v>1501</v>
      </c>
      <c r="I12" s="59">
        <v>11</v>
      </c>
      <c r="J12" s="61">
        <v>1.9331018518518518E-2</v>
      </c>
      <c r="K12" s="61">
        <v>7.5694444444444453E-4</v>
      </c>
      <c r="L12" s="61">
        <v>4.2314814814814812E-2</v>
      </c>
      <c r="M12" s="61">
        <v>7.7314814814814813E-4</v>
      </c>
      <c r="N12" s="61">
        <v>2.9993055555555558E-2</v>
      </c>
      <c r="O12" s="61">
        <v>1.5300925925925924E-3</v>
      </c>
      <c r="P12" s="61">
        <v>9.3171296296296294E-2</v>
      </c>
      <c r="Q12" s="59" t="s">
        <v>1512</v>
      </c>
      <c r="R12" s="8">
        <f t="shared" si="0"/>
        <v>909</v>
      </c>
    </row>
    <row r="13" spans="1:18">
      <c r="A13" s="59">
        <v>12</v>
      </c>
      <c r="B13" s="59">
        <v>16</v>
      </c>
      <c r="C13" s="60" t="s">
        <v>135</v>
      </c>
      <c r="D13" s="59" t="s">
        <v>175</v>
      </c>
      <c r="E13" s="59" t="s">
        <v>176</v>
      </c>
      <c r="F13" s="59" t="s">
        <v>153</v>
      </c>
      <c r="G13" s="59" t="s">
        <v>340</v>
      </c>
      <c r="H13" s="59" t="s">
        <v>1501</v>
      </c>
      <c r="I13" s="59">
        <v>12</v>
      </c>
      <c r="J13" s="61">
        <v>1.7832175925925925E-2</v>
      </c>
      <c r="K13" s="61">
        <v>9.710648148148149E-4</v>
      </c>
      <c r="L13" s="61">
        <v>4.6135416666666665E-2</v>
      </c>
      <c r="M13" s="61">
        <v>8.599537037037037E-4</v>
      </c>
      <c r="N13" s="61">
        <v>2.7759259259259261E-2</v>
      </c>
      <c r="O13" s="61">
        <v>1.8310185185185183E-3</v>
      </c>
      <c r="P13" s="61">
        <v>9.3560185185185191E-2</v>
      </c>
      <c r="Q13" s="59" t="s">
        <v>1513</v>
      </c>
      <c r="R13" s="8">
        <f t="shared" si="0"/>
        <v>906</v>
      </c>
    </row>
    <row r="14" spans="1:18">
      <c r="A14" s="59">
        <v>13</v>
      </c>
      <c r="B14" s="59">
        <v>207</v>
      </c>
      <c r="C14" s="60" t="s">
        <v>135</v>
      </c>
      <c r="D14" s="59" t="s">
        <v>191</v>
      </c>
      <c r="E14" s="59" t="s">
        <v>192</v>
      </c>
      <c r="F14" s="59" t="s">
        <v>138</v>
      </c>
      <c r="G14" s="59" t="s">
        <v>340</v>
      </c>
      <c r="H14" s="59" t="s">
        <v>1501</v>
      </c>
      <c r="I14" s="59">
        <v>13</v>
      </c>
      <c r="J14" s="61">
        <v>1.9848379629629629E-2</v>
      </c>
      <c r="K14" s="61">
        <v>8.7731481481481482E-4</v>
      </c>
      <c r="L14" s="61">
        <v>4.317013888888889E-2</v>
      </c>
      <c r="M14" s="61">
        <v>9.5138888888888888E-4</v>
      </c>
      <c r="N14" s="61">
        <v>2.9177083333333336E-2</v>
      </c>
      <c r="O14" s="61">
        <v>1.8287037037037037E-3</v>
      </c>
      <c r="P14" s="61">
        <v>9.4026620370370365E-2</v>
      </c>
      <c r="Q14" s="59" t="s">
        <v>1514</v>
      </c>
      <c r="R14" s="8">
        <f t="shared" si="0"/>
        <v>901</v>
      </c>
    </row>
    <row r="15" spans="1:18">
      <c r="A15" s="59">
        <v>14</v>
      </c>
      <c r="B15" s="59">
        <v>319</v>
      </c>
      <c r="C15" s="60" t="s">
        <v>135</v>
      </c>
      <c r="D15" s="59" t="s">
        <v>178</v>
      </c>
      <c r="E15" s="59" t="s">
        <v>179</v>
      </c>
      <c r="F15" s="59" t="s">
        <v>158</v>
      </c>
      <c r="G15" s="59" t="s">
        <v>340</v>
      </c>
      <c r="H15" s="59" t="s">
        <v>1501</v>
      </c>
      <c r="I15" s="59">
        <v>14</v>
      </c>
      <c r="J15" s="61">
        <v>1.8023148148148149E-2</v>
      </c>
      <c r="K15" s="61">
        <v>6.3425925925925922E-4</v>
      </c>
      <c r="L15" s="61">
        <v>4.3737268518518523E-2</v>
      </c>
      <c r="M15" s="61">
        <v>5.5787037037037036E-4</v>
      </c>
      <c r="N15" s="61">
        <v>3.1300925925925926E-2</v>
      </c>
      <c r="O15" s="61">
        <v>1.1921296296296296E-3</v>
      </c>
      <c r="P15" s="61">
        <v>9.4255787037037034E-2</v>
      </c>
      <c r="Q15" s="59" t="s">
        <v>1515</v>
      </c>
      <c r="R15" s="8">
        <f t="shared" si="0"/>
        <v>899</v>
      </c>
    </row>
    <row r="16" spans="1:18">
      <c r="A16" s="59">
        <v>15</v>
      </c>
      <c r="B16" s="59">
        <v>272</v>
      </c>
      <c r="C16" s="60" t="s">
        <v>135</v>
      </c>
      <c r="D16" s="59" t="s">
        <v>1041</v>
      </c>
      <c r="E16" s="59" t="s">
        <v>1042</v>
      </c>
      <c r="F16" s="59" t="s">
        <v>173</v>
      </c>
      <c r="G16" s="59" t="s">
        <v>340</v>
      </c>
      <c r="H16" s="59" t="s">
        <v>1501</v>
      </c>
      <c r="I16" s="59">
        <v>15</v>
      </c>
      <c r="J16" s="61">
        <v>1.9465277777777776E-2</v>
      </c>
      <c r="K16" s="61">
        <v>9.1550925925925914E-4</v>
      </c>
      <c r="L16" s="61">
        <v>4.2064814814814819E-2</v>
      </c>
      <c r="M16" s="61">
        <v>1.1701388888888887E-3</v>
      </c>
      <c r="N16" s="61">
        <v>3.1013888888888889E-2</v>
      </c>
      <c r="O16" s="61">
        <v>2.0856481481481481E-3</v>
      </c>
      <c r="P16" s="61">
        <v>9.4631944444444449E-2</v>
      </c>
      <c r="Q16" s="59" t="s">
        <v>1516</v>
      </c>
      <c r="R16" s="8">
        <f t="shared" si="0"/>
        <v>895</v>
      </c>
    </row>
    <row r="17" spans="1:18">
      <c r="A17" s="59">
        <v>16</v>
      </c>
      <c r="B17" s="59">
        <v>282</v>
      </c>
      <c r="C17" s="60" t="s">
        <v>135</v>
      </c>
      <c r="D17" s="59" t="s">
        <v>184</v>
      </c>
      <c r="E17" s="59" t="s">
        <v>185</v>
      </c>
      <c r="F17" s="59" t="s">
        <v>148</v>
      </c>
      <c r="G17" s="59" t="s">
        <v>340</v>
      </c>
      <c r="H17" s="59" t="s">
        <v>1501</v>
      </c>
      <c r="I17" s="59">
        <v>16</v>
      </c>
      <c r="J17" s="61">
        <v>1.9877314814814816E-2</v>
      </c>
      <c r="K17" s="61">
        <v>8.9467592592592593E-4</v>
      </c>
      <c r="L17" s="61">
        <v>4.3153935185185184E-2</v>
      </c>
      <c r="M17" s="61">
        <v>1.0185185185185184E-3</v>
      </c>
      <c r="N17" s="61">
        <v>3.0092592592592591E-2</v>
      </c>
      <c r="O17" s="61">
        <v>1.9131944444444446E-3</v>
      </c>
      <c r="P17" s="61">
        <v>9.5039351851851847E-2</v>
      </c>
      <c r="Q17" s="59" t="s">
        <v>1517</v>
      </c>
      <c r="R17" s="8">
        <f t="shared" si="0"/>
        <v>891</v>
      </c>
    </row>
    <row r="18" spans="1:18">
      <c r="A18" s="59">
        <v>17</v>
      </c>
      <c r="B18" s="59">
        <v>147</v>
      </c>
      <c r="C18" s="60" t="s">
        <v>135</v>
      </c>
      <c r="D18" s="59" t="s">
        <v>1035</v>
      </c>
      <c r="E18" s="59" t="s">
        <v>1036</v>
      </c>
      <c r="F18" s="59"/>
      <c r="G18" s="59" t="s">
        <v>340</v>
      </c>
      <c r="H18" s="59" t="s">
        <v>1501</v>
      </c>
      <c r="I18" s="59">
        <v>17</v>
      </c>
      <c r="J18" s="61">
        <v>1.7511574074074075E-2</v>
      </c>
      <c r="K18" s="61">
        <v>8.1712962962962956E-4</v>
      </c>
      <c r="L18" s="61">
        <v>4.4104166666666667E-2</v>
      </c>
      <c r="M18" s="61">
        <v>9.710648148148149E-4</v>
      </c>
      <c r="N18" s="61">
        <v>3.1715277777777773E-2</v>
      </c>
      <c r="O18" s="61">
        <v>1.7881944444444445E-3</v>
      </c>
      <c r="P18" s="61">
        <v>9.5122685185185185E-2</v>
      </c>
      <c r="Q18" s="59" t="s">
        <v>1518</v>
      </c>
      <c r="R18" s="8">
        <f t="shared" si="0"/>
        <v>891</v>
      </c>
    </row>
    <row r="19" spans="1:18">
      <c r="A19" s="59">
        <v>18</v>
      </c>
      <c r="B19" s="59">
        <v>633</v>
      </c>
      <c r="C19" s="60" t="s">
        <v>135</v>
      </c>
      <c r="D19" s="59" t="s">
        <v>1519</v>
      </c>
      <c r="E19" s="59" t="s">
        <v>0</v>
      </c>
      <c r="F19" s="59" t="s">
        <v>838</v>
      </c>
      <c r="G19" s="59" t="s">
        <v>319</v>
      </c>
      <c r="H19" s="59" t="s">
        <v>1520</v>
      </c>
      <c r="I19" s="59">
        <v>1</v>
      </c>
      <c r="J19" s="61">
        <v>1.8023148148148149E-2</v>
      </c>
      <c r="K19" s="61">
        <v>7.1990740740740739E-4</v>
      </c>
      <c r="L19" s="61">
        <v>4.6900462962962963E-2</v>
      </c>
      <c r="M19" s="61">
        <v>5.6712962962962967E-4</v>
      </c>
      <c r="N19" s="61">
        <v>2.9280092592592594E-2</v>
      </c>
      <c r="O19" s="61">
        <v>1.2870370370370371E-3</v>
      </c>
      <c r="P19" s="61">
        <v>9.5490740740740737E-2</v>
      </c>
      <c r="Q19" s="59" t="s">
        <v>1521</v>
      </c>
      <c r="R19" s="8">
        <f t="shared" si="0"/>
        <v>887</v>
      </c>
    </row>
    <row r="20" spans="1:18">
      <c r="A20" s="59">
        <v>19</v>
      </c>
      <c r="B20" s="59">
        <v>629</v>
      </c>
      <c r="C20" s="60" t="s">
        <v>135</v>
      </c>
      <c r="D20" s="59" t="s">
        <v>715</v>
      </c>
      <c r="E20" s="59" t="s">
        <v>716</v>
      </c>
      <c r="F20" s="59" t="s">
        <v>173</v>
      </c>
      <c r="G20" s="59" t="s">
        <v>319</v>
      </c>
      <c r="H20" s="59" t="s">
        <v>1520</v>
      </c>
      <c r="I20" s="59">
        <v>2</v>
      </c>
      <c r="J20" s="61">
        <v>1.8023148148148149E-2</v>
      </c>
      <c r="K20" s="61">
        <v>6.8981481481481487E-4</v>
      </c>
      <c r="L20" s="61">
        <v>4.6908564814814813E-2</v>
      </c>
      <c r="M20" s="61">
        <v>6.226851851851851E-4</v>
      </c>
      <c r="N20" s="61">
        <v>2.9974537037037039E-2</v>
      </c>
      <c r="O20" s="61">
        <v>1.3125000000000001E-3</v>
      </c>
      <c r="P20" s="61">
        <v>9.6219907407407407E-2</v>
      </c>
      <c r="Q20" s="59" t="s">
        <v>1522</v>
      </c>
      <c r="R20" s="8">
        <f t="shared" si="0"/>
        <v>881</v>
      </c>
    </row>
    <row r="21" spans="1:18">
      <c r="A21" s="59">
        <v>20</v>
      </c>
      <c r="B21" s="59">
        <v>45</v>
      </c>
      <c r="C21" s="60" t="s">
        <v>135</v>
      </c>
      <c r="D21" s="59" t="s">
        <v>730</v>
      </c>
      <c r="E21" s="59" t="s">
        <v>731</v>
      </c>
      <c r="F21" s="59" t="s">
        <v>1523</v>
      </c>
      <c r="G21" s="59" t="s">
        <v>340</v>
      </c>
      <c r="H21" s="59" t="s">
        <v>1501</v>
      </c>
      <c r="I21" s="59">
        <v>18</v>
      </c>
      <c r="J21" s="61">
        <v>1.9939814814814813E-2</v>
      </c>
      <c r="K21" s="61">
        <v>7.4421296296296291E-4</v>
      </c>
      <c r="L21" s="61">
        <v>4.3236111111111107E-2</v>
      </c>
      <c r="M21" s="61">
        <v>8.0902777777777787E-4</v>
      </c>
      <c r="N21" s="61">
        <v>3.1700231481481482E-2</v>
      </c>
      <c r="O21" s="61">
        <v>1.5532407407407407E-3</v>
      </c>
      <c r="P21" s="61">
        <v>9.6432870370370363E-2</v>
      </c>
      <c r="Q21" s="59" t="s">
        <v>1524</v>
      </c>
      <c r="R21" s="8">
        <f t="shared" si="0"/>
        <v>879</v>
      </c>
    </row>
    <row r="22" spans="1:18">
      <c r="A22" s="59">
        <v>21</v>
      </c>
      <c r="B22" s="59">
        <v>251</v>
      </c>
      <c r="C22" s="60" t="s">
        <v>135</v>
      </c>
      <c r="D22" s="59" t="s">
        <v>1032</v>
      </c>
      <c r="E22" s="59" t="s">
        <v>1033</v>
      </c>
      <c r="F22" s="59" t="s">
        <v>339</v>
      </c>
      <c r="G22" s="59" t="s">
        <v>340</v>
      </c>
      <c r="H22" s="59" t="s">
        <v>1501</v>
      </c>
      <c r="I22" s="59">
        <v>19</v>
      </c>
      <c r="J22" s="61">
        <v>1.996875E-2</v>
      </c>
      <c r="K22" s="61">
        <v>6.9097222222222227E-4</v>
      </c>
      <c r="L22" s="61">
        <v>4.3230324074074074E-2</v>
      </c>
      <c r="M22" s="61">
        <v>9.907407407407406E-4</v>
      </c>
      <c r="N22" s="61">
        <v>3.1689814814814816E-2</v>
      </c>
      <c r="O22" s="61">
        <v>1.6817129629629632E-3</v>
      </c>
      <c r="P22" s="61">
        <v>9.6572916666666661E-2</v>
      </c>
      <c r="Q22" s="59" t="s">
        <v>279</v>
      </c>
      <c r="R22" s="8">
        <f t="shared" si="0"/>
        <v>877</v>
      </c>
    </row>
    <row r="23" spans="1:18">
      <c r="A23" s="59">
        <v>22</v>
      </c>
      <c r="B23" s="59">
        <v>237</v>
      </c>
      <c r="C23" s="60" t="s">
        <v>135</v>
      </c>
      <c r="D23" s="59" t="s">
        <v>378</v>
      </c>
      <c r="E23" s="59" t="s">
        <v>379</v>
      </c>
      <c r="F23" s="59"/>
      <c r="G23" s="59" t="s">
        <v>340</v>
      </c>
      <c r="H23" s="59" t="s">
        <v>1501</v>
      </c>
      <c r="I23" s="59">
        <v>20</v>
      </c>
      <c r="J23" s="61">
        <v>2.2229166666666664E-2</v>
      </c>
      <c r="K23" s="61">
        <v>1.1921296296296296E-3</v>
      </c>
      <c r="L23" s="61">
        <v>4.3954861111111111E-2</v>
      </c>
      <c r="M23" s="61">
        <v>8.8310185185185182E-4</v>
      </c>
      <c r="N23" s="61">
        <v>2.8398148148148148E-2</v>
      </c>
      <c r="O23" s="61">
        <v>2.0752314814814817E-3</v>
      </c>
      <c r="P23" s="61">
        <v>9.6659722222222216E-2</v>
      </c>
      <c r="Q23" s="59" t="s">
        <v>1525</v>
      </c>
      <c r="R23" s="8">
        <f t="shared" si="0"/>
        <v>876</v>
      </c>
    </row>
    <row r="24" spans="1:18">
      <c r="A24" s="59">
        <v>23</v>
      </c>
      <c r="B24" s="59">
        <v>72</v>
      </c>
      <c r="C24" s="60" t="s">
        <v>135</v>
      </c>
      <c r="D24" s="59" t="s">
        <v>372</v>
      </c>
      <c r="E24" s="59" t="s">
        <v>373</v>
      </c>
      <c r="F24" s="59"/>
      <c r="G24" s="59" t="s">
        <v>340</v>
      </c>
      <c r="H24" s="59" t="s">
        <v>1501</v>
      </c>
      <c r="I24" s="59">
        <v>21</v>
      </c>
      <c r="J24" s="61">
        <v>2.0778935185185185E-2</v>
      </c>
      <c r="K24" s="61">
        <v>7.372685185185185E-4</v>
      </c>
      <c r="L24" s="61">
        <v>4.4562499999999998E-2</v>
      </c>
      <c r="M24" s="61">
        <v>8.2638888888888898E-4</v>
      </c>
      <c r="N24" s="61">
        <v>2.98587962962963E-2</v>
      </c>
      <c r="O24" s="61">
        <v>1.5636574074074073E-3</v>
      </c>
      <c r="P24" s="61">
        <v>9.6766203703703701E-2</v>
      </c>
      <c r="Q24" s="59" t="s">
        <v>1526</v>
      </c>
      <c r="R24" s="8">
        <f t="shared" si="0"/>
        <v>876</v>
      </c>
    </row>
    <row r="25" spans="1:18">
      <c r="A25" s="59">
        <v>24</v>
      </c>
      <c r="B25" s="59">
        <v>22</v>
      </c>
      <c r="C25" s="60" t="s">
        <v>135</v>
      </c>
      <c r="D25" s="59" t="s">
        <v>1527</v>
      </c>
      <c r="E25" s="59" t="s">
        <v>0</v>
      </c>
      <c r="F25" s="59" t="s">
        <v>148</v>
      </c>
      <c r="G25" s="59" t="s">
        <v>340</v>
      </c>
      <c r="H25" s="59" t="s">
        <v>1501</v>
      </c>
      <c r="I25" s="59">
        <v>22</v>
      </c>
      <c r="J25" s="61">
        <v>2.1815972222222223E-2</v>
      </c>
      <c r="K25" s="61">
        <v>1.0833333333333333E-3</v>
      </c>
      <c r="L25" s="61">
        <v>4.4502314814814814E-2</v>
      </c>
      <c r="M25" s="61">
        <v>9.814814814814814E-4</v>
      </c>
      <c r="N25" s="61">
        <v>2.8577546296296295E-2</v>
      </c>
      <c r="O25" s="61">
        <v>2.0648148148148149E-3</v>
      </c>
      <c r="P25" s="61">
        <v>9.6962962962962973E-2</v>
      </c>
      <c r="Q25" s="59" t="s">
        <v>1528</v>
      </c>
      <c r="R25" s="8">
        <f t="shared" si="0"/>
        <v>874</v>
      </c>
    </row>
    <row r="26" spans="1:18">
      <c r="A26" s="59">
        <v>25</v>
      </c>
      <c r="B26" s="59">
        <v>142</v>
      </c>
      <c r="C26" s="60" t="s">
        <v>135</v>
      </c>
      <c r="D26" s="59" t="s">
        <v>1529</v>
      </c>
      <c r="E26" s="59" t="s">
        <v>1530</v>
      </c>
      <c r="F26" s="59"/>
      <c r="G26" s="59" t="s">
        <v>340</v>
      </c>
      <c r="H26" s="59" t="s">
        <v>1501</v>
      </c>
      <c r="I26" s="59">
        <v>23</v>
      </c>
      <c r="J26" s="61">
        <v>2.2430555555555554E-2</v>
      </c>
      <c r="K26" s="61">
        <v>9.9189814814814822E-4</v>
      </c>
      <c r="L26" s="61">
        <v>4.3913194444444442E-2</v>
      </c>
      <c r="M26" s="61">
        <v>8.8888888888888882E-4</v>
      </c>
      <c r="N26" s="61">
        <v>2.9393518518518517E-2</v>
      </c>
      <c r="O26" s="61">
        <v>1.8807870370370369E-3</v>
      </c>
      <c r="P26" s="61">
        <v>9.7621527777777772E-2</v>
      </c>
      <c r="Q26" s="59" t="s">
        <v>1531</v>
      </c>
      <c r="R26" s="8">
        <f t="shared" si="0"/>
        <v>868</v>
      </c>
    </row>
    <row r="27" spans="1:18">
      <c r="A27" s="59">
        <v>26</v>
      </c>
      <c r="B27" s="59">
        <v>65</v>
      </c>
      <c r="C27" s="60" t="s">
        <v>135</v>
      </c>
      <c r="D27" s="59" t="s">
        <v>1532</v>
      </c>
      <c r="E27" s="59" t="s">
        <v>1533</v>
      </c>
      <c r="F27" s="59"/>
      <c r="G27" s="59" t="s">
        <v>340</v>
      </c>
      <c r="H27" s="59" t="s">
        <v>1501</v>
      </c>
      <c r="I27" s="59">
        <v>24</v>
      </c>
      <c r="J27" s="61">
        <v>2.0789351851851854E-2</v>
      </c>
      <c r="K27" s="61">
        <v>8.3217592592592599E-4</v>
      </c>
      <c r="L27" s="61">
        <v>4.5715277777777778E-2</v>
      </c>
      <c r="M27" s="61">
        <v>1.1053240740740741E-3</v>
      </c>
      <c r="N27" s="61">
        <v>2.9872685185185186E-2</v>
      </c>
      <c r="O27" s="61">
        <v>1.9375E-3</v>
      </c>
      <c r="P27" s="61">
        <v>9.8317129629629629E-2</v>
      </c>
      <c r="Q27" s="59" t="s">
        <v>1534</v>
      </c>
      <c r="R27" s="8">
        <f t="shared" si="0"/>
        <v>862</v>
      </c>
    </row>
    <row r="28" spans="1:18">
      <c r="A28" s="59">
        <v>27</v>
      </c>
      <c r="B28" s="59">
        <v>166</v>
      </c>
      <c r="C28" s="60" t="s">
        <v>135</v>
      </c>
      <c r="D28" s="59" t="s">
        <v>1056</v>
      </c>
      <c r="E28" s="59" t="s">
        <v>1057</v>
      </c>
      <c r="F28" s="59" t="s">
        <v>1058</v>
      </c>
      <c r="G28" s="59" t="s">
        <v>340</v>
      </c>
      <c r="H28" s="59" t="s">
        <v>1501</v>
      </c>
      <c r="I28" s="59">
        <v>25</v>
      </c>
      <c r="J28" s="61">
        <v>1.9317129629629629E-2</v>
      </c>
      <c r="K28" s="61">
        <v>1.2581018518518518E-3</v>
      </c>
      <c r="L28" s="61">
        <v>4.3435185185185188E-2</v>
      </c>
      <c r="M28" s="61">
        <v>1.25E-3</v>
      </c>
      <c r="N28" s="61">
        <v>3.3296296296296296E-2</v>
      </c>
      <c r="O28" s="61">
        <v>2.5081018518518516E-3</v>
      </c>
      <c r="P28" s="61">
        <v>9.855902777777778E-2</v>
      </c>
      <c r="Q28" s="59" t="s">
        <v>1535</v>
      </c>
      <c r="R28" s="8">
        <f t="shared" si="0"/>
        <v>860</v>
      </c>
    </row>
    <row r="29" spans="1:18">
      <c r="A29" s="59">
        <v>28</v>
      </c>
      <c r="B29" s="59">
        <v>102</v>
      </c>
      <c r="C29" s="60" t="s">
        <v>135</v>
      </c>
      <c r="D29" s="59" t="s">
        <v>1536</v>
      </c>
      <c r="E29" s="59" t="s">
        <v>1537</v>
      </c>
      <c r="F29" s="59" t="s">
        <v>199</v>
      </c>
      <c r="G29" s="59" t="s">
        <v>340</v>
      </c>
      <c r="H29" s="59" t="s">
        <v>1501</v>
      </c>
      <c r="I29" s="59">
        <v>26</v>
      </c>
      <c r="J29" s="61">
        <v>2.216550925925926E-2</v>
      </c>
      <c r="K29" s="61">
        <v>1.0150462962962962E-3</v>
      </c>
      <c r="L29" s="61">
        <v>4.4130787037037038E-2</v>
      </c>
      <c r="M29" s="61">
        <v>8.9004629629629633E-4</v>
      </c>
      <c r="N29" s="61">
        <v>3.0518518518518521E-2</v>
      </c>
      <c r="O29" s="61">
        <v>1.9050925925925926E-3</v>
      </c>
      <c r="P29" s="61">
        <v>9.8722222222222225E-2</v>
      </c>
      <c r="Q29" s="59" t="s">
        <v>1538</v>
      </c>
      <c r="R29" s="8">
        <f t="shared" si="0"/>
        <v>858</v>
      </c>
    </row>
    <row r="30" spans="1:18">
      <c r="A30" s="59">
        <v>29</v>
      </c>
      <c r="B30" s="59">
        <v>264</v>
      </c>
      <c r="C30" s="60" t="s">
        <v>135</v>
      </c>
      <c r="D30" s="59" t="s">
        <v>771</v>
      </c>
      <c r="E30" s="59" t="s">
        <v>772</v>
      </c>
      <c r="F30" s="59" t="s">
        <v>189</v>
      </c>
      <c r="G30" s="59" t="s">
        <v>340</v>
      </c>
      <c r="H30" s="59" t="s">
        <v>1501</v>
      </c>
      <c r="I30" s="59">
        <v>27</v>
      </c>
      <c r="J30" s="61">
        <v>2.1983796296296296E-2</v>
      </c>
      <c r="K30" s="61">
        <v>9.8842592592592602E-4</v>
      </c>
      <c r="L30" s="61">
        <v>4.4410879629629627E-2</v>
      </c>
      <c r="M30" s="61">
        <v>7.8240740740740734E-4</v>
      </c>
      <c r="N30" s="61">
        <v>3.0584490740740742E-2</v>
      </c>
      <c r="O30" s="61">
        <v>1.7708333333333332E-3</v>
      </c>
      <c r="P30" s="61">
        <v>9.8752314814814821E-2</v>
      </c>
      <c r="Q30" s="59" t="s">
        <v>1539</v>
      </c>
      <c r="R30" s="8">
        <f t="shared" si="0"/>
        <v>858</v>
      </c>
    </row>
    <row r="31" spans="1:18" ht="29.1">
      <c r="A31" s="59">
        <v>30</v>
      </c>
      <c r="B31" s="59">
        <v>628</v>
      </c>
      <c r="C31" s="60" t="s">
        <v>135</v>
      </c>
      <c r="D31" s="59" t="s">
        <v>1540</v>
      </c>
      <c r="E31" s="59" t="s">
        <v>0</v>
      </c>
      <c r="F31" s="59" t="s">
        <v>1541</v>
      </c>
      <c r="G31" s="59" t="s">
        <v>319</v>
      </c>
      <c r="H31" s="59"/>
      <c r="I31" s="59"/>
      <c r="J31" s="61">
        <v>1.6849537037037038E-2</v>
      </c>
      <c r="K31" s="61">
        <v>6.6782407407407415E-4</v>
      </c>
      <c r="L31" s="61">
        <v>4.8112268518518513E-2</v>
      </c>
      <c r="M31" s="61">
        <v>5.9374999999999999E-4</v>
      </c>
      <c r="N31" s="61">
        <v>3.2574074074074075E-2</v>
      </c>
      <c r="O31" s="61">
        <v>1.261574074074074E-3</v>
      </c>
      <c r="P31" s="61">
        <v>9.8800925925925917E-2</v>
      </c>
      <c r="Q31" s="59" t="s">
        <v>1542</v>
      </c>
      <c r="R31" s="8">
        <f t="shared" si="0"/>
        <v>858</v>
      </c>
    </row>
    <row r="32" spans="1:18">
      <c r="A32" s="59">
        <v>31</v>
      </c>
      <c r="B32" s="59">
        <v>300</v>
      </c>
      <c r="C32" s="60" t="s">
        <v>135</v>
      </c>
      <c r="D32" s="59" t="s">
        <v>1543</v>
      </c>
      <c r="E32" s="59" t="s">
        <v>0</v>
      </c>
      <c r="F32" s="59" t="s">
        <v>148</v>
      </c>
      <c r="G32" s="59" t="s">
        <v>340</v>
      </c>
      <c r="H32" s="59" t="s">
        <v>1501</v>
      </c>
      <c r="I32" s="59">
        <v>28</v>
      </c>
      <c r="J32" s="61">
        <v>1.9912037037037037E-2</v>
      </c>
      <c r="K32" s="61">
        <v>1.0243055555555556E-3</v>
      </c>
      <c r="L32" s="61">
        <v>4.5103009259259259E-2</v>
      </c>
      <c r="M32" s="61">
        <v>1.0659722222222221E-3</v>
      </c>
      <c r="N32" s="61">
        <v>3.1849537037037037E-2</v>
      </c>
      <c r="O32" s="61">
        <v>2.0902777777777777E-3</v>
      </c>
      <c r="P32" s="61">
        <v>9.8957175925925928E-2</v>
      </c>
      <c r="Q32" s="59" t="s">
        <v>1544</v>
      </c>
      <c r="R32" s="8">
        <f t="shared" si="0"/>
        <v>856</v>
      </c>
    </row>
    <row r="33" spans="1:18">
      <c r="A33" s="59">
        <v>32</v>
      </c>
      <c r="B33" s="59">
        <v>316</v>
      </c>
      <c r="C33" s="60" t="s">
        <v>135</v>
      </c>
      <c r="D33" s="59" t="s">
        <v>1545</v>
      </c>
      <c r="E33" s="59" t="s">
        <v>0</v>
      </c>
      <c r="F33" s="59" t="s">
        <v>189</v>
      </c>
      <c r="G33" s="59" t="s">
        <v>340</v>
      </c>
      <c r="H33" s="59" t="s">
        <v>1501</v>
      </c>
      <c r="I33" s="59">
        <v>29</v>
      </c>
      <c r="J33" s="61">
        <v>2.2052083333333333E-2</v>
      </c>
      <c r="K33" s="61">
        <v>1.1319444444444443E-3</v>
      </c>
      <c r="L33" s="61">
        <v>4.4166666666666667E-2</v>
      </c>
      <c r="M33" s="61">
        <v>8.495370370370371E-4</v>
      </c>
      <c r="N33" s="61">
        <v>3.1091435185185187E-2</v>
      </c>
      <c r="O33" s="61">
        <v>1.9814814814814812E-3</v>
      </c>
      <c r="P33" s="61">
        <v>9.9293981481481483E-2</v>
      </c>
      <c r="Q33" s="59" t="s">
        <v>1546</v>
      </c>
      <c r="R33" s="8">
        <f t="shared" si="0"/>
        <v>853</v>
      </c>
    </row>
    <row r="34" spans="1:18">
      <c r="A34" s="59">
        <v>33</v>
      </c>
      <c r="B34" s="59">
        <v>269</v>
      </c>
      <c r="C34" s="60" t="s">
        <v>135</v>
      </c>
      <c r="D34" s="59" t="s">
        <v>432</v>
      </c>
      <c r="E34" s="59" t="s">
        <v>433</v>
      </c>
      <c r="F34" s="59" t="s">
        <v>434</v>
      </c>
      <c r="G34" s="59" t="s">
        <v>340</v>
      </c>
      <c r="H34" s="59" t="s">
        <v>1501</v>
      </c>
      <c r="I34" s="59">
        <v>30</v>
      </c>
      <c r="J34" s="61">
        <v>2.3521990740740739E-2</v>
      </c>
      <c r="K34" s="61">
        <v>8.5416666666666659E-4</v>
      </c>
      <c r="L34" s="61">
        <v>4.5164351851851851E-2</v>
      </c>
      <c r="M34" s="61">
        <v>1.0474537037037037E-3</v>
      </c>
      <c r="N34" s="61">
        <v>2.8714120370370372E-2</v>
      </c>
      <c r="O34" s="61">
        <v>1.9016203703703706E-3</v>
      </c>
      <c r="P34" s="61">
        <v>9.9304398148148149E-2</v>
      </c>
      <c r="Q34" s="59" t="s">
        <v>1547</v>
      </c>
      <c r="R34" s="8">
        <f t="shared" si="0"/>
        <v>853</v>
      </c>
    </row>
    <row r="35" spans="1:18">
      <c r="A35" s="59">
        <v>34</v>
      </c>
      <c r="B35" s="59">
        <v>293</v>
      </c>
      <c r="C35" s="60" t="s">
        <v>135</v>
      </c>
      <c r="D35" s="59" t="s">
        <v>461</v>
      </c>
      <c r="E35" s="59" t="s">
        <v>462</v>
      </c>
      <c r="F35" s="59"/>
      <c r="G35" s="59" t="s">
        <v>340</v>
      </c>
      <c r="H35" s="59" t="s">
        <v>1501</v>
      </c>
      <c r="I35" s="59">
        <v>31</v>
      </c>
      <c r="J35" s="61">
        <v>2.1916666666666664E-2</v>
      </c>
      <c r="K35" s="61">
        <v>1.4305555555555556E-3</v>
      </c>
      <c r="L35" s="61">
        <v>4.410185185185185E-2</v>
      </c>
      <c r="M35" s="61">
        <v>7.6967592592592593E-4</v>
      </c>
      <c r="N35" s="61">
        <v>3.129861111111111E-2</v>
      </c>
      <c r="O35" s="61">
        <v>2.2002314814814814E-3</v>
      </c>
      <c r="P35" s="61">
        <v>9.9520833333333336E-2</v>
      </c>
      <c r="Q35" s="59" t="s">
        <v>1548</v>
      </c>
      <c r="R35" s="8">
        <f t="shared" si="0"/>
        <v>851</v>
      </c>
    </row>
    <row r="36" spans="1:18">
      <c r="A36" s="59">
        <v>35</v>
      </c>
      <c r="B36" s="59">
        <v>290</v>
      </c>
      <c r="C36" s="60" t="s">
        <v>135</v>
      </c>
      <c r="D36" s="59" t="s">
        <v>1549</v>
      </c>
      <c r="E36" s="59" t="s">
        <v>0</v>
      </c>
      <c r="F36" s="59"/>
      <c r="G36" s="59" t="s">
        <v>340</v>
      </c>
      <c r="H36" s="59" t="s">
        <v>1501</v>
      </c>
      <c r="I36" s="59">
        <v>32</v>
      </c>
      <c r="J36" s="61">
        <v>2.2061342592592591E-2</v>
      </c>
      <c r="K36" s="61">
        <v>1.3043981481481483E-3</v>
      </c>
      <c r="L36" s="61">
        <v>4.4052083333333332E-2</v>
      </c>
      <c r="M36" s="61">
        <v>8.7384259259259262E-4</v>
      </c>
      <c r="N36" s="61">
        <v>3.1241898148148151E-2</v>
      </c>
      <c r="O36" s="61">
        <v>2.1782407407407406E-3</v>
      </c>
      <c r="P36" s="61">
        <v>9.953587962962962E-2</v>
      </c>
      <c r="Q36" s="59" t="s">
        <v>1550</v>
      </c>
      <c r="R36" s="8">
        <f t="shared" si="0"/>
        <v>851</v>
      </c>
    </row>
    <row r="37" spans="1:18">
      <c r="A37" s="59">
        <v>36</v>
      </c>
      <c r="B37" s="59">
        <v>36</v>
      </c>
      <c r="C37" s="60" t="s">
        <v>135</v>
      </c>
      <c r="D37" s="59" t="s">
        <v>165</v>
      </c>
      <c r="E37" s="59" t="s">
        <v>166</v>
      </c>
      <c r="F37" s="59" t="s">
        <v>138</v>
      </c>
      <c r="G37" s="59" t="s">
        <v>340</v>
      </c>
      <c r="H37" s="59" t="s">
        <v>1501</v>
      </c>
      <c r="I37" s="59">
        <v>33</v>
      </c>
      <c r="J37" s="61">
        <v>1.9964120370370372E-2</v>
      </c>
      <c r="K37" s="61">
        <v>8.3564814814814819E-4</v>
      </c>
      <c r="L37" s="61">
        <v>4.6565972222222224E-2</v>
      </c>
      <c r="M37" s="61">
        <v>9.780092592592592E-4</v>
      </c>
      <c r="N37" s="61">
        <v>3.1795138888888887E-2</v>
      </c>
      <c r="O37" s="61">
        <v>1.8136574074074073E-3</v>
      </c>
      <c r="P37" s="61">
        <v>0.10014120370370372</v>
      </c>
      <c r="Q37" s="59" t="s">
        <v>1551</v>
      </c>
      <c r="R37" s="8">
        <f t="shared" si="0"/>
        <v>846</v>
      </c>
    </row>
    <row r="38" spans="1:18">
      <c r="A38" s="59">
        <v>37</v>
      </c>
      <c r="B38" s="59">
        <v>134</v>
      </c>
      <c r="C38" s="60" t="s">
        <v>135</v>
      </c>
      <c r="D38" s="59" t="s">
        <v>1552</v>
      </c>
      <c r="E38" s="59" t="s">
        <v>0</v>
      </c>
      <c r="F38" s="59"/>
      <c r="G38" s="59" t="s">
        <v>340</v>
      </c>
      <c r="H38" s="59" t="s">
        <v>1501</v>
      </c>
      <c r="I38" s="59">
        <v>34</v>
      </c>
      <c r="J38" s="61">
        <v>2.3417824074074074E-2</v>
      </c>
      <c r="K38" s="61">
        <v>1.1122685185185185E-3</v>
      </c>
      <c r="L38" s="61">
        <v>4.4962962962962968E-2</v>
      </c>
      <c r="M38" s="61">
        <v>7.6041666666666673E-4</v>
      </c>
      <c r="N38" s="61">
        <v>3.0001157407407407E-2</v>
      </c>
      <c r="O38" s="61">
        <v>1.8726851851851853E-3</v>
      </c>
      <c r="P38" s="61">
        <v>0.10025694444444445</v>
      </c>
      <c r="Q38" s="59" t="s">
        <v>1553</v>
      </c>
      <c r="R38" s="8">
        <f t="shared" si="0"/>
        <v>845</v>
      </c>
    </row>
    <row r="39" spans="1:18">
      <c r="A39" s="59">
        <v>38</v>
      </c>
      <c r="B39" s="59">
        <v>94</v>
      </c>
      <c r="C39" s="60" t="s">
        <v>135</v>
      </c>
      <c r="D39" s="59" t="s">
        <v>386</v>
      </c>
      <c r="E39" s="59" t="s">
        <v>387</v>
      </c>
      <c r="F39" s="59"/>
      <c r="G39" s="59" t="s">
        <v>340</v>
      </c>
      <c r="H39" s="59" t="s">
        <v>1501</v>
      </c>
      <c r="I39" s="59">
        <v>35</v>
      </c>
      <c r="J39" s="61">
        <v>2.2929398148148147E-2</v>
      </c>
      <c r="K39" s="61">
        <v>1.1898148148148148E-3</v>
      </c>
      <c r="L39" s="61">
        <v>4.5444444444444447E-2</v>
      </c>
      <c r="M39" s="61">
        <v>7.245370370370371E-4</v>
      </c>
      <c r="N39" s="61">
        <v>3.0039351851851852E-2</v>
      </c>
      <c r="O39" s="61">
        <v>1.914351851851852E-3</v>
      </c>
      <c r="P39" s="61">
        <v>0.10032986111111111</v>
      </c>
      <c r="Q39" s="59" t="s">
        <v>1284</v>
      </c>
      <c r="R39" s="8">
        <f t="shared" si="0"/>
        <v>844</v>
      </c>
    </row>
    <row r="40" spans="1:18">
      <c r="A40" s="59">
        <v>39</v>
      </c>
      <c r="B40" s="59">
        <v>86</v>
      </c>
      <c r="C40" s="60" t="s">
        <v>135</v>
      </c>
      <c r="D40" s="59" t="s">
        <v>687</v>
      </c>
      <c r="E40" s="59" t="s">
        <v>688</v>
      </c>
      <c r="F40" s="59" t="s">
        <v>189</v>
      </c>
      <c r="G40" s="59" t="s">
        <v>340</v>
      </c>
      <c r="H40" s="59" t="s">
        <v>1501</v>
      </c>
      <c r="I40" s="59">
        <v>36</v>
      </c>
      <c r="J40" s="61">
        <v>2.4193287037037037E-2</v>
      </c>
      <c r="K40" s="61">
        <v>8.437500000000001E-4</v>
      </c>
      <c r="L40" s="61">
        <v>4.4408564814814817E-2</v>
      </c>
      <c r="M40" s="61">
        <v>8.9120370370370373E-4</v>
      </c>
      <c r="N40" s="61">
        <v>3.0504629629629628E-2</v>
      </c>
      <c r="O40" s="61">
        <v>1.7349537037037038E-3</v>
      </c>
      <c r="P40" s="61">
        <v>0.10084259259259258</v>
      </c>
      <c r="Q40" s="59" t="s">
        <v>1554</v>
      </c>
      <c r="R40" s="8">
        <f t="shared" si="0"/>
        <v>840</v>
      </c>
    </row>
    <row r="41" spans="1:18">
      <c r="A41" s="59">
        <v>40</v>
      </c>
      <c r="B41" s="59">
        <v>273</v>
      </c>
      <c r="C41" s="60" t="s">
        <v>135</v>
      </c>
      <c r="D41" s="59" t="s">
        <v>1555</v>
      </c>
      <c r="E41" s="59" t="s">
        <v>1556</v>
      </c>
      <c r="F41" s="59" t="s">
        <v>189</v>
      </c>
      <c r="G41" s="59" t="s">
        <v>340</v>
      </c>
      <c r="H41" s="59" t="s">
        <v>1501</v>
      </c>
      <c r="I41" s="59">
        <v>37</v>
      </c>
      <c r="J41" s="61">
        <v>2.2231481481481481E-2</v>
      </c>
      <c r="K41" s="61">
        <v>8.4837962962962959E-4</v>
      </c>
      <c r="L41" s="61">
        <v>4.4300925925925924E-2</v>
      </c>
      <c r="M41" s="61">
        <v>8.6458333333333341E-4</v>
      </c>
      <c r="N41" s="61">
        <v>3.2644675925925924E-2</v>
      </c>
      <c r="O41" s="61">
        <v>1.712962962962963E-3</v>
      </c>
      <c r="P41" s="61">
        <v>0.10089120370370371</v>
      </c>
      <c r="Q41" s="59" t="s">
        <v>1557</v>
      </c>
      <c r="R41" s="8">
        <f t="shared" si="0"/>
        <v>840</v>
      </c>
    </row>
    <row r="42" spans="1:18">
      <c r="A42" s="59">
        <v>41</v>
      </c>
      <c r="B42" s="59">
        <v>49</v>
      </c>
      <c r="C42" s="60" t="s">
        <v>135</v>
      </c>
      <c r="D42" s="59" t="s">
        <v>187</v>
      </c>
      <c r="E42" s="59" t="s">
        <v>188</v>
      </c>
      <c r="F42" s="59" t="s">
        <v>189</v>
      </c>
      <c r="G42" s="59" t="s">
        <v>340</v>
      </c>
      <c r="H42" s="59" t="s">
        <v>1501</v>
      </c>
      <c r="I42" s="59">
        <v>38</v>
      </c>
      <c r="J42" s="61">
        <v>2.0236111111111111E-2</v>
      </c>
      <c r="K42" s="61">
        <v>7.8703703703703705E-4</v>
      </c>
      <c r="L42" s="61">
        <v>4.6376157407407408E-2</v>
      </c>
      <c r="M42" s="61">
        <v>7.4421296296296291E-4</v>
      </c>
      <c r="N42" s="61">
        <v>3.2856481481481487E-2</v>
      </c>
      <c r="O42" s="61">
        <v>1.5312500000000001E-3</v>
      </c>
      <c r="P42" s="61">
        <v>0.10100231481481482</v>
      </c>
      <c r="Q42" s="59" t="s">
        <v>1558</v>
      </c>
      <c r="R42" s="8">
        <f t="shared" si="0"/>
        <v>839</v>
      </c>
    </row>
    <row r="43" spans="1:18">
      <c r="A43" s="59">
        <v>42</v>
      </c>
      <c r="B43" s="59">
        <v>64</v>
      </c>
      <c r="C43" s="60" t="s">
        <v>135</v>
      </c>
      <c r="D43" s="59" t="s">
        <v>233</v>
      </c>
      <c r="E43" s="59" t="s">
        <v>234</v>
      </c>
      <c r="F43" s="59" t="s">
        <v>199</v>
      </c>
      <c r="G43" s="59" t="s">
        <v>340</v>
      </c>
      <c r="H43" s="59" t="s">
        <v>1501</v>
      </c>
      <c r="I43" s="59">
        <v>39</v>
      </c>
      <c r="J43" s="61">
        <v>2.1861111111111109E-2</v>
      </c>
      <c r="K43" s="61">
        <v>1.0995370370370371E-3</v>
      </c>
      <c r="L43" s="61">
        <v>4.4503472222222222E-2</v>
      </c>
      <c r="M43" s="61">
        <v>9.0277777777777774E-4</v>
      </c>
      <c r="N43" s="61">
        <v>3.2711805555555556E-2</v>
      </c>
      <c r="O43" s="61">
        <v>2.0023148148148148E-3</v>
      </c>
      <c r="P43" s="61">
        <v>0.10108101851851851</v>
      </c>
      <c r="Q43" s="59" t="s">
        <v>1559</v>
      </c>
      <c r="R43" s="8">
        <f t="shared" si="0"/>
        <v>838</v>
      </c>
    </row>
    <row r="44" spans="1:18">
      <c r="A44" s="59">
        <v>43</v>
      </c>
      <c r="B44" s="59">
        <v>95</v>
      </c>
      <c r="C44" s="60" t="s">
        <v>135</v>
      </c>
      <c r="D44" s="59" t="s">
        <v>425</v>
      </c>
      <c r="E44" s="59" t="s">
        <v>426</v>
      </c>
      <c r="F44" s="59"/>
      <c r="G44" s="59" t="s">
        <v>340</v>
      </c>
      <c r="H44" s="59" t="s">
        <v>1501</v>
      </c>
      <c r="I44" s="59">
        <v>40</v>
      </c>
      <c r="J44" s="61">
        <v>2.5089120370370369E-2</v>
      </c>
      <c r="K44" s="61">
        <v>1.0324074074074074E-3</v>
      </c>
      <c r="L44" s="61">
        <v>4.5336805555555554E-2</v>
      </c>
      <c r="M44" s="61">
        <v>9.6296296296296299E-4</v>
      </c>
      <c r="N44" s="61">
        <v>2.8825231481481483E-2</v>
      </c>
      <c r="O44" s="61">
        <v>1.9953703703703704E-3</v>
      </c>
      <c r="P44" s="61">
        <v>0.10125000000000001</v>
      </c>
      <c r="Q44" s="59" t="s">
        <v>1560</v>
      </c>
      <c r="R44" s="8">
        <f t="shared" si="0"/>
        <v>837</v>
      </c>
    </row>
    <row r="45" spans="1:18">
      <c r="A45" s="59">
        <v>44</v>
      </c>
      <c r="B45" s="59">
        <v>275</v>
      </c>
      <c r="C45" s="60" t="s">
        <v>135</v>
      </c>
      <c r="D45" s="59" t="s">
        <v>1561</v>
      </c>
      <c r="E45" s="59" t="s">
        <v>0</v>
      </c>
      <c r="F45" s="59" t="s">
        <v>189</v>
      </c>
      <c r="G45" s="59" t="s">
        <v>340</v>
      </c>
      <c r="H45" s="59" t="s">
        <v>1501</v>
      </c>
      <c r="I45" s="59">
        <v>41</v>
      </c>
      <c r="J45" s="61">
        <v>2.5322916666666667E-2</v>
      </c>
      <c r="K45" s="61">
        <v>8.3333333333333339E-4</v>
      </c>
      <c r="L45" s="61">
        <v>4.5263888888888888E-2</v>
      </c>
      <c r="M45" s="61">
        <v>1.1446759259259259E-3</v>
      </c>
      <c r="N45" s="61">
        <v>2.8972222222222219E-2</v>
      </c>
      <c r="O45" s="61">
        <v>1.9780092592592592E-3</v>
      </c>
      <c r="P45" s="61">
        <v>0.10153819444444444</v>
      </c>
      <c r="Q45" s="59" t="s">
        <v>1562</v>
      </c>
      <c r="R45" s="8">
        <f t="shared" si="0"/>
        <v>834</v>
      </c>
    </row>
    <row r="46" spans="1:18">
      <c r="A46" s="59">
        <v>45</v>
      </c>
      <c r="B46" s="59">
        <v>292</v>
      </c>
      <c r="C46" s="60" t="s">
        <v>135</v>
      </c>
      <c r="D46" s="59" t="s">
        <v>1563</v>
      </c>
      <c r="E46" s="59" t="s">
        <v>1564</v>
      </c>
      <c r="F46" s="59" t="s">
        <v>203</v>
      </c>
      <c r="G46" s="59" t="s">
        <v>340</v>
      </c>
      <c r="H46" s="59" t="s">
        <v>1501</v>
      </c>
      <c r="I46" s="59">
        <v>42</v>
      </c>
      <c r="J46" s="61">
        <v>2.5256944444444443E-2</v>
      </c>
      <c r="K46" s="61">
        <v>1.2372685185185186E-3</v>
      </c>
      <c r="L46" s="61">
        <v>4.4884259259259263E-2</v>
      </c>
      <c r="M46" s="61">
        <v>1.0069444444444444E-3</v>
      </c>
      <c r="N46" s="61">
        <v>2.9180555555555553E-2</v>
      </c>
      <c r="O46" s="61">
        <v>2.244212962962963E-3</v>
      </c>
      <c r="P46" s="61">
        <v>0.10156712962962963</v>
      </c>
      <c r="Q46" s="59" t="s">
        <v>1565</v>
      </c>
      <c r="R46" s="8">
        <f t="shared" si="0"/>
        <v>834</v>
      </c>
    </row>
    <row r="47" spans="1:18">
      <c r="A47" s="59">
        <v>46</v>
      </c>
      <c r="B47" s="59">
        <v>195</v>
      </c>
      <c r="C47" s="60" t="s">
        <v>135</v>
      </c>
      <c r="D47" s="59" t="s">
        <v>381</v>
      </c>
      <c r="E47" s="59" t="s">
        <v>382</v>
      </c>
      <c r="F47" s="59" t="s">
        <v>138</v>
      </c>
      <c r="G47" s="59" t="s">
        <v>340</v>
      </c>
      <c r="H47" s="59" t="s">
        <v>1501</v>
      </c>
      <c r="I47" s="59">
        <v>43</v>
      </c>
      <c r="J47" s="61">
        <v>2.2859953703703702E-2</v>
      </c>
      <c r="K47" s="61">
        <v>8.7152777777777771E-4</v>
      </c>
      <c r="L47" s="61">
        <v>4.5784722222222227E-2</v>
      </c>
      <c r="M47" s="61">
        <v>1.0023148148148148E-3</v>
      </c>
      <c r="N47" s="61">
        <v>3.1189814814814816E-2</v>
      </c>
      <c r="O47" s="61">
        <v>1.8738425925925927E-3</v>
      </c>
      <c r="P47" s="61">
        <v>0.10171064814814813</v>
      </c>
      <c r="Q47" s="59" t="s">
        <v>1566</v>
      </c>
      <c r="R47" s="8">
        <f t="shared" si="0"/>
        <v>833</v>
      </c>
    </row>
    <row r="48" spans="1:18">
      <c r="A48" s="59">
        <v>47</v>
      </c>
      <c r="B48" s="59">
        <v>26</v>
      </c>
      <c r="C48" s="60" t="s">
        <v>135</v>
      </c>
      <c r="D48" s="59" t="s">
        <v>1567</v>
      </c>
      <c r="E48" s="59" t="s">
        <v>0</v>
      </c>
      <c r="F48" s="59" t="s">
        <v>1568</v>
      </c>
      <c r="G48" s="59" t="s">
        <v>340</v>
      </c>
      <c r="H48" s="59" t="s">
        <v>1501</v>
      </c>
      <c r="I48" s="59">
        <v>44</v>
      </c>
      <c r="J48" s="61">
        <v>1.7748842592592594E-2</v>
      </c>
      <c r="K48" s="61">
        <v>1.1192129629629629E-3</v>
      </c>
      <c r="L48" s="61">
        <v>4.3612268518518515E-2</v>
      </c>
      <c r="M48" s="61">
        <v>1.2546296296296296E-3</v>
      </c>
      <c r="N48" s="61">
        <v>3.8055555555555558E-2</v>
      </c>
      <c r="O48" s="61">
        <v>2.3738425925925923E-3</v>
      </c>
      <c r="P48" s="61">
        <v>0.10179166666666666</v>
      </c>
      <c r="Q48" s="59" t="s">
        <v>1569</v>
      </c>
      <c r="R48" s="8">
        <f t="shared" si="0"/>
        <v>832</v>
      </c>
    </row>
    <row r="49" spans="1:18">
      <c r="A49" s="59">
        <v>48</v>
      </c>
      <c r="B49" s="59">
        <v>198</v>
      </c>
      <c r="C49" s="60" t="s">
        <v>135</v>
      </c>
      <c r="D49" s="59" t="s">
        <v>201</v>
      </c>
      <c r="E49" s="59" t="s">
        <v>202</v>
      </c>
      <c r="F49" s="59" t="s">
        <v>203</v>
      </c>
      <c r="G49" s="59" t="s">
        <v>340</v>
      </c>
      <c r="H49" s="59" t="s">
        <v>1501</v>
      </c>
      <c r="I49" s="59">
        <v>45</v>
      </c>
      <c r="J49" s="61">
        <v>2.4818287037037038E-2</v>
      </c>
      <c r="K49" s="61">
        <v>1.2326388888888888E-3</v>
      </c>
      <c r="L49" s="61">
        <v>4.5425925925925925E-2</v>
      </c>
      <c r="M49" s="61">
        <v>1.1157407407407407E-3</v>
      </c>
      <c r="N49" s="61">
        <v>2.9221064814814814E-2</v>
      </c>
      <c r="O49" s="61">
        <v>2.3483796296296295E-3</v>
      </c>
      <c r="P49" s="61">
        <v>0.10181597222222222</v>
      </c>
      <c r="Q49" s="59" t="s">
        <v>1570</v>
      </c>
      <c r="R49" s="8">
        <f t="shared" si="0"/>
        <v>832</v>
      </c>
    </row>
    <row r="50" spans="1:18">
      <c r="A50" s="59">
        <v>49</v>
      </c>
      <c r="B50" s="59">
        <v>306</v>
      </c>
      <c r="C50" s="60" t="s">
        <v>135</v>
      </c>
      <c r="D50" s="59" t="s">
        <v>217</v>
      </c>
      <c r="E50" s="59" t="s">
        <v>218</v>
      </c>
      <c r="F50" s="59" t="s">
        <v>219</v>
      </c>
      <c r="G50" s="59" t="s">
        <v>340</v>
      </c>
      <c r="H50" s="59" t="s">
        <v>1501</v>
      </c>
      <c r="I50" s="59">
        <v>46</v>
      </c>
      <c r="J50" s="61">
        <v>2.2310185185185183E-2</v>
      </c>
      <c r="K50" s="61">
        <v>1.3067129629629631E-3</v>
      </c>
      <c r="L50" s="61">
        <v>4.5815972222222223E-2</v>
      </c>
      <c r="M50" s="61">
        <v>7.9513888888888896E-4</v>
      </c>
      <c r="N50" s="61">
        <v>3.1813657407407409E-2</v>
      </c>
      <c r="O50" s="61">
        <v>2.1018518518518517E-3</v>
      </c>
      <c r="P50" s="61">
        <v>0.10204282407407407</v>
      </c>
      <c r="Q50" s="59" t="s">
        <v>1571</v>
      </c>
      <c r="R50" s="8">
        <f t="shared" si="0"/>
        <v>830</v>
      </c>
    </row>
    <row r="51" spans="1:18">
      <c r="A51" s="59">
        <v>50</v>
      </c>
      <c r="B51" s="59">
        <v>199</v>
      </c>
      <c r="C51" s="60" t="s">
        <v>135</v>
      </c>
      <c r="D51" s="59" t="s">
        <v>752</v>
      </c>
      <c r="E51" s="59" t="s">
        <v>753</v>
      </c>
      <c r="F51" s="59" t="s">
        <v>173</v>
      </c>
      <c r="G51" s="59" t="s">
        <v>340</v>
      </c>
      <c r="H51" s="59" t="s">
        <v>1501</v>
      </c>
      <c r="I51" s="59">
        <v>47</v>
      </c>
      <c r="J51" s="61">
        <v>2.061574074074074E-2</v>
      </c>
      <c r="K51" s="61">
        <v>1.3541666666666667E-3</v>
      </c>
      <c r="L51" s="61">
        <v>4.5480324074074076E-2</v>
      </c>
      <c r="M51" s="61">
        <v>8.7268518518518522E-4</v>
      </c>
      <c r="N51" s="61">
        <v>3.3746527777777778E-2</v>
      </c>
      <c r="O51" s="61">
        <v>2.2268518518518518E-3</v>
      </c>
      <c r="P51" s="61">
        <v>0.10207175925925926</v>
      </c>
      <c r="Q51" s="59" t="s">
        <v>1572</v>
      </c>
      <c r="R51" s="8">
        <f t="shared" si="0"/>
        <v>830</v>
      </c>
    </row>
    <row r="52" spans="1:18">
      <c r="A52" s="59">
        <v>51</v>
      </c>
      <c r="B52" s="59">
        <v>261</v>
      </c>
      <c r="C52" s="60" t="s">
        <v>135</v>
      </c>
      <c r="D52" s="59" t="s">
        <v>227</v>
      </c>
      <c r="E52" s="59" t="s">
        <v>228</v>
      </c>
      <c r="F52" s="59" t="s">
        <v>199</v>
      </c>
      <c r="G52" s="59" t="s">
        <v>340</v>
      </c>
      <c r="H52" s="59" t="s">
        <v>1501</v>
      </c>
      <c r="I52" s="59">
        <v>48</v>
      </c>
      <c r="J52" s="61">
        <v>2.3620370370370371E-2</v>
      </c>
      <c r="K52" s="61">
        <v>1.1921296296296296E-3</v>
      </c>
      <c r="L52" s="61">
        <v>4.4645833333333336E-2</v>
      </c>
      <c r="M52" s="61">
        <v>8.3564814814814819E-4</v>
      </c>
      <c r="N52" s="61">
        <v>3.1805555555555552E-2</v>
      </c>
      <c r="O52" s="61">
        <v>2.0277777777777777E-3</v>
      </c>
      <c r="P52" s="61">
        <v>0.10210185185185186</v>
      </c>
      <c r="Q52" s="59" t="s">
        <v>1573</v>
      </c>
      <c r="R52" s="8">
        <f t="shared" si="0"/>
        <v>830</v>
      </c>
    </row>
    <row r="53" spans="1:18">
      <c r="A53" s="59">
        <v>52</v>
      </c>
      <c r="B53" s="59">
        <v>271</v>
      </c>
      <c r="C53" s="60" t="s">
        <v>135</v>
      </c>
      <c r="D53" s="59" t="s">
        <v>1574</v>
      </c>
      <c r="E53" s="59" t="s">
        <v>1575</v>
      </c>
      <c r="F53" s="59" t="s">
        <v>189</v>
      </c>
      <c r="G53" s="59" t="s">
        <v>340</v>
      </c>
      <c r="H53" s="59" t="s">
        <v>1501</v>
      </c>
      <c r="I53" s="59">
        <v>49</v>
      </c>
      <c r="J53" s="61">
        <v>2.5451388888888888E-2</v>
      </c>
      <c r="K53" s="61">
        <v>1.0312499999999998E-3</v>
      </c>
      <c r="L53" s="61">
        <v>4.494444444444444E-2</v>
      </c>
      <c r="M53" s="61">
        <v>1.0046296296296296E-3</v>
      </c>
      <c r="N53" s="61">
        <v>2.9672453703703701E-2</v>
      </c>
      <c r="O53" s="61">
        <v>2.0358796296296297E-3</v>
      </c>
      <c r="P53" s="61">
        <v>0.10210648148148148</v>
      </c>
      <c r="Q53" s="59" t="s">
        <v>1576</v>
      </c>
      <c r="R53" s="8">
        <f t="shared" si="0"/>
        <v>830</v>
      </c>
    </row>
    <row r="54" spans="1:18">
      <c r="A54" s="59">
        <v>53</v>
      </c>
      <c r="B54" s="59">
        <v>190</v>
      </c>
      <c r="C54" s="60" t="s">
        <v>135</v>
      </c>
      <c r="D54" s="59" t="s">
        <v>224</v>
      </c>
      <c r="E54" s="59" t="s">
        <v>225</v>
      </c>
      <c r="F54" s="59" t="s">
        <v>138</v>
      </c>
      <c r="G54" s="59" t="s">
        <v>340</v>
      </c>
      <c r="H54" s="59" t="s">
        <v>1501</v>
      </c>
      <c r="I54" s="59">
        <v>50</v>
      </c>
      <c r="J54" s="61">
        <v>2.3800925925925927E-2</v>
      </c>
      <c r="K54" s="61">
        <v>9.3518518518518516E-4</v>
      </c>
      <c r="L54" s="61">
        <v>4.475462962962963E-2</v>
      </c>
      <c r="M54" s="61">
        <v>1.1655092592592594E-3</v>
      </c>
      <c r="N54" s="61">
        <v>3.151388888888889E-2</v>
      </c>
      <c r="O54" s="61">
        <v>2.1006944444444445E-3</v>
      </c>
      <c r="P54" s="61">
        <v>0.10217245370370372</v>
      </c>
      <c r="Q54" s="59" t="s">
        <v>1577</v>
      </c>
      <c r="R54" s="8">
        <f t="shared" si="0"/>
        <v>829</v>
      </c>
    </row>
    <row r="55" spans="1:18">
      <c r="A55" s="59">
        <v>54</v>
      </c>
      <c r="B55" s="59">
        <v>28</v>
      </c>
      <c r="C55" s="60" t="s">
        <v>135</v>
      </c>
      <c r="D55" s="59" t="s">
        <v>445</v>
      </c>
      <c r="E55" s="59" t="s">
        <v>446</v>
      </c>
      <c r="F55" s="59" t="s">
        <v>189</v>
      </c>
      <c r="G55" s="59" t="s">
        <v>340</v>
      </c>
      <c r="H55" s="59" t="s">
        <v>1501</v>
      </c>
      <c r="I55" s="59">
        <v>51</v>
      </c>
      <c r="J55" s="61">
        <v>2.1633101851851851E-2</v>
      </c>
      <c r="K55" s="61">
        <v>1.2430555555555556E-3</v>
      </c>
      <c r="L55" s="61">
        <v>4.4598379629629634E-2</v>
      </c>
      <c r="M55" s="61">
        <v>9.2939814814814816E-4</v>
      </c>
      <c r="N55" s="61">
        <v>3.4053240740740738E-2</v>
      </c>
      <c r="O55" s="61">
        <v>2.1724537037037038E-3</v>
      </c>
      <c r="P55" s="61">
        <v>0.10245949074074075</v>
      </c>
      <c r="Q55" s="59" t="s">
        <v>1578</v>
      </c>
      <c r="R55" s="8">
        <f t="shared" si="0"/>
        <v>827</v>
      </c>
    </row>
    <row r="56" spans="1:18">
      <c r="A56" s="59">
        <v>55</v>
      </c>
      <c r="B56" s="59">
        <v>305</v>
      </c>
      <c r="C56" s="60" t="s">
        <v>135</v>
      </c>
      <c r="D56" s="59" t="s">
        <v>244</v>
      </c>
      <c r="E56" s="59" t="s">
        <v>245</v>
      </c>
      <c r="F56" s="59" t="s">
        <v>158</v>
      </c>
      <c r="G56" s="59" t="s">
        <v>340</v>
      </c>
      <c r="H56" s="59" t="s">
        <v>1501</v>
      </c>
      <c r="I56" s="59">
        <v>52</v>
      </c>
      <c r="J56" s="61">
        <v>2.3635416666666666E-2</v>
      </c>
      <c r="K56" s="61">
        <v>9.6990740740740739E-4</v>
      </c>
      <c r="L56" s="61">
        <v>4.4971064814814818E-2</v>
      </c>
      <c r="M56" s="61">
        <v>1.0659722222222221E-3</v>
      </c>
      <c r="N56" s="61">
        <v>3.2015046296296298E-2</v>
      </c>
      <c r="O56" s="61">
        <v>2.0358796296296297E-3</v>
      </c>
      <c r="P56" s="61">
        <v>0.10265972222222221</v>
      </c>
      <c r="Q56" s="59" t="s">
        <v>1579</v>
      </c>
      <c r="R56" s="8">
        <f t="shared" si="0"/>
        <v>825</v>
      </c>
    </row>
    <row r="57" spans="1:18">
      <c r="A57" s="59">
        <v>56</v>
      </c>
      <c r="B57" s="59">
        <v>324</v>
      </c>
      <c r="C57" s="60" t="s">
        <v>135</v>
      </c>
      <c r="D57" s="59" t="s">
        <v>762</v>
      </c>
      <c r="E57" s="59" t="s">
        <v>763</v>
      </c>
      <c r="F57" s="59" t="s">
        <v>138</v>
      </c>
      <c r="G57" s="59" t="s">
        <v>340</v>
      </c>
      <c r="H57" s="59" t="s">
        <v>1501</v>
      </c>
      <c r="I57" s="59">
        <v>53</v>
      </c>
      <c r="J57" s="61">
        <v>2.3148148148148147E-2</v>
      </c>
      <c r="K57" s="61">
        <v>1.0092592592592592E-3</v>
      </c>
      <c r="L57" s="61">
        <v>4.5362268518518524E-2</v>
      </c>
      <c r="M57" s="61">
        <v>8.0439814814814816E-4</v>
      </c>
      <c r="N57" s="61">
        <v>3.2387731481481483E-2</v>
      </c>
      <c r="O57" s="61">
        <v>1.8136574074074073E-3</v>
      </c>
      <c r="P57" s="61">
        <v>0.10271527777777778</v>
      </c>
      <c r="Q57" s="59" t="s">
        <v>1580</v>
      </c>
      <c r="R57" s="8">
        <f t="shared" si="0"/>
        <v>825</v>
      </c>
    </row>
    <row r="58" spans="1:18">
      <c r="A58" s="59">
        <v>57</v>
      </c>
      <c r="B58" s="59">
        <v>274</v>
      </c>
      <c r="C58" s="60" t="s">
        <v>135</v>
      </c>
      <c r="D58" s="59" t="s">
        <v>214</v>
      </c>
      <c r="E58" s="59" t="s">
        <v>215</v>
      </c>
      <c r="F58" s="59"/>
      <c r="G58" s="59" t="s">
        <v>340</v>
      </c>
      <c r="H58" s="59" t="s">
        <v>1501</v>
      </c>
      <c r="I58" s="59">
        <v>54</v>
      </c>
      <c r="J58" s="61">
        <v>2.342361111111111E-2</v>
      </c>
      <c r="K58" s="61">
        <v>1.0254629629629628E-3</v>
      </c>
      <c r="L58" s="61">
        <v>4.5135416666666664E-2</v>
      </c>
      <c r="M58" s="61">
        <v>9.791666666666666E-4</v>
      </c>
      <c r="N58" s="61">
        <v>3.2405092592592596E-2</v>
      </c>
      <c r="O58" s="61">
        <v>2.0046296296296296E-3</v>
      </c>
      <c r="P58" s="61">
        <v>0.10297106481481483</v>
      </c>
      <c r="Q58" s="59" t="s">
        <v>1581</v>
      </c>
      <c r="R58" s="8">
        <f t="shared" si="0"/>
        <v>823</v>
      </c>
    </row>
    <row r="59" spans="1:18">
      <c r="A59" s="59">
        <v>58</v>
      </c>
      <c r="B59" s="59">
        <v>162</v>
      </c>
      <c r="C59" s="60" t="s">
        <v>135</v>
      </c>
      <c r="D59" s="59" t="s">
        <v>1582</v>
      </c>
      <c r="E59" s="59" t="s">
        <v>0</v>
      </c>
      <c r="F59" s="59" t="s">
        <v>1583</v>
      </c>
      <c r="G59" s="59" t="s">
        <v>340</v>
      </c>
      <c r="H59" s="59" t="s">
        <v>1501</v>
      </c>
      <c r="I59" s="59">
        <v>55</v>
      </c>
      <c r="J59" s="61">
        <v>2.2605324074074073E-2</v>
      </c>
      <c r="K59" s="61">
        <v>1.0462962962962963E-3</v>
      </c>
      <c r="L59" s="61">
        <v>4.579050925925926E-2</v>
      </c>
      <c r="M59" s="61">
        <v>9.9189814814814822E-4</v>
      </c>
      <c r="N59" s="61">
        <v>3.2700231481481483E-2</v>
      </c>
      <c r="O59" s="61">
        <v>2.0381944444444445E-3</v>
      </c>
      <c r="P59" s="61">
        <v>0.10313657407407407</v>
      </c>
      <c r="Q59" s="59" t="s">
        <v>1584</v>
      </c>
      <c r="R59" s="8">
        <f t="shared" si="0"/>
        <v>821</v>
      </c>
    </row>
    <row r="60" spans="1:18">
      <c r="A60" s="59">
        <v>59</v>
      </c>
      <c r="B60" s="59">
        <v>146</v>
      </c>
      <c r="C60" s="60" t="s">
        <v>135</v>
      </c>
      <c r="D60" s="59" t="s">
        <v>1585</v>
      </c>
      <c r="E60" s="59" t="s">
        <v>0</v>
      </c>
      <c r="F60" s="59"/>
      <c r="G60" s="59" t="s">
        <v>340</v>
      </c>
      <c r="H60" s="59" t="s">
        <v>1501</v>
      </c>
      <c r="I60" s="59">
        <v>56</v>
      </c>
      <c r="J60" s="61">
        <v>2.3530092592592592E-2</v>
      </c>
      <c r="K60" s="61">
        <v>1.511574074074074E-3</v>
      </c>
      <c r="L60" s="61">
        <v>4.6953703703703706E-2</v>
      </c>
      <c r="M60" s="61">
        <v>1.0648148148148149E-3</v>
      </c>
      <c r="N60" s="61">
        <v>3.014814814814815E-2</v>
      </c>
      <c r="O60" s="61">
        <v>2.5763888888888889E-3</v>
      </c>
      <c r="P60" s="61">
        <v>0.10320949074074073</v>
      </c>
      <c r="Q60" s="59" t="s">
        <v>1586</v>
      </c>
      <c r="R60" s="8">
        <f t="shared" si="0"/>
        <v>821</v>
      </c>
    </row>
    <row r="61" spans="1:18">
      <c r="A61" s="59">
        <v>60</v>
      </c>
      <c r="B61" s="59">
        <v>82</v>
      </c>
      <c r="C61" s="60" t="s">
        <v>135</v>
      </c>
      <c r="D61" s="59" t="s">
        <v>1051</v>
      </c>
      <c r="E61" s="59" t="s">
        <v>1052</v>
      </c>
      <c r="F61" s="59" t="s">
        <v>148</v>
      </c>
      <c r="G61" s="59" t="s">
        <v>340</v>
      </c>
      <c r="H61" s="59" t="s">
        <v>1501</v>
      </c>
      <c r="I61" s="59">
        <v>57</v>
      </c>
      <c r="J61" s="61">
        <v>2.5891203703703704E-2</v>
      </c>
      <c r="K61" s="61">
        <v>1.1574074074074073E-3</v>
      </c>
      <c r="L61" s="61">
        <v>4.4320601851851854E-2</v>
      </c>
      <c r="M61" s="61">
        <v>9.2708333333333325E-4</v>
      </c>
      <c r="N61" s="61">
        <v>3.1359953703703702E-2</v>
      </c>
      <c r="O61" s="61">
        <v>2.0844907407407405E-3</v>
      </c>
      <c r="P61" s="61">
        <v>0.10365740740740741</v>
      </c>
      <c r="Q61" s="59" t="s">
        <v>1587</v>
      </c>
      <c r="R61" s="8">
        <f t="shared" si="0"/>
        <v>817</v>
      </c>
    </row>
    <row r="62" spans="1:18">
      <c r="A62" s="59">
        <v>61</v>
      </c>
      <c r="B62" s="59">
        <v>203</v>
      </c>
      <c r="C62" s="60" t="s">
        <v>135</v>
      </c>
      <c r="D62" s="59" t="s">
        <v>384</v>
      </c>
      <c r="E62" s="59" t="s">
        <v>262</v>
      </c>
      <c r="F62" s="59"/>
      <c r="G62" s="59" t="s">
        <v>340</v>
      </c>
      <c r="H62" s="59" t="s">
        <v>1501</v>
      </c>
      <c r="I62" s="59">
        <v>58</v>
      </c>
      <c r="J62" s="61">
        <v>2.6516203703703705E-2</v>
      </c>
      <c r="K62" s="61">
        <v>1.9189814814814816E-3</v>
      </c>
      <c r="L62" s="61">
        <v>4.7526620370370372E-2</v>
      </c>
      <c r="M62" s="61">
        <v>8.6458333333333341E-4</v>
      </c>
      <c r="N62" s="61">
        <v>2.7150462962962967E-2</v>
      </c>
      <c r="O62" s="61">
        <v>2.7835648148148147E-3</v>
      </c>
      <c r="P62" s="61">
        <v>0.10397800925925926</v>
      </c>
      <c r="Q62" s="59" t="s">
        <v>1588</v>
      </c>
      <c r="R62" s="8">
        <f t="shared" si="0"/>
        <v>815</v>
      </c>
    </row>
    <row r="63" spans="1:18">
      <c r="A63" s="59">
        <v>62</v>
      </c>
      <c r="B63" s="59">
        <v>307</v>
      </c>
      <c r="C63" s="60" t="s">
        <v>135</v>
      </c>
      <c r="D63" s="59" t="s">
        <v>429</v>
      </c>
      <c r="E63" s="59" t="s">
        <v>430</v>
      </c>
      <c r="F63" s="59" t="s">
        <v>189</v>
      </c>
      <c r="G63" s="59" t="s">
        <v>340</v>
      </c>
      <c r="H63" s="59" t="s">
        <v>1501</v>
      </c>
      <c r="I63" s="59">
        <v>59</v>
      </c>
      <c r="J63" s="61">
        <v>2.3688657407407408E-2</v>
      </c>
      <c r="K63" s="61">
        <v>1.0682870370370371E-3</v>
      </c>
      <c r="L63" s="61">
        <v>4.6646990740740746E-2</v>
      </c>
      <c r="M63" s="61">
        <v>1.2928240740740741E-3</v>
      </c>
      <c r="N63" s="61">
        <v>3.1385416666666666E-2</v>
      </c>
      <c r="O63" s="61">
        <v>2.3611111111111111E-3</v>
      </c>
      <c r="P63" s="61">
        <v>0.10408449074074073</v>
      </c>
      <c r="Q63" s="59" t="s">
        <v>1589</v>
      </c>
      <c r="R63" s="8">
        <f t="shared" si="0"/>
        <v>814</v>
      </c>
    </row>
    <row r="64" spans="1:18">
      <c r="A64" s="59">
        <v>63</v>
      </c>
      <c r="B64" s="59">
        <v>61</v>
      </c>
      <c r="C64" s="60" t="s">
        <v>135</v>
      </c>
      <c r="D64" s="59" t="s">
        <v>1590</v>
      </c>
      <c r="E64" s="59" t="s">
        <v>0</v>
      </c>
      <c r="F64" s="59" t="s">
        <v>199</v>
      </c>
      <c r="G64" s="59" t="s">
        <v>340</v>
      </c>
      <c r="H64" s="59" t="s">
        <v>1501</v>
      </c>
      <c r="I64" s="59">
        <v>60</v>
      </c>
      <c r="J64" s="61">
        <v>2.099074074074074E-2</v>
      </c>
      <c r="K64" s="61">
        <v>9.5138888888888888E-4</v>
      </c>
      <c r="L64" s="61">
        <v>4.5486111111111109E-2</v>
      </c>
      <c r="M64" s="61">
        <v>1.0798611111111111E-3</v>
      </c>
      <c r="N64" s="61">
        <v>3.5700231481481479E-2</v>
      </c>
      <c r="O64" s="61">
        <v>2.0312500000000001E-3</v>
      </c>
      <c r="P64" s="61">
        <v>0.10421064814814814</v>
      </c>
      <c r="Q64" s="59" t="s">
        <v>1591</v>
      </c>
      <c r="R64" s="8">
        <f t="shared" si="0"/>
        <v>813</v>
      </c>
    </row>
    <row r="65" spans="1:18">
      <c r="A65" s="59">
        <v>64</v>
      </c>
      <c r="B65" s="59">
        <v>284</v>
      </c>
      <c r="C65" s="60" t="s">
        <v>135</v>
      </c>
      <c r="D65" s="59" t="s">
        <v>181</v>
      </c>
      <c r="E65" s="59" t="s">
        <v>182</v>
      </c>
      <c r="F65" s="59"/>
      <c r="G65" s="59" t="s">
        <v>340</v>
      </c>
      <c r="H65" s="59" t="s">
        <v>1501</v>
      </c>
      <c r="I65" s="59">
        <v>61</v>
      </c>
      <c r="J65" s="61">
        <v>2.411574074074074E-2</v>
      </c>
      <c r="K65" s="61">
        <v>1.0289351851851852E-3</v>
      </c>
      <c r="L65" s="61">
        <v>4.6252314814814816E-2</v>
      </c>
      <c r="M65" s="61">
        <v>8.7384259259259262E-4</v>
      </c>
      <c r="N65" s="61">
        <v>3.2001157407407409E-2</v>
      </c>
      <c r="O65" s="61">
        <v>1.9027777777777778E-3</v>
      </c>
      <c r="P65" s="61">
        <v>0.10427430555555554</v>
      </c>
      <c r="Q65" s="59" t="s">
        <v>1592</v>
      </c>
      <c r="R65" s="8">
        <f t="shared" si="0"/>
        <v>812</v>
      </c>
    </row>
    <row r="66" spans="1:18">
      <c r="A66" s="59">
        <v>65</v>
      </c>
      <c r="B66" s="59">
        <v>250</v>
      </c>
      <c r="C66" s="60" t="s">
        <v>135</v>
      </c>
      <c r="D66" s="59" t="s">
        <v>1593</v>
      </c>
      <c r="E66" s="59" t="s">
        <v>0</v>
      </c>
      <c r="F66" s="59" t="s">
        <v>153</v>
      </c>
      <c r="G66" s="59" t="s">
        <v>340</v>
      </c>
      <c r="H66" s="59" t="s">
        <v>1501</v>
      </c>
      <c r="I66" s="59">
        <v>62</v>
      </c>
      <c r="J66" s="61">
        <v>2.0989583333333332E-2</v>
      </c>
      <c r="K66" s="61">
        <v>8.9120370370370373E-4</v>
      </c>
      <c r="L66" s="61">
        <v>4.553240740740741E-2</v>
      </c>
      <c r="M66" s="61">
        <v>6.7708333333333336E-4</v>
      </c>
      <c r="N66" s="61">
        <v>3.6412037037037034E-2</v>
      </c>
      <c r="O66" s="61">
        <v>1.5682870370370371E-3</v>
      </c>
      <c r="P66" s="61">
        <v>0.10450578703703703</v>
      </c>
      <c r="Q66" s="59" t="s">
        <v>1594</v>
      </c>
      <c r="R66" s="8">
        <f t="shared" si="0"/>
        <v>811</v>
      </c>
    </row>
    <row r="67" spans="1:18">
      <c r="A67" s="59">
        <v>66</v>
      </c>
      <c r="B67" s="59">
        <v>233</v>
      </c>
      <c r="C67" s="60" t="s">
        <v>135</v>
      </c>
      <c r="D67" s="59" t="s">
        <v>774</v>
      </c>
      <c r="E67" s="59" t="s">
        <v>775</v>
      </c>
      <c r="F67" s="59"/>
      <c r="G67" s="59" t="s">
        <v>340</v>
      </c>
      <c r="H67" s="59" t="s">
        <v>1501</v>
      </c>
      <c r="I67" s="59">
        <v>63</v>
      </c>
      <c r="J67" s="61">
        <v>2.1041666666666667E-2</v>
      </c>
      <c r="K67" s="61">
        <v>1.0648148148148149E-3</v>
      </c>
      <c r="L67" s="61">
        <v>4.5238425925925925E-2</v>
      </c>
      <c r="M67" s="61">
        <v>6.9444444444444447E-4</v>
      </c>
      <c r="N67" s="61">
        <v>3.6565972222222222E-2</v>
      </c>
      <c r="O67" s="61">
        <v>1.7592592592592592E-3</v>
      </c>
      <c r="P67" s="61">
        <v>0.10460648148148148</v>
      </c>
      <c r="Q67" s="59" t="s">
        <v>1595</v>
      </c>
      <c r="R67" s="8">
        <f t="shared" ref="R67:R130" si="1">IFERROR(ROUND($P$2/P67*1000,0),0)</f>
        <v>810</v>
      </c>
    </row>
    <row r="68" spans="1:18">
      <c r="A68" s="59">
        <v>67</v>
      </c>
      <c r="B68" s="59">
        <v>278</v>
      </c>
      <c r="C68" s="60" t="s">
        <v>135</v>
      </c>
      <c r="D68" s="59" t="s">
        <v>1596</v>
      </c>
      <c r="E68" s="59" t="s">
        <v>1597</v>
      </c>
      <c r="F68" s="59"/>
      <c r="G68" s="59" t="s">
        <v>340</v>
      </c>
      <c r="H68" s="59" t="s">
        <v>1501</v>
      </c>
      <c r="I68" s="59">
        <v>64</v>
      </c>
      <c r="J68" s="61">
        <v>1.5770833333333331E-2</v>
      </c>
      <c r="K68" s="61">
        <v>1.5798611111111111E-3</v>
      </c>
      <c r="L68" s="61">
        <v>5.2924768518518517E-2</v>
      </c>
      <c r="M68" s="61">
        <v>9.6874999999999999E-4</v>
      </c>
      <c r="N68" s="61">
        <v>3.3449074074074076E-2</v>
      </c>
      <c r="O68" s="61">
        <v>2.5486111111111109E-3</v>
      </c>
      <c r="P68" s="61">
        <v>0.10469560185185187</v>
      </c>
      <c r="Q68" s="59" t="s">
        <v>1598</v>
      </c>
      <c r="R68" s="8">
        <f t="shared" si="1"/>
        <v>809</v>
      </c>
    </row>
    <row r="69" spans="1:18">
      <c r="A69" s="59">
        <v>68</v>
      </c>
      <c r="B69" s="59">
        <v>183</v>
      </c>
      <c r="C69" s="60" t="s">
        <v>135</v>
      </c>
      <c r="D69" s="59" t="s">
        <v>467</v>
      </c>
      <c r="E69" s="59" t="s">
        <v>468</v>
      </c>
      <c r="F69" s="59" t="s">
        <v>199</v>
      </c>
      <c r="G69" s="59" t="s">
        <v>340</v>
      </c>
      <c r="H69" s="59" t="s">
        <v>1501</v>
      </c>
      <c r="I69" s="59">
        <v>65</v>
      </c>
      <c r="J69" s="61">
        <v>1.8074074074074072E-2</v>
      </c>
      <c r="K69" s="61">
        <v>9.3518518518518516E-4</v>
      </c>
      <c r="L69" s="61">
        <v>4.8427083333333336E-2</v>
      </c>
      <c r="M69" s="61">
        <v>1.0590277777777779E-3</v>
      </c>
      <c r="N69" s="61">
        <v>3.6560185185185189E-2</v>
      </c>
      <c r="O69" s="61">
        <v>1.9942129629629633E-3</v>
      </c>
      <c r="P69" s="61">
        <v>0.10505787037037037</v>
      </c>
      <c r="Q69" s="59" t="s">
        <v>1599</v>
      </c>
      <c r="R69" s="8">
        <f t="shared" si="1"/>
        <v>806</v>
      </c>
    </row>
    <row r="70" spans="1:18">
      <c r="A70" s="59">
        <v>69</v>
      </c>
      <c r="B70" s="59">
        <v>226</v>
      </c>
      <c r="C70" s="60" t="s">
        <v>135</v>
      </c>
      <c r="D70" s="59" t="s">
        <v>205</v>
      </c>
      <c r="E70" s="59" t="s">
        <v>206</v>
      </c>
      <c r="F70" s="59"/>
      <c r="G70" s="59" t="s">
        <v>340</v>
      </c>
      <c r="H70" s="59" t="s">
        <v>1501</v>
      </c>
      <c r="I70" s="59">
        <v>66</v>
      </c>
      <c r="J70" s="61">
        <v>2.3734953703703703E-2</v>
      </c>
      <c r="K70" s="61">
        <v>8.8888888888888882E-4</v>
      </c>
      <c r="L70" s="61">
        <v>4.7361111111111111E-2</v>
      </c>
      <c r="M70" s="61">
        <v>9.6296296296296299E-4</v>
      </c>
      <c r="N70" s="61">
        <v>3.2145833333333332E-2</v>
      </c>
      <c r="O70" s="61">
        <v>1.8518518518518519E-3</v>
      </c>
      <c r="P70" s="61">
        <v>0.1050960648148148</v>
      </c>
      <c r="Q70" s="59" t="s">
        <v>1600</v>
      </c>
      <c r="R70" s="8">
        <f t="shared" si="1"/>
        <v>806</v>
      </c>
    </row>
    <row r="71" spans="1:18">
      <c r="A71" s="59">
        <v>70</v>
      </c>
      <c r="B71" s="59">
        <v>93</v>
      </c>
      <c r="C71" s="60" t="s">
        <v>135</v>
      </c>
      <c r="D71" s="59" t="s">
        <v>1601</v>
      </c>
      <c r="E71" s="59" t="s">
        <v>1602</v>
      </c>
      <c r="F71" s="59"/>
      <c r="G71" s="59" t="s">
        <v>340</v>
      </c>
      <c r="H71" s="59" t="s">
        <v>1501</v>
      </c>
      <c r="I71" s="59">
        <v>67</v>
      </c>
      <c r="J71" s="61">
        <v>2.5112268518518516E-2</v>
      </c>
      <c r="K71" s="61">
        <v>1.7199074074074074E-3</v>
      </c>
      <c r="L71" s="61">
        <v>4.7670138888888887E-2</v>
      </c>
      <c r="M71" s="61">
        <v>1.0034722222222222E-3</v>
      </c>
      <c r="N71" s="61">
        <v>2.9857638888888888E-2</v>
      </c>
      <c r="O71" s="61">
        <v>2.7233796296296298E-3</v>
      </c>
      <c r="P71" s="61">
        <v>0.10536574074074075</v>
      </c>
      <c r="Q71" s="59" t="s">
        <v>1603</v>
      </c>
      <c r="R71" s="8">
        <f t="shared" si="1"/>
        <v>804</v>
      </c>
    </row>
    <row r="72" spans="1:18">
      <c r="A72" s="59">
        <v>71</v>
      </c>
      <c r="B72" s="59">
        <v>89</v>
      </c>
      <c r="C72" s="60" t="s">
        <v>135</v>
      </c>
      <c r="D72" s="59" t="s">
        <v>236</v>
      </c>
      <c r="E72" s="59" t="s">
        <v>237</v>
      </c>
      <c r="F72" s="59"/>
      <c r="G72" s="59" t="s">
        <v>340</v>
      </c>
      <c r="H72" s="59" t="s">
        <v>1501</v>
      </c>
      <c r="I72" s="59">
        <v>68</v>
      </c>
      <c r="J72" s="61">
        <v>2.396875E-2</v>
      </c>
      <c r="K72" s="61">
        <v>1.431712962962963E-3</v>
      </c>
      <c r="L72" s="61">
        <v>4.6229166666666661E-2</v>
      </c>
      <c r="M72" s="61">
        <v>1.6076388888888889E-3</v>
      </c>
      <c r="N72" s="61">
        <v>3.27037037037037E-2</v>
      </c>
      <c r="O72" s="61">
        <v>3.0393518518518521E-3</v>
      </c>
      <c r="P72" s="61">
        <v>0.10594444444444445</v>
      </c>
      <c r="Q72" s="59" t="s">
        <v>1604</v>
      </c>
      <c r="R72" s="8">
        <f t="shared" si="1"/>
        <v>800</v>
      </c>
    </row>
    <row r="73" spans="1:18">
      <c r="A73" s="59">
        <v>72</v>
      </c>
      <c r="B73" s="59">
        <v>161</v>
      </c>
      <c r="C73" s="60" t="s">
        <v>135</v>
      </c>
      <c r="D73" s="59" t="s">
        <v>221</v>
      </c>
      <c r="E73" s="59" t="s">
        <v>222</v>
      </c>
      <c r="F73" s="59" t="s">
        <v>199</v>
      </c>
      <c r="G73" s="59" t="s">
        <v>340</v>
      </c>
      <c r="H73" s="59" t="s">
        <v>1501</v>
      </c>
      <c r="I73" s="59">
        <v>69</v>
      </c>
      <c r="J73" s="61">
        <v>2.35625E-2</v>
      </c>
      <c r="K73" s="61">
        <v>8.0555555555555545E-4</v>
      </c>
      <c r="L73" s="61">
        <v>4.5100694444444443E-2</v>
      </c>
      <c r="M73" s="61">
        <v>8.9467592592592593E-4</v>
      </c>
      <c r="N73" s="61">
        <v>3.5802083333333339E-2</v>
      </c>
      <c r="O73" s="61">
        <v>1.7002314814814816E-3</v>
      </c>
      <c r="P73" s="61">
        <v>0.10616782407407407</v>
      </c>
      <c r="Q73" s="59" t="s">
        <v>1605</v>
      </c>
      <c r="R73" s="8">
        <f t="shared" si="1"/>
        <v>798</v>
      </c>
    </row>
    <row r="74" spans="1:18">
      <c r="A74" s="59">
        <v>73</v>
      </c>
      <c r="B74" s="59">
        <v>74</v>
      </c>
      <c r="C74" s="60" t="s">
        <v>135</v>
      </c>
      <c r="D74" s="59" t="s">
        <v>406</v>
      </c>
      <c r="E74" s="59" t="s">
        <v>407</v>
      </c>
      <c r="F74" s="59"/>
      <c r="G74" s="59" t="s">
        <v>340</v>
      </c>
      <c r="H74" s="59" t="s">
        <v>1501</v>
      </c>
      <c r="I74" s="59">
        <v>70</v>
      </c>
      <c r="J74" s="61">
        <v>2.4267361111111108E-2</v>
      </c>
      <c r="K74" s="61">
        <v>1.4166666666666668E-3</v>
      </c>
      <c r="L74" s="61">
        <v>4.5767361111111113E-2</v>
      </c>
      <c r="M74" s="61">
        <v>1.2951388888888889E-3</v>
      </c>
      <c r="N74" s="61">
        <v>3.3442129629629634E-2</v>
      </c>
      <c r="O74" s="61">
        <v>2.7118055555555558E-3</v>
      </c>
      <c r="P74" s="61">
        <v>0.10619212962962964</v>
      </c>
      <c r="Q74" s="59" t="s">
        <v>1606</v>
      </c>
      <c r="R74" s="8">
        <f t="shared" si="1"/>
        <v>798</v>
      </c>
    </row>
    <row r="75" spans="1:18">
      <c r="A75" s="59">
        <v>74</v>
      </c>
      <c r="B75" s="59">
        <v>194</v>
      </c>
      <c r="C75" s="60" t="s">
        <v>135</v>
      </c>
      <c r="D75" s="59" t="s">
        <v>1123</v>
      </c>
      <c r="E75" s="59" t="s">
        <v>1124</v>
      </c>
      <c r="F75" s="59" t="s">
        <v>1125</v>
      </c>
      <c r="G75" s="59" t="s">
        <v>340</v>
      </c>
      <c r="H75" s="59"/>
      <c r="I75" s="59"/>
      <c r="J75" s="61">
        <v>2.2532407407407407E-2</v>
      </c>
      <c r="K75" s="61">
        <v>8.2060185185185187E-4</v>
      </c>
      <c r="L75" s="61">
        <v>4.9634259259259253E-2</v>
      </c>
      <c r="M75" s="61">
        <v>1.2118055555555556E-3</v>
      </c>
      <c r="N75" s="61">
        <v>3.1994212962962967E-2</v>
      </c>
      <c r="O75" s="61">
        <v>2.0324074074074073E-3</v>
      </c>
      <c r="P75" s="61">
        <v>0.10619675925925925</v>
      </c>
      <c r="Q75" s="59" t="s">
        <v>1607</v>
      </c>
      <c r="R75" s="8">
        <f t="shared" si="1"/>
        <v>798</v>
      </c>
    </row>
    <row r="76" spans="1:18">
      <c r="A76" s="59">
        <v>75</v>
      </c>
      <c r="B76" s="59">
        <v>249</v>
      </c>
      <c r="C76" s="60" t="s">
        <v>135</v>
      </c>
      <c r="D76" s="59" t="s">
        <v>274</v>
      </c>
      <c r="E76" s="59" t="s">
        <v>275</v>
      </c>
      <c r="F76" s="59" t="s">
        <v>138</v>
      </c>
      <c r="G76" s="59" t="s">
        <v>340</v>
      </c>
      <c r="H76" s="59" t="s">
        <v>1501</v>
      </c>
      <c r="I76" s="59">
        <v>71</v>
      </c>
      <c r="J76" s="61">
        <v>2.3600694444444445E-2</v>
      </c>
      <c r="K76" s="61">
        <v>1.1203703703703703E-3</v>
      </c>
      <c r="L76" s="61">
        <v>4.6934027777777776E-2</v>
      </c>
      <c r="M76" s="61">
        <v>8.9930555555555554E-4</v>
      </c>
      <c r="N76" s="61">
        <v>3.368287037037037E-2</v>
      </c>
      <c r="O76" s="61">
        <v>2.0196759259259261E-3</v>
      </c>
      <c r="P76" s="61">
        <v>0.10624074074074075</v>
      </c>
      <c r="Q76" s="59" t="s">
        <v>1608</v>
      </c>
      <c r="R76" s="8">
        <f t="shared" si="1"/>
        <v>797</v>
      </c>
    </row>
    <row r="77" spans="1:18">
      <c r="A77" s="59">
        <v>76</v>
      </c>
      <c r="B77" s="59">
        <v>277</v>
      </c>
      <c r="C77" s="60" t="s">
        <v>135</v>
      </c>
      <c r="D77" s="59" t="s">
        <v>457</v>
      </c>
      <c r="E77" s="59" t="s">
        <v>458</v>
      </c>
      <c r="F77" s="59"/>
      <c r="G77" s="59" t="s">
        <v>340</v>
      </c>
      <c r="H77" s="59" t="s">
        <v>1501</v>
      </c>
      <c r="I77" s="59">
        <v>72</v>
      </c>
      <c r="J77" s="61">
        <v>2.474074074074074E-2</v>
      </c>
      <c r="K77" s="61">
        <v>1.3402777777777777E-3</v>
      </c>
      <c r="L77" s="61">
        <v>4.545023148148148E-2</v>
      </c>
      <c r="M77" s="61">
        <v>9.6759259259259248E-4</v>
      </c>
      <c r="N77" s="61">
        <v>3.3976851851851848E-2</v>
      </c>
      <c r="O77" s="61">
        <v>2.3078703703703703E-3</v>
      </c>
      <c r="P77" s="61">
        <v>0.10647916666666665</v>
      </c>
      <c r="Q77" s="59" t="s">
        <v>1609</v>
      </c>
      <c r="R77" s="8">
        <f t="shared" si="1"/>
        <v>796</v>
      </c>
    </row>
    <row r="78" spans="1:18">
      <c r="A78" s="59">
        <v>77</v>
      </c>
      <c r="B78" s="59">
        <v>235</v>
      </c>
      <c r="C78" s="60" t="s">
        <v>140</v>
      </c>
      <c r="D78" s="59" t="s">
        <v>1610</v>
      </c>
      <c r="E78" s="59" t="s">
        <v>0</v>
      </c>
      <c r="F78" s="59"/>
      <c r="G78" s="59" t="s">
        <v>340</v>
      </c>
      <c r="H78" s="59" t="s">
        <v>1501</v>
      </c>
      <c r="I78" s="59">
        <v>73</v>
      </c>
      <c r="J78" s="61">
        <v>2.496759259259259E-2</v>
      </c>
      <c r="K78" s="61">
        <v>1.3645833333333333E-3</v>
      </c>
      <c r="L78" s="61">
        <v>4.8190972222222218E-2</v>
      </c>
      <c r="M78" s="61">
        <v>1.0868055555555557E-3</v>
      </c>
      <c r="N78" s="61">
        <v>3.1222222222222221E-2</v>
      </c>
      <c r="O78" s="61">
        <v>2.4513888888888892E-3</v>
      </c>
      <c r="P78" s="61">
        <v>0.10683564814814815</v>
      </c>
      <c r="Q78" s="59" t="s">
        <v>1611</v>
      </c>
      <c r="R78" s="8">
        <f t="shared" si="1"/>
        <v>793</v>
      </c>
    </row>
    <row r="79" spans="1:18">
      <c r="A79" s="59">
        <v>78</v>
      </c>
      <c r="B79" s="59">
        <v>125</v>
      </c>
      <c r="C79" s="60" t="s">
        <v>135</v>
      </c>
      <c r="D79" s="59" t="s">
        <v>1612</v>
      </c>
      <c r="E79" s="59" t="s">
        <v>0</v>
      </c>
      <c r="F79" s="59"/>
      <c r="G79" s="59" t="s">
        <v>340</v>
      </c>
      <c r="H79" s="59" t="s">
        <v>1501</v>
      </c>
      <c r="I79" s="59">
        <v>74</v>
      </c>
      <c r="J79" s="61">
        <v>2.5233796296296296E-2</v>
      </c>
      <c r="K79" s="61">
        <v>1.4270833333333334E-3</v>
      </c>
      <c r="L79" s="61">
        <v>4.4721064814814818E-2</v>
      </c>
      <c r="M79" s="61">
        <v>8.2523148148148148E-4</v>
      </c>
      <c r="N79" s="61">
        <v>3.5134259259259261E-2</v>
      </c>
      <c r="O79" s="61">
        <v>2.2523148148148146E-3</v>
      </c>
      <c r="P79" s="61">
        <v>0.10734490740740742</v>
      </c>
      <c r="Q79" s="59" t="s">
        <v>1613</v>
      </c>
      <c r="R79" s="8">
        <f t="shared" si="1"/>
        <v>789</v>
      </c>
    </row>
    <row r="80" spans="1:18">
      <c r="A80" s="59">
        <v>79</v>
      </c>
      <c r="B80" s="59">
        <v>255</v>
      </c>
      <c r="C80" s="60" t="s">
        <v>135</v>
      </c>
      <c r="D80" s="59" t="s">
        <v>1614</v>
      </c>
      <c r="E80" s="59" t="s">
        <v>1615</v>
      </c>
      <c r="F80" s="59" t="s">
        <v>138</v>
      </c>
      <c r="G80" s="59" t="s">
        <v>340</v>
      </c>
      <c r="H80" s="59" t="s">
        <v>1501</v>
      </c>
      <c r="I80" s="59">
        <v>75</v>
      </c>
      <c r="J80" s="61">
        <v>2.3405092592592592E-2</v>
      </c>
      <c r="K80" s="61">
        <v>8.7731481481481482E-4</v>
      </c>
      <c r="L80" s="61">
        <v>4.6431712962962959E-2</v>
      </c>
      <c r="M80" s="61">
        <v>1.0046296296296296E-3</v>
      </c>
      <c r="N80" s="61">
        <v>3.5688657407407405E-2</v>
      </c>
      <c r="O80" s="61">
        <v>1.8819444444444443E-3</v>
      </c>
      <c r="P80" s="61">
        <v>0.10741087962962963</v>
      </c>
      <c r="Q80" s="59" t="s">
        <v>1616</v>
      </c>
      <c r="R80" s="8">
        <f t="shared" si="1"/>
        <v>789</v>
      </c>
    </row>
    <row r="81" spans="1:18">
      <c r="A81" s="59">
        <v>80</v>
      </c>
      <c r="B81" s="59">
        <v>188</v>
      </c>
      <c r="C81" s="60" t="s">
        <v>135</v>
      </c>
      <c r="D81" s="59" t="s">
        <v>1617</v>
      </c>
      <c r="E81" s="59" t="s">
        <v>1618</v>
      </c>
      <c r="F81" s="59" t="s">
        <v>189</v>
      </c>
      <c r="G81" s="59" t="s">
        <v>340</v>
      </c>
      <c r="H81" s="59" t="s">
        <v>1501</v>
      </c>
      <c r="I81" s="59">
        <v>76</v>
      </c>
      <c r="J81" s="61">
        <v>2.5638888888888888E-2</v>
      </c>
      <c r="K81" s="61">
        <v>1.2881944444444445E-3</v>
      </c>
      <c r="L81" s="61">
        <v>4.7627314814814817E-2</v>
      </c>
      <c r="M81" s="61">
        <v>1.0636574074074075E-3</v>
      </c>
      <c r="N81" s="61">
        <v>3.197106481481482E-2</v>
      </c>
      <c r="O81" s="61">
        <v>2.3518518518518519E-3</v>
      </c>
      <c r="P81" s="61">
        <v>0.10759027777777777</v>
      </c>
      <c r="Q81" s="59" t="s">
        <v>1619</v>
      </c>
      <c r="R81" s="8">
        <f t="shared" si="1"/>
        <v>787</v>
      </c>
    </row>
    <row r="82" spans="1:18">
      <c r="A82" s="59">
        <v>81</v>
      </c>
      <c r="B82" s="59">
        <v>132</v>
      </c>
      <c r="C82" s="60" t="s">
        <v>135</v>
      </c>
      <c r="D82" s="59" t="s">
        <v>1620</v>
      </c>
      <c r="E82" s="59" t="s">
        <v>0</v>
      </c>
      <c r="F82" s="59"/>
      <c r="G82" s="59" t="s">
        <v>340</v>
      </c>
      <c r="H82" s="59" t="s">
        <v>1501</v>
      </c>
      <c r="I82" s="59">
        <v>77</v>
      </c>
      <c r="J82" s="61">
        <v>2.3167824074074073E-2</v>
      </c>
      <c r="K82" s="61">
        <v>1.8796296296296297E-3</v>
      </c>
      <c r="L82" s="61">
        <v>4.4484953703703707E-2</v>
      </c>
      <c r="M82" s="61">
        <v>1.2372685185185186E-3</v>
      </c>
      <c r="N82" s="61">
        <v>3.72337962962963E-2</v>
      </c>
      <c r="O82" s="61">
        <v>3.1168981481481482E-3</v>
      </c>
      <c r="P82" s="61">
        <v>0.10800578703703705</v>
      </c>
      <c r="Q82" s="59" t="s">
        <v>1621</v>
      </c>
      <c r="R82" s="8">
        <f t="shared" si="1"/>
        <v>784</v>
      </c>
    </row>
    <row r="83" spans="1:18">
      <c r="A83" s="59">
        <v>82</v>
      </c>
      <c r="B83" s="59">
        <v>186</v>
      </c>
      <c r="C83" s="60" t="s">
        <v>135</v>
      </c>
      <c r="D83" s="59" t="s">
        <v>1622</v>
      </c>
      <c r="E83" s="59" t="s">
        <v>0</v>
      </c>
      <c r="F83" s="59"/>
      <c r="G83" s="59" t="s">
        <v>340</v>
      </c>
      <c r="H83" s="59" t="s">
        <v>1501</v>
      </c>
      <c r="I83" s="59">
        <v>78</v>
      </c>
      <c r="J83" s="61">
        <v>2.5690972222222219E-2</v>
      </c>
      <c r="K83" s="61">
        <v>1.1944444444444444E-3</v>
      </c>
      <c r="L83" s="61">
        <v>4.7600694444444445E-2</v>
      </c>
      <c r="M83" s="61">
        <v>8.1365740740740736E-4</v>
      </c>
      <c r="N83" s="61">
        <v>3.2795138888888888E-2</v>
      </c>
      <c r="O83" s="61">
        <v>2.0081018518518521E-3</v>
      </c>
      <c r="P83" s="61">
        <v>0.10809722222222222</v>
      </c>
      <c r="Q83" s="59" t="s">
        <v>1623</v>
      </c>
      <c r="R83" s="8">
        <f t="shared" si="1"/>
        <v>784</v>
      </c>
    </row>
    <row r="84" spans="1:18">
      <c r="A84" s="59">
        <v>83</v>
      </c>
      <c r="B84" s="59">
        <v>32</v>
      </c>
      <c r="C84" s="60" t="s">
        <v>135</v>
      </c>
      <c r="D84" s="59" t="s">
        <v>1624</v>
      </c>
      <c r="E84" s="59" t="s">
        <v>0</v>
      </c>
      <c r="F84" s="59" t="s">
        <v>1625</v>
      </c>
      <c r="G84" s="59" t="s">
        <v>340</v>
      </c>
      <c r="H84" s="59" t="s">
        <v>1501</v>
      </c>
      <c r="I84" s="59">
        <v>79</v>
      </c>
      <c r="J84" s="61">
        <v>2.4313657407407405E-2</v>
      </c>
      <c r="K84" s="61">
        <v>1.8310185185185183E-3</v>
      </c>
      <c r="L84" s="61">
        <v>4.5283564814814818E-2</v>
      </c>
      <c r="M84" s="61">
        <v>1.8032407407407409E-3</v>
      </c>
      <c r="N84" s="61">
        <v>3.501736111111111E-2</v>
      </c>
      <c r="O84" s="61">
        <v>3.6342592592592594E-3</v>
      </c>
      <c r="P84" s="61">
        <v>0.10825231481481482</v>
      </c>
      <c r="Q84" s="59" t="s">
        <v>1626</v>
      </c>
      <c r="R84" s="8">
        <f t="shared" si="1"/>
        <v>783</v>
      </c>
    </row>
    <row r="85" spans="1:18">
      <c r="A85" s="59">
        <v>84</v>
      </c>
      <c r="B85" s="59">
        <v>232</v>
      </c>
      <c r="C85" s="60" t="s">
        <v>135</v>
      </c>
      <c r="D85" s="59" t="s">
        <v>1627</v>
      </c>
      <c r="E85" s="59" t="s">
        <v>1628</v>
      </c>
      <c r="F85" s="59"/>
      <c r="G85" s="59" t="s">
        <v>340</v>
      </c>
      <c r="H85" s="59" t="s">
        <v>1501</v>
      </c>
      <c r="I85" s="59">
        <v>80</v>
      </c>
      <c r="J85" s="61">
        <v>1.9043981481481481E-2</v>
      </c>
      <c r="K85" s="61">
        <v>1.8680555555555555E-3</v>
      </c>
      <c r="L85" s="61">
        <v>4.8964120370370373E-2</v>
      </c>
      <c r="M85" s="61">
        <v>1.1828703703703704E-3</v>
      </c>
      <c r="N85" s="61">
        <v>3.7386574074074072E-2</v>
      </c>
      <c r="O85" s="61">
        <v>3.0509259259259261E-3</v>
      </c>
      <c r="P85" s="61">
        <v>0.10844675925925926</v>
      </c>
      <c r="Q85" s="59" t="s">
        <v>1629</v>
      </c>
      <c r="R85" s="8">
        <f t="shared" si="1"/>
        <v>781</v>
      </c>
    </row>
    <row r="86" spans="1:18">
      <c r="A86" s="59">
        <v>85</v>
      </c>
      <c r="B86" s="59">
        <v>33</v>
      </c>
      <c r="C86" s="60" t="s">
        <v>135</v>
      </c>
      <c r="D86" s="59" t="s">
        <v>1630</v>
      </c>
      <c r="E86" s="59" t="s">
        <v>1631</v>
      </c>
      <c r="F86" s="59" t="s">
        <v>138</v>
      </c>
      <c r="G86" s="59" t="s">
        <v>340</v>
      </c>
      <c r="H86" s="59" t="s">
        <v>1501</v>
      </c>
      <c r="I86" s="59">
        <v>81</v>
      </c>
      <c r="J86" s="61">
        <v>2.3782407407407408E-2</v>
      </c>
      <c r="K86" s="61">
        <v>1.3217592592592593E-3</v>
      </c>
      <c r="L86" s="61">
        <v>4.6332175925925922E-2</v>
      </c>
      <c r="M86" s="61">
        <v>1.3055555555555555E-3</v>
      </c>
      <c r="N86" s="61">
        <v>3.5734953703703706E-2</v>
      </c>
      <c r="O86" s="61">
        <v>2.627314814814815E-3</v>
      </c>
      <c r="P86" s="61">
        <v>0.10847916666666667</v>
      </c>
      <c r="Q86" s="59" t="s">
        <v>1632</v>
      </c>
      <c r="R86" s="8">
        <f t="shared" si="1"/>
        <v>781</v>
      </c>
    </row>
    <row r="87" spans="1:18">
      <c r="A87" s="59">
        <v>86</v>
      </c>
      <c r="B87" s="59">
        <v>128</v>
      </c>
      <c r="C87" s="60" t="s">
        <v>135</v>
      </c>
      <c r="D87" s="59" t="s">
        <v>1633</v>
      </c>
      <c r="E87" s="59" t="s">
        <v>0</v>
      </c>
      <c r="F87" s="59"/>
      <c r="G87" s="59" t="s">
        <v>340</v>
      </c>
      <c r="H87" s="59" t="s">
        <v>1501</v>
      </c>
      <c r="I87" s="59">
        <v>82</v>
      </c>
      <c r="J87" s="61">
        <v>2.2271990740740742E-2</v>
      </c>
      <c r="K87" s="61">
        <v>3.178240740740741E-3</v>
      </c>
      <c r="L87" s="61">
        <v>5.0096064814814815E-2</v>
      </c>
      <c r="M87" s="61">
        <v>1.3912037037037037E-3</v>
      </c>
      <c r="N87" s="61">
        <v>3.1762731481481482E-2</v>
      </c>
      <c r="O87" s="61">
        <v>4.5694444444444446E-3</v>
      </c>
      <c r="P87" s="61">
        <v>0.10870138888888888</v>
      </c>
      <c r="Q87" s="59" t="s">
        <v>1634</v>
      </c>
      <c r="R87" s="8">
        <f t="shared" si="1"/>
        <v>779</v>
      </c>
    </row>
    <row r="88" spans="1:18">
      <c r="A88" s="59">
        <v>87</v>
      </c>
      <c r="B88" s="59">
        <v>118</v>
      </c>
      <c r="C88" s="60" t="s">
        <v>135</v>
      </c>
      <c r="D88" s="59" t="s">
        <v>402</v>
      </c>
      <c r="E88" s="59" t="s">
        <v>403</v>
      </c>
      <c r="F88" s="59" t="s">
        <v>199</v>
      </c>
      <c r="G88" s="59" t="s">
        <v>340</v>
      </c>
      <c r="H88" s="59" t="s">
        <v>1501</v>
      </c>
      <c r="I88" s="59">
        <v>83</v>
      </c>
      <c r="J88" s="61">
        <v>2.6362268518518518E-2</v>
      </c>
      <c r="K88" s="61">
        <v>1.1481481481481481E-3</v>
      </c>
      <c r="L88" s="61">
        <v>4.8996527777777778E-2</v>
      </c>
      <c r="M88" s="61">
        <v>9.872685185185184E-4</v>
      </c>
      <c r="N88" s="61">
        <v>3.1307870370370368E-2</v>
      </c>
      <c r="O88" s="61">
        <v>2.1354166666666665E-3</v>
      </c>
      <c r="P88" s="61">
        <v>0.10880324074074074</v>
      </c>
      <c r="Q88" s="59" t="s">
        <v>1635</v>
      </c>
      <c r="R88" s="8">
        <f t="shared" si="1"/>
        <v>779</v>
      </c>
    </row>
    <row r="89" spans="1:18">
      <c r="A89" s="59">
        <v>88</v>
      </c>
      <c r="B89" s="59">
        <v>38</v>
      </c>
      <c r="C89" s="60" t="s">
        <v>135</v>
      </c>
      <c r="D89" s="59" t="s">
        <v>1636</v>
      </c>
      <c r="E89" s="59" t="s">
        <v>1637</v>
      </c>
      <c r="F89" s="59" t="s">
        <v>138</v>
      </c>
      <c r="G89" s="59" t="s">
        <v>340</v>
      </c>
      <c r="H89" s="59" t="s">
        <v>1501</v>
      </c>
      <c r="I89" s="59">
        <v>84</v>
      </c>
      <c r="J89" s="61">
        <v>2.6156250000000002E-2</v>
      </c>
      <c r="K89" s="61">
        <v>1.6805555555555554E-3</v>
      </c>
      <c r="L89" s="61">
        <v>4.9690972222222227E-2</v>
      </c>
      <c r="M89" s="61">
        <v>1.2372685185185186E-3</v>
      </c>
      <c r="N89" s="61">
        <v>3.0116898148148146E-2</v>
      </c>
      <c r="O89" s="61">
        <v>2.917824074074074E-3</v>
      </c>
      <c r="P89" s="61">
        <v>0.10888541666666668</v>
      </c>
      <c r="Q89" s="59" t="s">
        <v>1638</v>
      </c>
      <c r="R89" s="8">
        <f t="shared" si="1"/>
        <v>778</v>
      </c>
    </row>
    <row r="90" spans="1:18">
      <c r="A90" s="59">
        <v>89</v>
      </c>
      <c r="B90" s="59">
        <v>243</v>
      </c>
      <c r="C90" s="60" t="s">
        <v>135</v>
      </c>
      <c r="D90" s="59" t="s">
        <v>502</v>
      </c>
      <c r="E90" s="59" t="s">
        <v>503</v>
      </c>
      <c r="F90" s="59" t="s">
        <v>504</v>
      </c>
      <c r="G90" s="59" t="s">
        <v>340</v>
      </c>
      <c r="H90" s="59" t="s">
        <v>1501</v>
      </c>
      <c r="I90" s="59">
        <v>85</v>
      </c>
      <c r="J90" s="61">
        <v>2.7873842592592596E-2</v>
      </c>
      <c r="K90" s="61">
        <v>1.236111111111111E-3</v>
      </c>
      <c r="L90" s="61">
        <v>4.8372685185185178E-2</v>
      </c>
      <c r="M90" s="61">
        <v>1.1168981481481481E-3</v>
      </c>
      <c r="N90" s="61">
        <v>3.0680555555555558E-2</v>
      </c>
      <c r="O90" s="61">
        <v>2.3530092592592596E-3</v>
      </c>
      <c r="P90" s="61">
        <v>0.10928240740740741</v>
      </c>
      <c r="Q90" s="59" t="s">
        <v>1639</v>
      </c>
      <c r="R90" s="8">
        <f t="shared" si="1"/>
        <v>775</v>
      </c>
    </row>
    <row r="91" spans="1:18">
      <c r="A91" s="59">
        <v>90</v>
      </c>
      <c r="B91" s="59">
        <v>603</v>
      </c>
      <c r="C91" s="60" t="s">
        <v>135</v>
      </c>
      <c r="D91" s="59" t="s">
        <v>1640</v>
      </c>
      <c r="E91" s="59" t="s">
        <v>1641</v>
      </c>
      <c r="F91" s="59" t="s">
        <v>173</v>
      </c>
      <c r="G91" s="59" t="s">
        <v>319</v>
      </c>
      <c r="H91" s="59" t="s">
        <v>1520</v>
      </c>
      <c r="I91" s="59">
        <v>3</v>
      </c>
      <c r="J91" s="61">
        <v>2.3848379629629629E-2</v>
      </c>
      <c r="K91" s="61">
        <v>1.3599537037037037E-3</v>
      </c>
      <c r="L91" s="61">
        <v>5.432754629629629E-2</v>
      </c>
      <c r="M91" s="61">
        <v>1.0879629629629629E-3</v>
      </c>
      <c r="N91" s="61">
        <v>2.9157407407407406E-2</v>
      </c>
      <c r="O91" s="61">
        <v>2.4479166666666668E-3</v>
      </c>
      <c r="P91" s="61">
        <v>0.10978472222222221</v>
      </c>
      <c r="Q91" s="59" t="s">
        <v>1642</v>
      </c>
      <c r="R91" s="8">
        <f t="shared" si="1"/>
        <v>772</v>
      </c>
    </row>
    <row r="92" spans="1:18">
      <c r="A92" s="59">
        <v>91</v>
      </c>
      <c r="B92" s="59">
        <v>47</v>
      </c>
      <c r="C92" s="60" t="s">
        <v>135</v>
      </c>
      <c r="D92" s="59" t="s">
        <v>1643</v>
      </c>
      <c r="E92" s="59" t="s">
        <v>0</v>
      </c>
      <c r="F92" s="59" t="s">
        <v>1644</v>
      </c>
      <c r="G92" s="59" t="s">
        <v>340</v>
      </c>
      <c r="H92" s="59" t="s">
        <v>1501</v>
      </c>
      <c r="I92" s="59">
        <v>86</v>
      </c>
      <c r="J92" s="61">
        <v>2.1799768518518517E-2</v>
      </c>
      <c r="K92" s="61">
        <v>1.3356481481481483E-3</v>
      </c>
      <c r="L92" s="61">
        <v>4.4332175925925928E-2</v>
      </c>
      <c r="M92" s="61">
        <v>1.3483796296296297E-3</v>
      </c>
      <c r="N92" s="61">
        <v>4.0978009259259263E-2</v>
      </c>
      <c r="O92" s="61">
        <v>2.6840277777777778E-3</v>
      </c>
      <c r="P92" s="61">
        <v>0.10979745370370371</v>
      </c>
      <c r="Q92" s="59" t="s">
        <v>1088</v>
      </c>
      <c r="R92" s="8">
        <f t="shared" si="1"/>
        <v>772</v>
      </c>
    </row>
    <row r="93" spans="1:18">
      <c r="A93" s="59">
        <v>92</v>
      </c>
      <c r="B93" s="59">
        <v>311</v>
      </c>
      <c r="C93" s="60" t="s">
        <v>135</v>
      </c>
      <c r="D93" s="59" t="s">
        <v>523</v>
      </c>
      <c r="E93" s="59" t="s">
        <v>524</v>
      </c>
      <c r="F93" s="59"/>
      <c r="G93" s="59" t="s">
        <v>340</v>
      </c>
      <c r="H93" s="59" t="s">
        <v>1501</v>
      </c>
      <c r="I93" s="59">
        <v>87</v>
      </c>
      <c r="J93" s="61">
        <v>2.2776620370370371E-2</v>
      </c>
      <c r="K93" s="61">
        <v>1.1875E-3</v>
      </c>
      <c r="L93" s="61">
        <v>4.5913194444444444E-2</v>
      </c>
      <c r="M93" s="61">
        <v>8.8078703703703702E-4</v>
      </c>
      <c r="N93" s="61">
        <v>3.9060185185185184E-2</v>
      </c>
      <c r="O93" s="61">
        <v>2.0682870370370369E-3</v>
      </c>
      <c r="P93" s="61">
        <v>0.10982060185185186</v>
      </c>
      <c r="Q93" s="59" t="s">
        <v>1645</v>
      </c>
      <c r="R93" s="8">
        <f t="shared" si="1"/>
        <v>771</v>
      </c>
    </row>
    <row r="94" spans="1:18">
      <c r="A94" s="59">
        <v>93</v>
      </c>
      <c r="B94" s="59">
        <v>646</v>
      </c>
      <c r="C94" s="60" t="s">
        <v>135</v>
      </c>
      <c r="D94" s="59" t="s">
        <v>1646</v>
      </c>
      <c r="E94" s="59" t="s">
        <v>0</v>
      </c>
      <c r="F94" s="59" t="s">
        <v>189</v>
      </c>
      <c r="G94" s="59" t="s">
        <v>319</v>
      </c>
      <c r="H94" s="59" t="s">
        <v>1520</v>
      </c>
      <c r="I94" s="59">
        <v>4</v>
      </c>
      <c r="J94" s="61">
        <v>2.2775462962962963E-2</v>
      </c>
      <c r="K94" s="61">
        <v>9.9421296296296302E-4</v>
      </c>
      <c r="L94" s="61">
        <v>5.1081018518518512E-2</v>
      </c>
      <c r="M94" s="61">
        <v>1.2465277777777778E-3</v>
      </c>
      <c r="N94" s="61">
        <v>3.3834490740740741E-2</v>
      </c>
      <c r="O94" s="61">
        <v>2.2407407407407406E-3</v>
      </c>
      <c r="P94" s="61">
        <v>0.10993518518518518</v>
      </c>
      <c r="Q94" s="59" t="s">
        <v>1647</v>
      </c>
      <c r="R94" s="8">
        <f t="shared" si="1"/>
        <v>771</v>
      </c>
    </row>
    <row r="95" spans="1:18">
      <c r="A95" s="59">
        <v>94</v>
      </c>
      <c r="B95" s="59">
        <v>98</v>
      </c>
      <c r="C95" s="60" t="s">
        <v>135</v>
      </c>
      <c r="D95" s="59" t="s">
        <v>1648</v>
      </c>
      <c r="E95" s="59" t="s">
        <v>0</v>
      </c>
      <c r="F95" s="59"/>
      <c r="G95" s="59" t="s">
        <v>340</v>
      </c>
      <c r="H95" s="59" t="s">
        <v>1501</v>
      </c>
      <c r="I95" s="59">
        <v>88</v>
      </c>
      <c r="J95" s="61">
        <v>2.6137731481481484E-2</v>
      </c>
      <c r="K95" s="61">
        <v>1.5590277777777777E-3</v>
      </c>
      <c r="L95" s="61">
        <v>4.9270833333333333E-2</v>
      </c>
      <c r="M95" s="61">
        <v>1.1921296296296296E-3</v>
      </c>
      <c r="N95" s="61">
        <v>3.2103009259259255E-2</v>
      </c>
      <c r="O95" s="61">
        <v>2.7511574074074075E-3</v>
      </c>
      <c r="P95" s="61">
        <v>0.1102650462962963</v>
      </c>
      <c r="Q95" s="59" t="s">
        <v>1649</v>
      </c>
      <c r="R95" s="8">
        <f t="shared" si="1"/>
        <v>768</v>
      </c>
    </row>
    <row r="96" spans="1:18">
      <c r="A96" s="59">
        <v>95</v>
      </c>
      <c r="B96" s="59">
        <v>321</v>
      </c>
      <c r="C96" s="60" t="s">
        <v>135</v>
      </c>
      <c r="D96" s="59" t="s">
        <v>1650</v>
      </c>
      <c r="E96" s="59" t="s">
        <v>1651</v>
      </c>
      <c r="F96" s="59"/>
      <c r="G96" s="59" t="s">
        <v>340</v>
      </c>
      <c r="H96" s="59" t="s">
        <v>1501</v>
      </c>
      <c r="I96" s="59">
        <v>89</v>
      </c>
      <c r="J96" s="61">
        <v>2.5244212962962961E-2</v>
      </c>
      <c r="K96" s="61">
        <v>8.7384259259259262E-4</v>
      </c>
      <c r="L96" s="61">
        <v>4.8373842592592593E-2</v>
      </c>
      <c r="M96" s="61">
        <v>1.0416666666666667E-3</v>
      </c>
      <c r="N96" s="61">
        <v>3.4733796296296297E-2</v>
      </c>
      <c r="O96" s="61">
        <v>1.9155092592592592E-3</v>
      </c>
      <c r="P96" s="61">
        <v>0.11026851851851853</v>
      </c>
      <c r="Q96" s="59" t="s">
        <v>1652</v>
      </c>
      <c r="R96" s="8">
        <f t="shared" si="1"/>
        <v>768</v>
      </c>
    </row>
    <row r="97" spans="1:18">
      <c r="A97" s="59">
        <v>96</v>
      </c>
      <c r="B97" s="59">
        <v>43</v>
      </c>
      <c r="C97" s="60" t="s">
        <v>135</v>
      </c>
      <c r="D97" s="59" t="s">
        <v>1653</v>
      </c>
      <c r="E97" s="59" t="s">
        <v>0</v>
      </c>
      <c r="F97" s="59" t="s">
        <v>173</v>
      </c>
      <c r="G97" s="59" t="s">
        <v>340</v>
      </c>
      <c r="H97" s="59" t="s">
        <v>1501</v>
      </c>
      <c r="I97" s="59">
        <v>90</v>
      </c>
      <c r="J97" s="61">
        <v>2.5572916666666667E-2</v>
      </c>
      <c r="K97" s="61">
        <v>1.3067129629629631E-3</v>
      </c>
      <c r="L97" s="61">
        <v>4.4615740740740741E-2</v>
      </c>
      <c r="M97" s="61">
        <v>1.1053240740740741E-3</v>
      </c>
      <c r="N97" s="61">
        <v>3.7888888888888889E-2</v>
      </c>
      <c r="O97" s="61">
        <v>2.4120370370370372E-3</v>
      </c>
      <c r="P97" s="61">
        <v>0.11049305555555557</v>
      </c>
      <c r="Q97" s="59" t="s">
        <v>1654</v>
      </c>
      <c r="R97" s="8">
        <f t="shared" si="1"/>
        <v>767</v>
      </c>
    </row>
    <row r="98" spans="1:18">
      <c r="A98" s="59">
        <v>97</v>
      </c>
      <c r="B98" s="59">
        <v>34</v>
      </c>
      <c r="C98" s="60" t="s">
        <v>135</v>
      </c>
      <c r="D98" s="59" t="s">
        <v>1655</v>
      </c>
      <c r="E98" s="59" t="s">
        <v>0</v>
      </c>
      <c r="F98" s="59"/>
      <c r="G98" s="59" t="s">
        <v>340</v>
      </c>
      <c r="H98" s="59" t="s">
        <v>1501</v>
      </c>
      <c r="I98" s="59">
        <v>91</v>
      </c>
      <c r="J98" s="61">
        <v>2.5811342592592591E-2</v>
      </c>
      <c r="K98" s="61">
        <v>4.4965277777777781E-3</v>
      </c>
      <c r="L98" s="61">
        <v>4.8939814814814811E-2</v>
      </c>
      <c r="M98" s="61">
        <v>2.4895833333333332E-3</v>
      </c>
      <c r="N98" s="61">
        <v>2.8795138888888891E-2</v>
      </c>
      <c r="O98" s="61">
        <v>6.9861111111111113E-3</v>
      </c>
      <c r="P98" s="61">
        <v>0.11053472222222223</v>
      </c>
      <c r="Q98" s="59" t="s">
        <v>1656</v>
      </c>
      <c r="R98" s="8">
        <f t="shared" si="1"/>
        <v>766</v>
      </c>
    </row>
    <row r="99" spans="1:18">
      <c r="A99" s="59">
        <v>98</v>
      </c>
      <c r="B99" s="59">
        <v>224</v>
      </c>
      <c r="C99" s="60" t="s">
        <v>135</v>
      </c>
      <c r="D99" s="59" t="s">
        <v>1657</v>
      </c>
      <c r="E99" s="59" t="s">
        <v>1658</v>
      </c>
      <c r="F99" s="59"/>
      <c r="G99" s="59" t="s">
        <v>340</v>
      </c>
      <c r="H99" s="59" t="s">
        <v>1501</v>
      </c>
      <c r="I99" s="59">
        <v>92</v>
      </c>
      <c r="J99" s="61">
        <v>2.3418981481481482E-2</v>
      </c>
      <c r="K99" s="61">
        <v>1.5729166666666667E-3</v>
      </c>
      <c r="L99" s="61">
        <v>4.6652777777777779E-2</v>
      </c>
      <c r="M99" s="61">
        <v>1.5011574074074072E-3</v>
      </c>
      <c r="N99" s="61">
        <v>3.7453703703703704E-2</v>
      </c>
      <c r="O99" s="61">
        <v>3.0740740740740741E-3</v>
      </c>
      <c r="P99" s="61">
        <v>0.11060185185185185</v>
      </c>
      <c r="Q99" s="59" t="s">
        <v>1659</v>
      </c>
      <c r="R99" s="8">
        <f t="shared" si="1"/>
        <v>766</v>
      </c>
    </row>
    <row r="100" spans="1:18">
      <c r="A100" s="59">
        <v>99</v>
      </c>
      <c r="B100" s="59">
        <v>111</v>
      </c>
      <c r="C100" s="60" t="s">
        <v>135</v>
      </c>
      <c r="D100" s="59" t="s">
        <v>1660</v>
      </c>
      <c r="E100" s="59" t="s">
        <v>0</v>
      </c>
      <c r="F100" s="59" t="s">
        <v>148</v>
      </c>
      <c r="G100" s="59" t="s">
        <v>340</v>
      </c>
      <c r="H100" s="59" t="s">
        <v>1501</v>
      </c>
      <c r="I100" s="59">
        <v>93</v>
      </c>
      <c r="J100" s="61">
        <v>2.6714120370370371E-2</v>
      </c>
      <c r="K100" s="61">
        <v>1.3020833333333333E-3</v>
      </c>
      <c r="L100" s="61">
        <v>4.7447916666666666E-2</v>
      </c>
      <c r="M100" s="61">
        <v>1.0370370370370371E-3</v>
      </c>
      <c r="N100" s="61">
        <v>3.4125000000000003E-2</v>
      </c>
      <c r="O100" s="61">
        <v>2.3391203703703703E-3</v>
      </c>
      <c r="P100" s="61">
        <v>0.11062731481481482</v>
      </c>
      <c r="Q100" s="59" t="s">
        <v>1661</v>
      </c>
      <c r="R100" s="8">
        <f t="shared" si="1"/>
        <v>766</v>
      </c>
    </row>
    <row r="101" spans="1:18">
      <c r="A101" s="59">
        <v>100</v>
      </c>
      <c r="B101" s="59">
        <v>283</v>
      </c>
      <c r="C101" s="60" t="s">
        <v>135</v>
      </c>
      <c r="D101" s="59" t="s">
        <v>1662</v>
      </c>
      <c r="E101" s="59" t="s">
        <v>0</v>
      </c>
      <c r="F101" s="59"/>
      <c r="G101" s="59" t="s">
        <v>340</v>
      </c>
      <c r="H101" s="59" t="s">
        <v>1501</v>
      </c>
      <c r="I101" s="59">
        <v>94</v>
      </c>
      <c r="J101" s="61">
        <v>2.365625E-2</v>
      </c>
      <c r="K101" s="61">
        <v>1.3125000000000001E-3</v>
      </c>
      <c r="L101" s="61">
        <v>4.6487268518518518E-2</v>
      </c>
      <c r="M101" s="61">
        <v>1.3807870370370369E-3</v>
      </c>
      <c r="N101" s="61">
        <v>3.8124999999999999E-2</v>
      </c>
      <c r="O101" s="61">
        <v>2.693287037037037E-3</v>
      </c>
      <c r="P101" s="61">
        <v>0.11096412037037036</v>
      </c>
      <c r="Q101" s="59" t="s">
        <v>1663</v>
      </c>
      <c r="R101" s="8">
        <f t="shared" si="1"/>
        <v>764</v>
      </c>
    </row>
    <row r="102" spans="1:18">
      <c r="A102" s="59">
        <v>101</v>
      </c>
      <c r="B102" s="59">
        <v>234</v>
      </c>
      <c r="C102" s="60" t="s">
        <v>135</v>
      </c>
      <c r="D102" s="59" t="s">
        <v>1082</v>
      </c>
      <c r="E102" s="59" t="s">
        <v>1083</v>
      </c>
      <c r="F102" s="59"/>
      <c r="G102" s="59" t="s">
        <v>340</v>
      </c>
      <c r="H102" s="59" t="s">
        <v>1501</v>
      </c>
      <c r="I102" s="59">
        <v>95</v>
      </c>
      <c r="J102" s="61">
        <v>2.218287037037037E-2</v>
      </c>
      <c r="K102" s="61">
        <v>1.207175925925926E-3</v>
      </c>
      <c r="L102" s="61">
        <v>5.2728009259259259E-2</v>
      </c>
      <c r="M102" s="61">
        <v>1.6412037037037037E-3</v>
      </c>
      <c r="N102" s="61">
        <v>3.3637731481481484E-2</v>
      </c>
      <c r="O102" s="61">
        <v>2.8483796296296295E-3</v>
      </c>
      <c r="P102" s="61">
        <v>0.11139930555555555</v>
      </c>
      <c r="Q102" s="59" t="s">
        <v>1664</v>
      </c>
      <c r="R102" s="8">
        <f t="shared" si="1"/>
        <v>761</v>
      </c>
    </row>
    <row r="103" spans="1:18">
      <c r="A103" s="59">
        <v>102</v>
      </c>
      <c r="B103" s="59">
        <v>70</v>
      </c>
      <c r="C103" s="60" t="s">
        <v>135</v>
      </c>
      <c r="D103" s="59" t="s">
        <v>442</v>
      </c>
      <c r="E103" s="59" t="s">
        <v>443</v>
      </c>
      <c r="F103" s="59"/>
      <c r="G103" s="59" t="s">
        <v>340</v>
      </c>
      <c r="H103" s="59" t="s">
        <v>1501</v>
      </c>
      <c r="I103" s="59">
        <v>96</v>
      </c>
      <c r="J103" s="61">
        <v>2.6143518518518521E-2</v>
      </c>
      <c r="K103" s="61">
        <v>1.7997685185185185E-3</v>
      </c>
      <c r="L103" s="61">
        <v>4.8991898148148146E-2</v>
      </c>
      <c r="M103" s="61">
        <v>1.4814814814814814E-3</v>
      </c>
      <c r="N103" s="61">
        <v>3.2988425925925921E-2</v>
      </c>
      <c r="O103" s="61">
        <v>3.2812499999999999E-3</v>
      </c>
      <c r="P103" s="61">
        <v>0.11140856481481483</v>
      </c>
      <c r="Q103" s="59" t="s">
        <v>1665</v>
      </c>
      <c r="R103" s="8">
        <f t="shared" si="1"/>
        <v>760</v>
      </c>
    </row>
    <row r="104" spans="1:18">
      <c r="A104" s="59">
        <v>103</v>
      </c>
      <c r="B104" s="59">
        <v>312</v>
      </c>
      <c r="C104" s="60" t="s">
        <v>140</v>
      </c>
      <c r="D104" s="59" t="s">
        <v>1666</v>
      </c>
      <c r="E104" s="59" t="s">
        <v>0</v>
      </c>
      <c r="F104" s="59" t="s">
        <v>1667</v>
      </c>
      <c r="G104" s="59" t="s">
        <v>340</v>
      </c>
      <c r="H104" s="59" t="s">
        <v>1501</v>
      </c>
      <c r="I104" s="59">
        <v>97</v>
      </c>
      <c r="J104" s="61">
        <v>2.3913194444444442E-2</v>
      </c>
      <c r="K104" s="61">
        <v>1.3472222222222223E-3</v>
      </c>
      <c r="L104" s="61">
        <v>4.6181712962962959E-2</v>
      </c>
      <c r="M104" s="61">
        <v>1.4907407407407408E-3</v>
      </c>
      <c r="N104" s="61">
        <v>3.8521990740740746E-2</v>
      </c>
      <c r="O104" s="61">
        <v>2.8379629629629627E-3</v>
      </c>
      <c r="P104" s="61">
        <v>0.11145717592592592</v>
      </c>
      <c r="Q104" s="59" t="s">
        <v>1668</v>
      </c>
      <c r="R104" s="8">
        <f t="shared" si="1"/>
        <v>760</v>
      </c>
    </row>
    <row r="105" spans="1:18">
      <c r="A105" s="59">
        <v>104</v>
      </c>
      <c r="B105" s="59">
        <v>230</v>
      </c>
      <c r="C105" s="60" t="s">
        <v>135</v>
      </c>
      <c r="D105" s="59" t="s">
        <v>1669</v>
      </c>
      <c r="E105" s="59" t="s">
        <v>0</v>
      </c>
      <c r="F105" s="59" t="s">
        <v>1670</v>
      </c>
      <c r="G105" s="59" t="s">
        <v>340</v>
      </c>
      <c r="H105" s="59" t="s">
        <v>1501</v>
      </c>
      <c r="I105" s="59">
        <v>98</v>
      </c>
      <c r="J105" s="61">
        <v>2.3340277777777776E-2</v>
      </c>
      <c r="K105" s="61">
        <v>1.712962962962963E-3</v>
      </c>
      <c r="L105" s="61">
        <v>5.2531249999999995E-2</v>
      </c>
      <c r="M105" s="61">
        <v>1.4756944444444444E-3</v>
      </c>
      <c r="N105" s="61">
        <v>3.2811342592592593E-2</v>
      </c>
      <c r="O105" s="61">
        <v>3.1886574074074074E-3</v>
      </c>
      <c r="P105" s="61">
        <v>0.111875</v>
      </c>
      <c r="Q105" s="59" t="s">
        <v>1671</v>
      </c>
      <c r="R105" s="8">
        <f t="shared" si="1"/>
        <v>757</v>
      </c>
    </row>
    <row r="106" spans="1:18">
      <c r="A106" s="59">
        <v>105</v>
      </c>
      <c r="B106" s="59">
        <v>73</v>
      </c>
      <c r="C106" s="60" t="s">
        <v>135</v>
      </c>
      <c r="D106" s="59" t="s">
        <v>509</v>
      </c>
      <c r="E106" s="59" t="s">
        <v>510</v>
      </c>
      <c r="F106" s="59" t="s">
        <v>1672</v>
      </c>
      <c r="G106" s="59" t="s">
        <v>340</v>
      </c>
      <c r="H106" s="59" t="s">
        <v>1501</v>
      </c>
      <c r="I106" s="59">
        <v>99</v>
      </c>
      <c r="J106" s="61">
        <v>2.8562500000000001E-2</v>
      </c>
      <c r="K106" s="61">
        <v>1.0844907407407407E-3</v>
      </c>
      <c r="L106" s="61">
        <v>4.8615740740740737E-2</v>
      </c>
      <c r="M106" s="61">
        <v>9.1666666666666665E-4</v>
      </c>
      <c r="N106" s="61">
        <v>3.2857638888888888E-2</v>
      </c>
      <c r="O106" s="61">
        <v>2.0011574074074077E-3</v>
      </c>
      <c r="P106" s="61">
        <v>0.11203819444444445</v>
      </c>
      <c r="Q106" s="59" t="s">
        <v>1673</v>
      </c>
      <c r="R106" s="8">
        <f t="shared" si="1"/>
        <v>756</v>
      </c>
    </row>
    <row r="107" spans="1:18">
      <c r="A107" s="59">
        <v>106</v>
      </c>
      <c r="B107" s="59">
        <v>221</v>
      </c>
      <c r="C107" s="60" t="s">
        <v>135</v>
      </c>
      <c r="D107" s="59" t="s">
        <v>1674</v>
      </c>
      <c r="E107" s="59" t="s">
        <v>0</v>
      </c>
      <c r="F107" s="59" t="s">
        <v>1675</v>
      </c>
      <c r="G107" s="59" t="s">
        <v>340</v>
      </c>
      <c r="H107" s="59" t="s">
        <v>1501</v>
      </c>
      <c r="I107" s="59">
        <v>100</v>
      </c>
      <c r="J107" s="61">
        <v>2.5409722222222222E-2</v>
      </c>
      <c r="K107" s="61">
        <v>2.3206018518518519E-3</v>
      </c>
      <c r="L107" s="61">
        <v>4.9273148148148149E-2</v>
      </c>
      <c r="M107" s="61">
        <v>1.3564814814814815E-3</v>
      </c>
      <c r="N107" s="61">
        <v>3.3777777777777782E-2</v>
      </c>
      <c r="O107" s="61">
        <v>3.677083333333333E-3</v>
      </c>
      <c r="P107" s="61">
        <v>0.11214004629629629</v>
      </c>
      <c r="Q107" s="59" t="s">
        <v>1676</v>
      </c>
      <c r="R107" s="8">
        <f t="shared" si="1"/>
        <v>756</v>
      </c>
    </row>
    <row r="108" spans="1:18">
      <c r="A108" s="59">
        <v>107</v>
      </c>
      <c r="B108" s="59">
        <v>288</v>
      </c>
      <c r="C108" s="60" t="s">
        <v>135</v>
      </c>
      <c r="D108" s="59" t="s">
        <v>824</v>
      </c>
      <c r="E108" s="59" t="s">
        <v>825</v>
      </c>
      <c r="F108" s="59"/>
      <c r="G108" s="59" t="s">
        <v>340</v>
      </c>
      <c r="H108" s="59" t="s">
        <v>1501</v>
      </c>
      <c r="I108" s="59">
        <v>101</v>
      </c>
      <c r="J108" s="61">
        <v>2.7604166666666666E-2</v>
      </c>
      <c r="K108" s="61">
        <v>1.9594907407407408E-3</v>
      </c>
      <c r="L108" s="61">
        <v>4.9843749999999999E-2</v>
      </c>
      <c r="M108" s="61">
        <v>1.0694444444444445E-3</v>
      </c>
      <c r="N108" s="61">
        <v>3.175810185185185E-2</v>
      </c>
      <c r="O108" s="61">
        <v>3.0289351851851849E-3</v>
      </c>
      <c r="P108" s="61">
        <v>0.11223611111111112</v>
      </c>
      <c r="Q108" s="59" t="s">
        <v>1677</v>
      </c>
      <c r="R108" s="8">
        <f t="shared" si="1"/>
        <v>755</v>
      </c>
    </row>
    <row r="109" spans="1:18">
      <c r="A109" s="59">
        <v>108</v>
      </c>
      <c r="B109" s="59">
        <v>84</v>
      </c>
      <c r="C109" s="60" t="s">
        <v>135</v>
      </c>
      <c r="D109" s="59" t="s">
        <v>550</v>
      </c>
      <c r="E109" s="59" t="s">
        <v>551</v>
      </c>
      <c r="F109" s="59"/>
      <c r="G109" s="59" t="s">
        <v>340</v>
      </c>
      <c r="H109" s="59" t="s">
        <v>1501</v>
      </c>
      <c r="I109" s="59">
        <v>102</v>
      </c>
      <c r="J109" s="61">
        <v>2.5101851851851854E-2</v>
      </c>
      <c r="K109" s="61">
        <v>1.523148148148148E-3</v>
      </c>
      <c r="L109" s="61">
        <v>5.0366898148148147E-2</v>
      </c>
      <c r="M109" s="61">
        <v>1.2754629629629631E-3</v>
      </c>
      <c r="N109" s="61">
        <v>3.4402777777777782E-2</v>
      </c>
      <c r="O109" s="61">
        <v>2.7986111111111111E-3</v>
      </c>
      <c r="P109" s="61">
        <v>0.1126724537037037</v>
      </c>
      <c r="Q109" s="59" t="s">
        <v>1678</v>
      </c>
      <c r="R109" s="8">
        <f t="shared" si="1"/>
        <v>752</v>
      </c>
    </row>
    <row r="110" spans="1:18">
      <c r="A110" s="59">
        <v>109</v>
      </c>
      <c r="B110" s="59">
        <v>246</v>
      </c>
      <c r="C110" s="60" t="s">
        <v>135</v>
      </c>
      <c r="D110" s="59" t="s">
        <v>567</v>
      </c>
      <c r="E110" s="59" t="s">
        <v>568</v>
      </c>
      <c r="F110" s="59" t="s">
        <v>569</v>
      </c>
      <c r="G110" s="59" t="s">
        <v>340</v>
      </c>
      <c r="H110" s="59" t="s">
        <v>1501</v>
      </c>
      <c r="I110" s="59">
        <v>103</v>
      </c>
      <c r="J110" s="61">
        <v>2.6186342592592591E-2</v>
      </c>
      <c r="K110" s="61">
        <v>1.7627314814814817E-3</v>
      </c>
      <c r="L110" s="61">
        <v>4.8055555555555553E-2</v>
      </c>
      <c r="M110" s="61">
        <v>1.3749999999999999E-3</v>
      </c>
      <c r="N110" s="61">
        <v>3.5473379629629632E-2</v>
      </c>
      <c r="O110" s="61">
        <v>3.1377314814814818E-3</v>
      </c>
      <c r="P110" s="61">
        <v>0.11285648148148147</v>
      </c>
      <c r="Q110" s="59" t="s">
        <v>1679</v>
      </c>
      <c r="R110" s="8">
        <f t="shared" si="1"/>
        <v>751</v>
      </c>
    </row>
    <row r="111" spans="1:18">
      <c r="A111" s="59">
        <v>110</v>
      </c>
      <c r="B111" s="59">
        <v>121</v>
      </c>
      <c r="C111" s="60" t="s">
        <v>135</v>
      </c>
      <c r="D111" s="59" t="s">
        <v>1680</v>
      </c>
      <c r="E111" s="59" t="s">
        <v>0</v>
      </c>
      <c r="F111" s="59"/>
      <c r="G111" s="59" t="s">
        <v>340</v>
      </c>
      <c r="H111" s="59" t="s">
        <v>1501</v>
      </c>
      <c r="I111" s="59">
        <v>104</v>
      </c>
      <c r="J111" s="61">
        <v>2.0136574074074074E-2</v>
      </c>
      <c r="K111" s="61">
        <v>1.1909722222222224E-3</v>
      </c>
      <c r="L111" s="61">
        <v>5.1980324074074082E-2</v>
      </c>
      <c r="M111" s="61">
        <v>1.1724537037037038E-3</v>
      </c>
      <c r="N111" s="61">
        <v>3.8392361111111113E-2</v>
      </c>
      <c r="O111" s="61">
        <v>2.3634259259259259E-3</v>
      </c>
      <c r="P111" s="61">
        <v>0.11287499999999999</v>
      </c>
      <c r="Q111" s="59" t="s">
        <v>1681</v>
      </c>
      <c r="R111" s="8">
        <f t="shared" si="1"/>
        <v>751</v>
      </c>
    </row>
    <row r="112" spans="1:18">
      <c r="A112" s="59">
        <v>111</v>
      </c>
      <c r="B112" s="59">
        <v>287</v>
      </c>
      <c r="C112" s="60" t="s">
        <v>135</v>
      </c>
      <c r="D112" s="59" t="s">
        <v>496</v>
      </c>
      <c r="E112" s="59" t="s">
        <v>497</v>
      </c>
      <c r="F112" s="59" t="s">
        <v>259</v>
      </c>
      <c r="G112" s="59" t="s">
        <v>340</v>
      </c>
      <c r="H112" s="59" t="s">
        <v>1501</v>
      </c>
      <c r="I112" s="59">
        <v>105</v>
      </c>
      <c r="J112" s="61">
        <v>2.4128472222222221E-2</v>
      </c>
      <c r="K112" s="61">
        <v>1.21875E-3</v>
      </c>
      <c r="L112" s="61">
        <v>5.226851851851852E-2</v>
      </c>
      <c r="M112" s="61">
        <v>1.3287037037037037E-3</v>
      </c>
      <c r="N112" s="61">
        <v>3.4612268518518521E-2</v>
      </c>
      <c r="O112" s="61">
        <v>2.5474537037037037E-3</v>
      </c>
      <c r="P112" s="61">
        <v>0.11355902777777778</v>
      </c>
      <c r="Q112" s="59" t="s">
        <v>1682</v>
      </c>
      <c r="R112" s="8">
        <f t="shared" si="1"/>
        <v>746</v>
      </c>
    </row>
    <row r="113" spans="1:18">
      <c r="A113" s="59">
        <v>112</v>
      </c>
      <c r="B113" s="59">
        <v>276</v>
      </c>
      <c r="C113" s="60" t="s">
        <v>135</v>
      </c>
      <c r="D113" s="59" t="s">
        <v>261</v>
      </c>
      <c r="E113" s="59" t="s">
        <v>262</v>
      </c>
      <c r="F113" s="59" t="s">
        <v>199</v>
      </c>
      <c r="G113" s="59" t="s">
        <v>340</v>
      </c>
      <c r="H113" s="59" t="s">
        <v>1501</v>
      </c>
      <c r="I113" s="59">
        <v>106</v>
      </c>
      <c r="J113" s="61">
        <v>2.0508101851851854E-2</v>
      </c>
      <c r="K113" s="61">
        <v>1.6157407407407407E-3</v>
      </c>
      <c r="L113" s="61">
        <v>5.4895833333333331E-2</v>
      </c>
      <c r="M113" s="61">
        <v>1.6064814814814815E-3</v>
      </c>
      <c r="N113" s="61">
        <v>3.5071759259259254E-2</v>
      </c>
      <c r="O113" s="61">
        <v>3.2222222222222218E-3</v>
      </c>
      <c r="P113" s="61">
        <v>0.11370023148148149</v>
      </c>
      <c r="Q113" s="59" t="s">
        <v>1683</v>
      </c>
      <c r="R113" s="8">
        <f t="shared" si="1"/>
        <v>745</v>
      </c>
    </row>
    <row r="114" spans="1:18">
      <c r="A114" s="59">
        <v>113</v>
      </c>
      <c r="B114" s="59">
        <v>301</v>
      </c>
      <c r="C114" s="60" t="s">
        <v>135</v>
      </c>
      <c r="D114" s="59" t="s">
        <v>526</v>
      </c>
      <c r="E114" s="59" t="s">
        <v>527</v>
      </c>
      <c r="F114" s="59"/>
      <c r="G114" s="59" t="s">
        <v>340</v>
      </c>
      <c r="H114" s="59" t="s">
        <v>1501</v>
      </c>
      <c r="I114" s="59">
        <v>107</v>
      </c>
      <c r="J114" s="61">
        <v>2.7710648148148147E-2</v>
      </c>
      <c r="K114" s="61">
        <v>1.0868055555555557E-3</v>
      </c>
      <c r="L114" s="61">
        <v>4.82662037037037E-2</v>
      </c>
      <c r="M114" s="61">
        <v>1.0231481481481482E-3</v>
      </c>
      <c r="N114" s="61">
        <v>3.5688657407407405E-2</v>
      </c>
      <c r="O114" s="61">
        <v>2.1099537037037037E-3</v>
      </c>
      <c r="P114" s="61">
        <v>0.11377777777777777</v>
      </c>
      <c r="Q114" s="59" t="s">
        <v>1684</v>
      </c>
      <c r="R114" s="8">
        <f t="shared" si="1"/>
        <v>745</v>
      </c>
    </row>
    <row r="115" spans="1:18">
      <c r="A115" s="59">
        <v>114</v>
      </c>
      <c r="B115" s="59">
        <v>320</v>
      </c>
      <c r="C115" s="60" t="s">
        <v>135</v>
      </c>
      <c r="D115" s="59" t="s">
        <v>1254</v>
      </c>
      <c r="E115" s="59" t="s">
        <v>1255</v>
      </c>
      <c r="F115" s="59"/>
      <c r="G115" s="59" t="s">
        <v>340</v>
      </c>
      <c r="H115" s="59" t="s">
        <v>1501</v>
      </c>
      <c r="I115" s="59">
        <v>108</v>
      </c>
      <c r="J115" s="61">
        <v>2.6508101851851856E-2</v>
      </c>
      <c r="K115" s="61">
        <v>1.8726851851851853E-3</v>
      </c>
      <c r="L115" s="61">
        <v>5.1001157407407405E-2</v>
      </c>
      <c r="M115" s="61">
        <v>1.4594907407407406E-3</v>
      </c>
      <c r="N115" s="61">
        <v>3.3071759259259259E-2</v>
      </c>
      <c r="O115" s="61">
        <v>3.3321759259259255E-3</v>
      </c>
      <c r="P115" s="61">
        <v>0.11391435185185186</v>
      </c>
      <c r="Q115" s="59" t="s">
        <v>1685</v>
      </c>
      <c r="R115" s="8">
        <f t="shared" si="1"/>
        <v>744</v>
      </c>
    </row>
    <row r="116" spans="1:18">
      <c r="A116" s="59">
        <v>115</v>
      </c>
      <c r="B116" s="59">
        <v>75</v>
      </c>
      <c r="C116" s="60" t="s">
        <v>135</v>
      </c>
      <c r="D116" s="59" t="s">
        <v>290</v>
      </c>
      <c r="E116" s="59" t="s">
        <v>291</v>
      </c>
      <c r="F116" s="59"/>
      <c r="G116" s="59" t="s">
        <v>340</v>
      </c>
      <c r="H116" s="59" t="s">
        <v>1501</v>
      </c>
      <c r="I116" s="59">
        <v>109</v>
      </c>
      <c r="J116" s="61">
        <v>2.5423611111111109E-2</v>
      </c>
      <c r="K116" s="61">
        <v>1.9456018518518518E-3</v>
      </c>
      <c r="L116" s="61">
        <v>5.2096064814814817E-2</v>
      </c>
      <c r="M116" s="61">
        <v>9.1203703703703705E-4</v>
      </c>
      <c r="N116" s="61">
        <v>3.3562500000000002E-2</v>
      </c>
      <c r="O116" s="61">
        <v>2.8576388888888892E-3</v>
      </c>
      <c r="P116" s="61">
        <v>0.11394212962962963</v>
      </c>
      <c r="Q116" s="59" t="s">
        <v>1686</v>
      </c>
      <c r="R116" s="8">
        <f t="shared" si="1"/>
        <v>744</v>
      </c>
    </row>
    <row r="117" spans="1:18">
      <c r="A117" s="59">
        <v>116</v>
      </c>
      <c r="B117" s="59">
        <v>218</v>
      </c>
      <c r="C117" s="60" t="s">
        <v>135</v>
      </c>
      <c r="D117" s="59" t="s">
        <v>1687</v>
      </c>
      <c r="E117" s="59" t="s">
        <v>0</v>
      </c>
      <c r="F117" s="59"/>
      <c r="G117" s="59" t="s">
        <v>340</v>
      </c>
      <c r="H117" s="59" t="s">
        <v>1501</v>
      </c>
      <c r="I117" s="59">
        <v>110</v>
      </c>
      <c r="J117" s="61">
        <v>2.7025462962962963E-2</v>
      </c>
      <c r="K117" s="61">
        <v>1.6875000000000002E-3</v>
      </c>
      <c r="L117" s="61">
        <v>4.8787037037037032E-2</v>
      </c>
      <c r="M117" s="61">
        <v>1.1458333333333333E-3</v>
      </c>
      <c r="N117" s="61">
        <v>3.5469907407407408E-2</v>
      </c>
      <c r="O117" s="61">
        <v>2.8333333333333335E-3</v>
      </c>
      <c r="P117" s="61">
        <v>0.11411805555555554</v>
      </c>
      <c r="Q117" s="59" t="s">
        <v>1688</v>
      </c>
      <c r="R117" s="8">
        <f t="shared" si="1"/>
        <v>742</v>
      </c>
    </row>
    <row r="118" spans="1:18">
      <c r="A118" s="59">
        <v>117</v>
      </c>
      <c r="B118" s="59">
        <v>14</v>
      </c>
      <c r="C118" s="60" t="s">
        <v>135</v>
      </c>
      <c r="D118" s="59" t="s">
        <v>1689</v>
      </c>
      <c r="E118" s="59" t="s">
        <v>0</v>
      </c>
      <c r="F118" s="59"/>
      <c r="G118" s="59" t="s">
        <v>340</v>
      </c>
      <c r="H118" s="59" t="s">
        <v>1501</v>
      </c>
      <c r="I118" s="59">
        <v>111</v>
      </c>
      <c r="J118" s="61">
        <v>2.593287037037037E-2</v>
      </c>
      <c r="K118" s="61">
        <v>1.8483796296296295E-3</v>
      </c>
      <c r="L118" s="61">
        <v>4.8230324074074078E-2</v>
      </c>
      <c r="M118" s="61">
        <v>1.1030092592592593E-3</v>
      </c>
      <c r="N118" s="61">
        <v>3.715162037037037E-2</v>
      </c>
      <c r="O118" s="61">
        <v>2.9513888888888888E-3</v>
      </c>
      <c r="P118" s="61">
        <v>0.11426851851851851</v>
      </c>
      <c r="Q118" s="59" t="s">
        <v>1690</v>
      </c>
      <c r="R118" s="8">
        <f t="shared" si="1"/>
        <v>741</v>
      </c>
    </row>
    <row r="119" spans="1:18">
      <c r="A119" s="59">
        <v>118</v>
      </c>
      <c r="B119" s="59">
        <v>18</v>
      </c>
      <c r="C119" s="60" t="s">
        <v>135</v>
      </c>
      <c r="D119" s="59" t="s">
        <v>1691</v>
      </c>
      <c r="E119" s="59" t="s">
        <v>0</v>
      </c>
      <c r="F119" s="59"/>
      <c r="G119" s="59" t="s">
        <v>340</v>
      </c>
      <c r="H119" s="59" t="s">
        <v>1501</v>
      </c>
      <c r="I119" s="59">
        <v>112</v>
      </c>
      <c r="J119" s="61">
        <v>2.4427083333333332E-2</v>
      </c>
      <c r="K119" s="61">
        <v>2.2118055555555554E-3</v>
      </c>
      <c r="L119" s="61">
        <v>4.7877314814814817E-2</v>
      </c>
      <c r="M119" s="61">
        <v>1.5486111111111113E-3</v>
      </c>
      <c r="N119" s="61">
        <v>3.8385416666666665E-2</v>
      </c>
      <c r="O119" s="61">
        <v>3.7604166666666662E-3</v>
      </c>
      <c r="P119" s="61">
        <v>0.11445254629629631</v>
      </c>
      <c r="Q119" s="59" t="s">
        <v>1692</v>
      </c>
      <c r="R119" s="8">
        <f t="shared" si="1"/>
        <v>740</v>
      </c>
    </row>
    <row r="120" spans="1:18">
      <c r="A120" s="59">
        <v>119</v>
      </c>
      <c r="B120" s="59">
        <v>76</v>
      </c>
      <c r="C120" s="60" t="s">
        <v>135</v>
      </c>
      <c r="D120" s="59" t="s">
        <v>1693</v>
      </c>
      <c r="E120" s="59" t="s">
        <v>0</v>
      </c>
      <c r="F120" s="59" t="s">
        <v>1694</v>
      </c>
      <c r="G120" s="59" t="s">
        <v>340</v>
      </c>
      <c r="H120" s="59" t="s">
        <v>1501</v>
      </c>
      <c r="I120" s="59">
        <v>113</v>
      </c>
      <c r="J120" s="61">
        <v>2.5434027777777778E-2</v>
      </c>
      <c r="K120" s="61">
        <v>1.4791666666666666E-3</v>
      </c>
      <c r="L120" s="61">
        <v>5.0572916666666669E-2</v>
      </c>
      <c r="M120" s="61">
        <v>1.0706018518518519E-3</v>
      </c>
      <c r="N120" s="61">
        <v>3.6017361111111111E-2</v>
      </c>
      <c r="O120" s="61">
        <v>2.5497685185185185E-3</v>
      </c>
      <c r="P120" s="61">
        <v>0.11457638888888888</v>
      </c>
      <c r="Q120" s="59" t="s">
        <v>1695</v>
      </c>
      <c r="R120" s="8">
        <f t="shared" si="1"/>
        <v>739</v>
      </c>
    </row>
    <row r="121" spans="1:18">
      <c r="A121" s="59">
        <v>120</v>
      </c>
      <c r="B121" s="59">
        <v>155</v>
      </c>
      <c r="C121" s="60" t="s">
        <v>135</v>
      </c>
      <c r="D121" s="59" t="s">
        <v>1696</v>
      </c>
      <c r="E121" s="59" t="s">
        <v>1697</v>
      </c>
      <c r="F121" s="59"/>
      <c r="G121" s="59" t="s">
        <v>340</v>
      </c>
      <c r="H121" s="59" t="s">
        <v>1501</v>
      </c>
      <c r="I121" s="59">
        <v>114</v>
      </c>
      <c r="J121" s="61">
        <v>2.7708333333333335E-2</v>
      </c>
      <c r="K121" s="61">
        <v>1.2199074074074074E-3</v>
      </c>
      <c r="L121" s="61">
        <v>4.9270833333333333E-2</v>
      </c>
      <c r="M121" s="61">
        <v>9.9884259259259262E-4</v>
      </c>
      <c r="N121" s="61">
        <v>3.5640046296296302E-2</v>
      </c>
      <c r="O121" s="61">
        <v>2.2187499999999998E-3</v>
      </c>
      <c r="P121" s="61">
        <v>0.11484027777777779</v>
      </c>
      <c r="Q121" s="59" t="s">
        <v>1698</v>
      </c>
      <c r="R121" s="8">
        <f t="shared" si="1"/>
        <v>738</v>
      </c>
    </row>
    <row r="122" spans="1:18">
      <c r="A122" s="59">
        <v>121</v>
      </c>
      <c r="B122" s="59">
        <v>63</v>
      </c>
      <c r="C122" s="60" t="s">
        <v>135</v>
      </c>
      <c r="D122" s="59" t="s">
        <v>1699</v>
      </c>
      <c r="E122" s="59" t="s">
        <v>0</v>
      </c>
      <c r="F122" s="59"/>
      <c r="G122" s="59" t="s">
        <v>340</v>
      </c>
      <c r="H122" s="59" t="s">
        <v>1501</v>
      </c>
      <c r="I122" s="59">
        <v>115</v>
      </c>
      <c r="J122" s="61">
        <v>2.8221064814814817E-2</v>
      </c>
      <c r="K122" s="61">
        <v>1.3171296296296297E-3</v>
      </c>
      <c r="L122" s="61">
        <v>5.0510416666666669E-2</v>
      </c>
      <c r="M122" s="61">
        <v>1.2858796296296297E-3</v>
      </c>
      <c r="N122" s="61">
        <v>3.3628472222222219E-2</v>
      </c>
      <c r="O122" s="61">
        <v>2.6030092592592593E-3</v>
      </c>
      <c r="P122" s="61">
        <v>0.11496643518518519</v>
      </c>
      <c r="Q122" s="59" t="s">
        <v>1700</v>
      </c>
      <c r="R122" s="8">
        <f t="shared" si="1"/>
        <v>737</v>
      </c>
    </row>
    <row r="123" spans="1:18">
      <c r="A123" s="59">
        <v>122</v>
      </c>
      <c r="B123" s="59">
        <v>180</v>
      </c>
      <c r="C123" s="60" t="s">
        <v>135</v>
      </c>
      <c r="D123" s="59" t="s">
        <v>1701</v>
      </c>
      <c r="E123" s="59" t="s">
        <v>1702</v>
      </c>
      <c r="F123" s="59" t="s">
        <v>1703</v>
      </c>
      <c r="G123" s="59" t="s">
        <v>340</v>
      </c>
      <c r="H123" s="59" t="s">
        <v>1501</v>
      </c>
      <c r="I123" s="59">
        <v>116</v>
      </c>
      <c r="J123" s="61">
        <v>2.7304398148148147E-2</v>
      </c>
      <c r="K123" s="61">
        <v>1.3495370370370369E-3</v>
      </c>
      <c r="L123" s="61">
        <v>4.8872685185185193E-2</v>
      </c>
      <c r="M123" s="61">
        <v>1.255787037037037E-3</v>
      </c>
      <c r="N123" s="61">
        <v>3.6223379629629626E-2</v>
      </c>
      <c r="O123" s="61">
        <v>2.6053240740740741E-3</v>
      </c>
      <c r="P123" s="61">
        <v>0.11500810185185185</v>
      </c>
      <c r="Q123" s="59" t="s">
        <v>1704</v>
      </c>
      <c r="R123" s="8">
        <f t="shared" si="1"/>
        <v>737</v>
      </c>
    </row>
    <row r="124" spans="1:18">
      <c r="A124" s="59">
        <v>123</v>
      </c>
      <c r="B124" s="59">
        <v>227</v>
      </c>
      <c r="C124" s="60" t="s">
        <v>135</v>
      </c>
      <c r="D124" s="59" t="s">
        <v>1705</v>
      </c>
      <c r="E124" s="59" t="s">
        <v>0</v>
      </c>
      <c r="F124" s="59" t="s">
        <v>1706</v>
      </c>
      <c r="G124" s="59" t="s">
        <v>340</v>
      </c>
      <c r="H124" s="59" t="s">
        <v>1501</v>
      </c>
      <c r="I124" s="59">
        <v>117</v>
      </c>
      <c r="J124" s="61">
        <v>2.6788194444444444E-2</v>
      </c>
      <c r="K124" s="61">
        <v>1.3356481481481483E-3</v>
      </c>
      <c r="L124" s="61">
        <v>5.222569444444445E-2</v>
      </c>
      <c r="M124" s="61">
        <v>9.1087962962962965E-4</v>
      </c>
      <c r="N124" s="61">
        <v>3.3784722222222223E-2</v>
      </c>
      <c r="O124" s="61">
        <v>2.2465277777777778E-3</v>
      </c>
      <c r="P124" s="61">
        <v>0.1150462962962963</v>
      </c>
      <c r="Q124" s="59" t="s">
        <v>1707</v>
      </c>
      <c r="R124" s="8">
        <f t="shared" si="1"/>
        <v>736</v>
      </c>
    </row>
    <row r="125" spans="1:18">
      <c r="A125" s="59">
        <v>124</v>
      </c>
      <c r="B125" s="59">
        <v>314</v>
      </c>
      <c r="C125" s="60" t="s">
        <v>135</v>
      </c>
      <c r="D125" s="59" t="s">
        <v>1176</v>
      </c>
      <c r="E125" s="59" t="s">
        <v>1177</v>
      </c>
      <c r="F125" s="59" t="s">
        <v>1708</v>
      </c>
      <c r="G125" s="59" t="s">
        <v>340</v>
      </c>
      <c r="H125" s="59" t="s">
        <v>1501</v>
      </c>
      <c r="I125" s="59">
        <v>118</v>
      </c>
      <c r="J125" s="61">
        <v>2.7270833333333331E-2</v>
      </c>
      <c r="K125" s="61">
        <v>1.5856481481481481E-3</v>
      </c>
      <c r="L125" s="61">
        <v>5.1203703703703703E-2</v>
      </c>
      <c r="M125" s="61">
        <v>1.4085648148148147E-3</v>
      </c>
      <c r="N125" s="61">
        <v>3.3663194444444447E-2</v>
      </c>
      <c r="O125" s="61">
        <v>2.9942129629629628E-3</v>
      </c>
      <c r="P125" s="61">
        <v>0.11513541666666667</v>
      </c>
      <c r="Q125" s="59" t="s">
        <v>1709</v>
      </c>
      <c r="R125" s="8">
        <f t="shared" si="1"/>
        <v>736</v>
      </c>
    </row>
    <row r="126" spans="1:18">
      <c r="A126" s="59">
        <v>125</v>
      </c>
      <c r="B126" s="59">
        <v>23</v>
      </c>
      <c r="C126" s="60" t="s">
        <v>135</v>
      </c>
      <c r="D126" s="59" t="s">
        <v>270</v>
      </c>
      <c r="E126" s="59" t="s">
        <v>271</v>
      </c>
      <c r="F126" s="59" t="s">
        <v>1710</v>
      </c>
      <c r="G126" s="59" t="s">
        <v>340</v>
      </c>
      <c r="H126" s="59" t="s">
        <v>1501</v>
      </c>
      <c r="I126" s="59">
        <v>119</v>
      </c>
      <c r="J126" s="61">
        <v>2.7416666666666669E-2</v>
      </c>
      <c r="K126" s="61">
        <v>1.2858796296296297E-3</v>
      </c>
      <c r="L126" s="61">
        <v>4.8335648148148148E-2</v>
      </c>
      <c r="M126" s="61">
        <v>1.0208333333333334E-3</v>
      </c>
      <c r="N126" s="61">
        <v>3.7224537037037035E-2</v>
      </c>
      <c r="O126" s="61">
        <v>2.3067129629629631E-3</v>
      </c>
      <c r="P126" s="61">
        <v>0.11528472222222223</v>
      </c>
      <c r="Q126" s="59" t="s">
        <v>1711</v>
      </c>
      <c r="R126" s="8">
        <f t="shared" si="1"/>
        <v>735</v>
      </c>
    </row>
    <row r="127" spans="1:18">
      <c r="A127" s="59">
        <v>126</v>
      </c>
      <c r="B127" s="59">
        <v>77</v>
      </c>
      <c r="C127" s="60" t="s">
        <v>135</v>
      </c>
      <c r="D127" s="59" t="s">
        <v>1712</v>
      </c>
      <c r="E127" s="59" t="s">
        <v>0</v>
      </c>
      <c r="F127" s="59"/>
      <c r="G127" s="59" t="s">
        <v>340</v>
      </c>
      <c r="H127" s="59" t="s">
        <v>1501</v>
      </c>
      <c r="I127" s="59">
        <v>120</v>
      </c>
      <c r="J127" s="61">
        <v>2.9557870370370373E-2</v>
      </c>
      <c r="K127" s="61">
        <v>1.6909722222222222E-3</v>
      </c>
      <c r="L127" s="61">
        <v>5.2540509259259259E-2</v>
      </c>
      <c r="M127" s="61">
        <v>1.1643518518518517E-3</v>
      </c>
      <c r="N127" s="61">
        <v>3.0565972222222224E-2</v>
      </c>
      <c r="O127" s="61">
        <v>2.8553240740740739E-3</v>
      </c>
      <c r="P127" s="61">
        <v>0.11552199074074075</v>
      </c>
      <c r="Q127" s="59" t="s">
        <v>1713</v>
      </c>
      <c r="R127" s="8">
        <f t="shared" si="1"/>
        <v>733</v>
      </c>
    </row>
    <row r="128" spans="1:18">
      <c r="A128" s="59">
        <v>127</v>
      </c>
      <c r="B128" s="59">
        <v>260</v>
      </c>
      <c r="C128" s="60" t="s">
        <v>135</v>
      </c>
      <c r="D128" s="59" t="s">
        <v>532</v>
      </c>
      <c r="E128" s="59" t="s">
        <v>533</v>
      </c>
      <c r="F128" s="59" t="s">
        <v>534</v>
      </c>
      <c r="G128" s="59" t="s">
        <v>340</v>
      </c>
      <c r="H128" s="59" t="s">
        <v>1501</v>
      </c>
      <c r="I128" s="59">
        <v>121</v>
      </c>
      <c r="J128" s="61">
        <v>3.1165509259259257E-2</v>
      </c>
      <c r="K128" s="61">
        <v>1.5069444444444442E-3</v>
      </c>
      <c r="L128" s="61">
        <v>4.8356481481481479E-2</v>
      </c>
      <c r="M128" s="61">
        <v>7.7662037037037033E-4</v>
      </c>
      <c r="N128" s="61">
        <v>3.3758101851851852E-2</v>
      </c>
      <c r="O128" s="61">
        <v>2.2835648148148151E-3</v>
      </c>
      <c r="P128" s="61">
        <v>0.11556597222222222</v>
      </c>
      <c r="Q128" s="59" t="s">
        <v>1714</v>
      </c>
      <c r="R128" s="8">
        <f t="shared" si="1"/>
        <v>733</v>
      </c>
    </row>
    <row r="129" spans="1:18">
      <c r="A129" s="59">
        <v>128</v>
      </c>
      <c r="B129" s="59">
        <v>169</v>
      </c>
      <c r="C129" s="60" t="s">
        <v>135</v>
      </c>
      <c r="D129" s="59" t="s">
        <v>1715</v>
      </c>
      <c r="E129" s="59" t="s">
        <v>0</v>
      </c>
      <c r="F129" s="59"/>
      <c r="G129" s="59" t="s">
        <v>340</v>
      </c>
      <c r="H129" s="59" t="s">
        <v>1501</v>
      </c>
      <c r="I129" s="59">
        <v>122</v>
      </c>
      <c r="J129" s="61">
        <v>2.5130787037037038E-2</v>
      </c>
      <c r="K129" s="61">
        <v>2.1296296296296298E-3</v>
      </c>
      <c r="L129" s="61">
        <v>5.0289351851851849E-2</v>
      </c>
      <c r="M129" s="61">
        <v>1.2175925925925926E-3</v>
      </c>
      <c r="N129" s="61">
        <v>3.6883101851851847E-2</v>
      </c>
      <c r="O129" s="61">
        <v>3.3472222222222219E-3</v>
      </c>
      <c r="P129" s="61">
        <v>0.11565277777777777</v>
      </c>
      <c r="Q129" s="59" t="s">
        <v>1716</v>
      </c>
      <c r="R129" s="8">
        <f t="shared" si="1"/>
        <v>733</v>
      </c>
    </row>
    <row r="130" spans="1:18">
      <c r="A130" s="59">
        <v>129</v>
      </c>
      <c r="B130" s="59">
        <v>643</v>
      </c>
      <c r="C130" s="60" t="s">
        <v>135</v>
      </c>
      <c r="D130" s="59" t="s">
        <v>1139</v>
      </c>
      <c r="E130" s="59" t="s">
        <v>1140</v>
      </c>
      <c r="F130" s="59" t="s">
        <v>173</v>
      </c>
      <c r="G130" s="59" t="s">
        <v>319</v>
      </c>
      <c r="H130" s="59" t="s">
        <v>1520</v>
      </c>
      <c r="I130" s="59">
        <v>5</v>
      </c>
      <c r="J130" s="61">
        <v>2.3754629629629629E-2</v>
      </c>
      <c r="K130" s="61">
        <v>1.3356481481481483E-3</v>
      </c>
      <c r="L130" s="61">
        <v>5.3524305555555554E-2</v>
      </c>
      <c r="M130" s="61">
        <v>1.0717592592592593E-3</v>
      </c>
      <c r="N130" s="61">
        <v>3.5973379629629626E-2</v>
      </c>
      <c r="O130" s="61">
        <v>2.4074074074074076E-3</v>
      </c>
      <c r="P130" s="61">
        <v>0.11566203703703705</v>
      </c>
      <c r="Q130" s="59" t="s">
        <v>1717</v>
      </c>
      <c r="R130" s="8">
        <f t="shared" si="1"/>
        <v>732</v>
      </c>
    </row>
    <row r="131" spans="1:18">
      <c r="A131" s="59">
        <v>130</v>
      </c>
      <c r="B131" s="59">
        <v>262</v>
      </c>
      <c r="C131" s="60" t="s">
        <v>135</v>
      </c>
      <c r="D131" s="59" t="s">
        <v>1718</v>
      </c>
      <c r="E131" s="59" t="s">
        <v>0</v>
      </c>
      <c r="F131" s="59"/>
      <c r="G131" s="59" t="s">
        <v>340</v>
      </c>
      <c r="H131" s="59" t="s">
        <v>1501</v>
      </c>
      <c r="I131" s="59">
        <v>123</v>
      </c>
      <c r="J131" s="61">
        <v>2.6215277777777778E-2</v>
      </c>
      <c r="K131" s="61">
        <v>1.2708333333333332E-3</v>
      </c>
      <c r="L131" s="61">
        <v>5.1936342592592596E-2</v>
      </c>
      <c r="M131" s="61">
        <v>1.3287037037037037E-3</v>
      </c>
      <c r="N131" s="61">
        <v>3.5046296296296298E-2</v>
      </c>
      <c r="O131" s="61">
        <v>2.5995370370370369E-3</v>
      </c>
      <c r="P131" s="61">
        <v>0.11579861111111112</v>
      </c>
      <c r="Q131" s="59" t="s">
        <v>1719</v>
      </c>
      <c r="R131" s="8">
        <f t="shared" ref="R131:R194" si="2">IFERROR(ROUND($P$2/P131*1000,0),0)</f>
        <v>732</v>
      </c>
    </row>
    <row r="132" spans="1:18">
      <c r="A132" s="59">
        <v>131</v>
      </c>
      <c r="B132" s="59">
        <v>201</v>
      </c>
      <c r="C132" s="60" t="s">
        <v>135</v>
      </c>
      <c r="D132" s="59" t="s">
        <v>865</v>
      </c>
      <c r="E132" s="59" t="s">
        <v>866</v>
      </c>
      <c r="F132" s="59"/>
      <c r="G132" s="59" t="s">
        <v>340</v>
      </c>
      <c r="H132" s="59" t="s">
        <v>1501</v>
      </c>
      <c r="I132" s="59">
        <v>124</v>
      </c>
      <c r="J132" s="61">
        <v>2.8603009259259262E-2</v>
      </c>
      <c r="K132" s="61">
        <v>1.6006944444444445E-3</v>
      </c>
      <c r="L132" s="61">
        <v>5.128356481481481E-2</v>
      </c>
      <c r="M132" s="61">
        <v>1.1840277777777778E-3</v>
      </c>
      <c r="N132" s="61">
        <v>3.3395833333333333E-2</v>
      </c>
      <c r="O132" s="61">
        <v>2.7847222222222223E-3</v>
      </c>
      <c r="P132" s="61">
        <v>0.11606944444444443</v>
      </c>
      <c r="Q132" s="59" t="s">
        <v>1720</v>
      </c>
      <c r="R132" s="8">
        <f t="shared" si="2"/>
        <v>730</v>
      </c>
    </row>
    <row r="133" spans="1:18">
      <c r="A133" s="59">
        <v>132</v>
      </c>
      <c r="B133" s="59">
        <v>144</v>
      </c>
      <c r="C133" s="60" t="s">
        <v>135</v>
      </c>
      <c r="D133" s="59" t="s">
        <v>1721</v>
      </c>
      <c r="E133" s="59" t="s">
        <v>0</v>
      </c>
      <c r="F133" s="59"/>
      <c r="G133" s="59" t="s">
        <v>340</v>
      </c>
      <c r="H133" s="59" t="s">
        <v>1501</v>
      </c>
      <c r="I133" s="59">
        <v>125</v>
      </c>
      <c r="J133" s="61">
        <v>2.8981481481481483E-2</v>
      </c>
      <c r="K133" s="61">
        <v>2.5115740740740741E-3</v>
      </c>
      <c r="L133" s="61">
        <v>4.6684027777777776E-2</v>
      </c>
      <c r="M133" s="61">
        <v>1.0949074074074073E-3</v>
      </c>
      <c r="N133" s="61">
        <v>3.682523148148148E-2</v>
      </c>
      <c r="O133" s="61">
        <v>3.6064814814814818E-3</v>
      </c>
      <c r="P133" s="61">
        <v>0.11610069444444444</v>
      </c>
      <c r="Q133" s="59" t="s">
        <v>1722</v>
      </c>
      <c r="R133" s="8">
        <f t="shared" si="2"/>
        <v>730</v>
      </c>
    </row>
    <row r="134" spans="1:18">
      <c r="A134" s="59">
        <v>133</v>
      </c>
      <c r="B134" s="59">
        <v>4</v>
      </c>
      <c r="C134" s="60" t="s">
        <v>135</v>
      </c>
      <c r="D134" s="59" t="s">
        <v>536</v>
      </c>
      <c r="E134" s="59" t="s">
        <v>537</v>
      </c>
      <c r="F134" s="59" t="s">
        <v>538</v>
      </c>
      <c r="G134" s="59" t="s">
        <v>340</v>
      </c>
      <c r="H134" s="59" t="s">
        <v>1501</v>
      </c>
      <c r="I134" s="59">
        <v>126</v>
      </c>
      <c r="J134" s="61">
        <v>2.2600694444444444E-2</v>
      </c>
      <c r="K134" s="61">
        <v>1.8194444444444443E-3</v>
      </c>
      <c r="L134" s="61">
        <v>5.4586805555555555E-2</v>
      </c>
      <c r="M134" s="61">
        <v>1.4502314814814814E-3</v>
      </c>
      <c r="N134" s="61">
        <v>3.5701388888888887E-2</v>
      </c>
      <c r="O134" s="61">
        <v>3.2696759259259259E-3</v>
      </c>
      <c r="P134" s="61">
        <v>0.11616087962962962</v>
      </c>
      <c r="Q134" s="59" t="s">
        <v>1723</v>
      </c>
      <c r="R134" s="8">
        <f t="shared" si="2"/>
        <v>729</v>
      </c>
    </row>
    <row r="135" spans="1:18">
      <c r="A135" s="59">
        <v>134</v>
      </c>
      <c r="B135" s="59">
        <v>270</v>
      </c>
      <c r="C135" s="60" t="s">
        <v>135</v>
      </c>
      <c r="D135" s="59" t="s">
        <v>646</v>
      </c>
      <c r="E135" s="59" t="s">
        <v>647</v>
      </c>
      <c r="F135" s="59" t="s">
        <v>648</v>
      </c>
      <c r="G135" s="59" t="s">
        <v>340</v>
      </c>
      <c r="H135" s="59" t="s">
        <v>1501</v>
      </c>
      <c r="I135" s="59">
        <v>127</v>
      </c>
      <c r="J135" s="61">
        <v>2.673611111111111E-2</v>
      </c>
      <c r="K135" s="61">
        <v>1.6770833333333334E-3</v>
      </c>
      <c r="L135" s="61">
        <v>4.8552083333333329E-2</v>
      </c>
      <c r="M135" s="61">
        <v>1.2974537037037037E-3</v>
      </c>
      <c r="N135" s="61">
        <v>3.8048611111111109E-2</v>
      </c>
      <c r="O135" s="61">
        <v>2.9745370370370373E-3</v>
      </c>
      <c r="P135" s="61">
        <v>0.1163125</v>
      </c>
      <c r="Q135" s="59" t="s">
        <v>561</v>
      </c>
      <c r="R135" s="8">
        <f t="shared" si="2"/>
        <v>728</v>
      </c>
    </row>
    <row r="136" spans="1:18">
      <c r="A136" s="59">
        <v>135</v>
      </c>
      <c r="B136" s="59">
        <v>247</v>
      </c>
      <c r="C136" s="60" t="s">
        <v>135</v>
      </c>
      <c r="D136" s="59" t="s">
        <v>594</v>
      </c>
      <c r="E136" s="59" t="s">
        <v>595</v>
      </c>
      <c r="F136" s="59" t="s">
        <v>199</v>
      </c>
      <c r="G136" s="59" t="s">
        <v>340</v>
      </c>
      <c r="H136" s="59" t="s">
        <v>1501</v>
      </c>
      <c r="I136" s="59">
        <v>128</v>
      </c>
      <c r="J136" s="61">
        <v>2.6651620370370367E-2</v>
      </c>
      <c r="K136" s="61">
        <v>1.0844907407407407E-3</v>
      </c>
      <c r="L136" s="61">
        <v>5.1745370370370372E-2</v>
      </c>
      <c r="M136" s="61">
        <v>1.0706018518518519E-3</v>
      </c>
      <c r="N136" s="61">
        <v>3.5910879629629626E-2</v>
      </c>
      <c r="O136" s="61">
        <v>2.1550925925925926E-3</v>
      </c>
      <c r="P136" s="61">
        <v>0.11646527777777778</v>
      </c>
      <c r="Q136" s="59" t="s">
        <v>1724</v>
      </c>
      <c r="R136" s="8">
        <f t="shared" si="2"/>
        <v>727</v>
      </c>
    </row>
    <row r="137" spans="1:18">
      <c r="A137" s="59">
        <v>136</v>
      </c>
      <c r="B137" s="59">
        <v>257</v>
      </c>
      <c r="C137" s="60" t="s">
        <v>135</v>
      </c>
      <c r="D137" s="59" t="s">
        <v>1725</v>
      </c>
      <c r="E137" s="59" t="s">
        <v>0</v>
      </c>
      <c r="F137" s="59"/>
      <c r="G137" s="59" t="s">
        <v>340</v>
      </c>
      <c r="H137" s="59" t="s">
        <v>1501</v>
      </c>
      <c r="I137" s="59">
        <v>129</v>
      </c>
      <c r="J137" s="61">
        <v>2.6857638888888889E-2</v>
      </c>
      <c r="K137" s="61">
        <v>2.1331018518518522E-3</v>
      </c>
      <c r="L137" s="61">
        <v>4.8527777777777781E-2</v>
      </c>
      <c r="M137" s="61">
        <v>1.7962962962962963E-3</v>
      </c>
      <c r="N137" s="61">
        <v>3.7146990740740737E-2</v>
      </c>
      <c r="O137" s="61">
        <v>3.929398148148148E-3</v>
      </c>
      <c r="P137" s="61">
        <v>0.11646527777777778</v>
      </c>
      <c r="Q137" s="59" t="s">
        <v>1724</v>
      </c>
      <c r="R137" s="8">
        <f t="shared" si="2"/>
        <v>727</v>
      </c>
    </row>
    <row r="138" spans="1:18">
      <c r="A138" s="59">
        <v>137</v>
      </c>
      <c r="B138" s="59">
        <v>236</v>
      </c>
      <c r="C138" s="60" t="s">
        <v>140</v>
      </c>
      <c r="D138" s="59" t="s">
        <v>1726</v>
      </c>
      <c r="E138" s="59" t="s">
        <v>0</v>
      </c>
      <c r="F138" s="59"/>
      <c r="G138" s="59" t="s">
        <v>340</v>
      </c>
      <c r="H138" s="59" t="s">
        <v>1501</v>
      </c>
      <c r="I138" s="59">
        <v>130</v>
      </c>
      <c r="J138" s="61">
        <v>2.4393518518518516E-2</v>
      </c>
      <c r="K138" s="61">
        <v>1.3831018518518519E-3</v>
      </c>
      <c r="L138" s="61">
        <v>5.5145833333333338E-2</v>
      </c>
      <c r="M138" s="61">
        <v>1.505787037037037E-3</v>
      </c>
      <c r="N138" s="61">
        <v>3.4600694444444448E-2</v>
      </c>
      <c r="O138" s="61">
        <v>2.8888888888888888E-3</v>
      </c>
      <c r="P138" s="61">
        <v>0.11703125</v>
      </c>
      <c r="Q138" s="59" t="s">
        <v>1727</v>
      </c>
      <c r="R138" s="8">
        <f t="shared" si="2"/>
        <v>724</v>
      </c>
    </row>
    <row r="139" spans="1:18">
      <c r="A139" s="59">
        <v>138</v>
      </c>
      <c r="B139" s="59">
        <v>281</v>
      </c>
      <c r="C139" s="60" t="s">
        <v>135</v>
      </c>
      <c r="D139" s="59" t="s">
        <v>1728</v>
      </c>
      <c r="E139" s="59" t="s">
        <v>0</v>
      </c>
      <c r="F139" s="59" t="s">
        <v>1729</v>
      </c>
      <c r="G139" s="59" t="s">
        <v>340</v>
      </c>
      <c r="H139" s="59" t="s">
        <v>1501</v>
      </c>
      <c r="I139" s="59">
        <v>131</v>
      </c>
      <c r="J139" s="61">
        <v>2.5391203703703707E-2</v>
      </c>
      <c r="K139" s="61">
        <v>1.8159722222222223E-3</v>
      </c>
      <c r="L139" s="61">
        <v>4.9871527777777772E-2</v>
      </c>
      <c r="M139" s="61">
        <v>1.0763888888888889E-3</v>
      </c>
      <c r="N139" s="61">
        <v>3.8944444444444448E-2</v>
      </c>
      <c r="O139" s="61">
        <v>2.8923611111111112E-3</v>
      </c>
      <c r="P139" s="61">
        <v>0.11710185185185186</v>
      </c>
      <c r="Q139" s="59" t="s">
        <v>1730</v>
      </c>
      <c r="R139" s="8">
        <f t="shared" si="2"/>
        <v>723</v>
      </c>
    </row>
    <row r="140" spans="1:18">
      <c r="A140" s="59">
        <v>139</v>
      </c>
      <c r="B140" s="59">
        <v>286</v>
      </c>
      <c r="C140" s="60" t="s">
        <v>135</v>
      </c>
      <c r="D140" s="59" t="s">
        <v>1731</v>
      </c>
      <c r="E140" s="59" t="s">
        <v>1732</v>
      </c>
      <c r="F140" s="59" t="s">
        <v>189</v>
      </c>
      <c r="G140" s="59" t="s">
        <v>340</v>
      </c>
      <c r="H140" s="59" t="s">
        <v>1501</v>
      </c>
      <c r="I140" s="59">
        <v>132</v>
      </c>
      <c r="J140" s="61">
        <v>2.7359953703703706E-2</v>
      </c>
      <c r="K140" s="61">
        <v>1.935185185185185E-3</v>
      </c>
      <c r="L140" s="61">
        <v>4.9148148148148142E-2</v>
      </c>
      <c r="M140" s="61">
        <v>1.431712962962963E-3</v>
      </c>
      <c r="N140" s="61">
        <v>3.7371527777777781E-2</v>
      </c>
      <c r="O140" s="61">
        <v>3.3668981481481479E-3</v>
      </c>
      <c r="P140" s="61">
        <v>0.11724884259259258</v>
      </c>
      <c r="Q140" s="59" t="s">
        <v>1733</v>
      </c>
      <c r="R140" s="8">
        <f t="shared" si="2"/>
        <v>723</v>
      </c>
    </row>
    <row r="141" spans="1:18">
      <c r="A141" s="59">
        <v>140</v>
      </c>
      <c r="B141" s="59">
        <v>615</v>
      </c>
      <c r="C141" s="60" t="s">
        <v>135</v>
      </c>
      <c r="D141" s="59" t="s">
        <v>544</v>
      </c>
      <c r="E141" s="59" t="s">
        <v>545</v>
      </c>
      <c r="F141" s="59"/>
      <c r="G141" s="59" t="s">
        <v>319</v>
      </c>
      <c r="H141" s="59" t="s">
        <v>1520</v>
      </c>
      <c r="I141" s="59">
        <v>6</v>
      </c>
      <c r="J141" s="61">
        <v>2.3283564814814816E-2</v>
      </c>
      <c r="K141" s="61">
        <v>1.3356481481481483E-3</v>
      </c>
      <c r="L141" s="61">
        <v>5.4008101851851856E-2</v>
      </c>
      <c r="M141" s="61">
        <v>1.0937500000000001E-3</v>
      </c>
      <c r="N141" s="61">
        <v>3.7685185185185183E-2</v>
      </c>
      <c r="O141" s="61">
        <v>2.4293981481481484E-3</v>
      </c>
      <c r="P141" s="61">
        <v>0.11740856481481482</v>
      </c>
      <c r="Q141" s="59" t="s">
        <v>1734</v>
      </c>
      <c r="R141" s="8">
        <f t="shared" si="2"/>
        <v>722</v>
      </c>
    </row>
    <row r="142" spans="1:18">
      <c r="A142" s="59">
        <v>141</v>
      </c>
      <c r="B142" s="59">
        <v>241</v>
      </c>
      <c r="C142" s="60" t="s">
        <v>135</v>
      </c>
      <c r="D142" s="59" t="s">
        <v>619</v>
      </c>
      <c r="E142" s="59" t="s">
        <v>620</v>
      </c>
      <c r="F142" s="59"/>
      <c r="G142" s="59" t="s">
        <v>340</v>
      </c>
      <c r="H142" s="59" t="s">
        <v>1501</v>
      </c>
      <c r="I142" s="59">
        <v>133</v>
      </c>
      <c r="J142" s="61">
        <v>2.8236111111111111E-2</v>
      </c>
      <c r="K142" s="61">
        <v>1.5324074074074075E-3</v>
      </c>
      <c r="L142" s="61">
        <v>4.9681712962962962E-2</v>
      </c>
      <c r="M142" s="61">
        <v>1.2650462962962962E-3</v>
      </c>
      <c r="N142" s="61">
        <v>3.6906249999999995E-2</v>
      </c>
      <c r="O142" s="61">
        <v>2.7974537037037035E-3</v>
      </c>
      <c r="P142" s="61">
        <v>0.11762384259259261</v>
      </c>
      <c r="Q142" s="59" t="s">
        <v>1735</v>
      </c>
      <c r="R142" s="8">
        <f t="shared" si="2"/>
        <v>720</v>
      </c>
    </row>
    <row r="143" spans="1:18">
      <c r="A143" s="59">
        <v>142</v>
      </c>
      <c r="B143" s="59">
        <v>327</v>
      </c>
      <c r="C143" s="60" t="s">
        <v>1736</v>
      </c>
      <c r="D143" s="59" t="s">
        <v>1737</v>
      </c>
      <c r="E143" s="59" t="s">
        <v>0</v>
      </c>
      <c r="F143" s="59" t="s">
        <v>1738</v>
      </c>
      <c r="G143" s="59" t="s">
        <v>340</v>
      </c>
      <c r="H143" s="59" t="s">
        <v>1501</v>
      </c>
      <c r="I143" s="59">
        <v>134</v>
      </c>
      <c r="J143" s="61">
        <v>2.8193287037037038E-2</v>
      </c>
      <c r="K143" s="61">
        <v>1.3437499999999999E-3</v>
      </c>
      <c r="L143" s="61">
        <v>5.3703703703703705E-2</v>
      </c>
      <c r="M143" s="61">
        <v>1.5069444444444442E-3</v>
      </c>
      <c r="N143" s="61">
        <v>3.2947916666666667E-2</v>
      </c>
      <c r="O143" s="61">
        <v>2.8506944444444448E-3</v>
      </c>
      <c r="P143" s="61">
        <v>0.11769791666666667</v>
      </c>
      <c r="Q143" s="59" t="s">
        <v>1739</v>
      </c>
      <c r="R143" s="8">
        <f t="shared" si="2"/>
        <v>720</v>
      </c>
    </row>
    <row r="144" spans="1:18">
      <c r="A144" s="59">
        <v>143</v>
      </c>
      <c r="B144" s="59">
        <v>78</v>
      </c>
      <c r="C144" s="60" t="s">
        <v>135</v>
      </c>
      <c r="D144" s="59" t="s">
        <v>1740</v>
      </c>
      <c r="E144" s="59" t="s">
        <v>0</v>
      </c>
      <c r="F144" s="59" t="s">
        <v>1741</v>
      </c>
      <c r="G144" s="59" t="s">
        <v>340</v>
      </c>
      <c r="H144" s="59" t="s">
        <v>1501</v>
      </c>
      <c r="I144" s="59">
        <v>135</v>
      </c>
      <c r="J144" s="61">
        <v>2.5466435185185186E-2</v>
      </c>
      <c r="K144" s="61">
        <v>1.9976851851851852E-3</v>
      </c>
      <c r="L144" s="61">
        <v>5.0082175925925933E-2</v>
      </c>
      <c r="M144" s="61">
        <v>2.0474537037037037E-3</v>
      </c>
      <c r="N144" s="61">
        <v>3.8206018518518521E-2</v>
      </c>
      <c r="O144" s="61">
        <v>4.0451388888888889E-3</v>
      </c>
      <c r="P144" s="61">
        <v>0.11780092592592592</v>
      </c>
      <c r="Q144" s="59" t="s">
        <v>1742</v>
      </c>
      <c r="R144" s="8">
        <f t="shared" si="2"/>
        <v>719</v>
      </c>
    </row>
    <row r="145" spans="1:18">
      <c r="A145" s="59">
        <v>144</v>
      </c>
      <c r="B145" s="59">
        <v>138</v>
      </c>
      <c r="C145" s="60" t="s">
        <v>135</v>
      </c>
      <c r="D145" s="59" t="s">
        <v>1743</v>
      </c>
      <c r="E145" s="59" t="s">
        <v>1744</v>
      </c>
      <c r="F145" s="59" t="s">
        <v>138</v>
      </c>
      <c r="G145" s="59" t="s">
        <v>340</v>
      </c>
      <c r="H145" s="59" t="s">
        <v>1501</v>
      </c>
      <c r="I145" s="59">
        <v>136</v>
      </c>
      <c r="J145" s="61">
        <v>2.6637731481481481E-2</v>
      </c>
      <c r="K145" s="61">
        <v>1.5462962962962963E-3</v>
      </c>
      <c r="L145" s="61">
        <v>5.3811342592592598E-2</v>
      </c>
      <c r="M145" s="61">
        <v>1.0914351851851851E-3</v>
      </c>
      <c r="N145" s="61">
        <v>3.4864583333333338E-2</v>
      </c>
      <c r="O145" s="61">
        <v>2.6377314814814814E-3</v>
      </c>
      <c r="P145" s="61">
        <v>0.1179548611111111</v>
      </c>
      <c r="Q145" s="59" t="s">
        <v>1745</v>
      </c>
      <c r="R145" s="8">
        <f t="shared" si="2"/>
        <v>718</v>
      </c>
    </row>
    <row r="146" spans="1:18">
      <c r="A146" s="59">
        <v>145</v>
      </c>
      <c r="B146" s="59">
        <v>315</v>
      </c>
      <c r="C146" s="60" t="s">
        <v>135</v>
      </c>
      <c r="D146" s="59" t="s">
        <v>1746</v>
      </c>
      <c r="E146" s="59" t="s">
        <v>0</v>
      </c>
      <c r="F146" s="59" t="s">
        <v>189</v>
      </c>
      <c r="G146" s="59" t="s">
        <v>340</v>
      </c>
      <c r="H146" s="59" t="s">
        <v>1501</v>
      </c>
      <c r="I146" s="59">
        <v>137</v>
      </c>
      <c r="J146" s="61">
        <v>2.4342592592592589E-2</v>
      </c>
      <c r="K146" s="61">
        <v>1.4027777777777777E-3</v>
      </c>
      <c r="L146" s="61">
        <v>5.2837962962962962E-2</v>
      </c>
      <c r="M146" s="61">
        <v>9.5833333333333328E-4</v>
      </c>
      <c r="N146" s="61">
        <v>3.8619212962962959E-2</v>
      </c>
      <c r="O146" s="61">
        <v>2.3611111111111111E-3</v>
      </c>
      <c r="P146" s="61">
        <v>0.11816319444444444</v>
      </c>
      <c r="Q146" s="59" t="s">
        <v>1747</v>
      </c>
      <c r="R146" s="8">
        <f t="shared" si="2"/>
        <v>717</v>
      </c>
    </row>
    <row r="147" spans="1:18">
      <c r="A147" s="59">
        <v>146</v>
      </c>
      <c r="B147" s="59">
        <v>62</v>
      </c>
      <c r="C147" s="60" t="s">
        <v>135</v>
      </c>
      <c r="D147" s="59" t="s">
        <v>908</v>
      </c>
      <c r="E147" s="59" t="s">
        <v>909</v>
      </c>
      <c r="F147" s="59" t="s">
        <v>173</v>
      </c>
      <c r="G147" s="59" t="s">
        <v>340</v>
      </c>
      <c r="H147" s="59" t="s">
        <v>1501</v>
      </c>
      <c r="I147" s="59">
        <v>138</v>
      </c>
      <c r="J147" s="61">
        <v>2.3688657407407408E-2</v>
      </c>
      <c r="K147" s="61">
        <v>1.7210648148148146E-3</v>
      </c>
      <c r="L147" s="61">
        <v>5.4062499999999999E-2</v>
      </c>
      <c r="M147" s="61">
        <v>9.6759259259259248E-4</v>
      </c>
      <c r="N147" s="61">
        <v>3.7755787037037039E-2</v>
      </c>
      <c r="O147" s="61">
        <v>2.6886574074074074E-3</v>
      </c>
      <c r="P147" s="61">
        <v>0.11819675925925927</v>
      </c>
      <c r="Q147" s="59" t="s">
        <v>1748</v>
      </c>
      <c r="R147" s="8">
        <f t="shared" si="2"/>
        <v>717</v>
      </c>
    </row>
    <row r="148" spans="1:18">
      <c r="A148" s="59">
        <v>147</v>
      </c>
      <c r="B148" s="59">
        <v>296</v>
      </c>
      <c r="C148" s="60" t="s">
        <v>135</v>
      </c>
      <c r="D148" s="59" t="s">
        <v>1749</v>
      </c>
      <c r="E148" s="59" t="s">
        <v>1750</v>
      </c>
      <c r="F148" s="59" t="s">
        <v>148</v>
      </c>
      <c r="G148" s="59" t="s">
        <v>340</v>
      </c>
      <c r="H148" s="59" t="s">
        <v>1501</v>
      </c>
      <c r="I148" s="59">
        <v>139</v>
      </c>
      <c r="J148" s="61">
        <v>2.6167824074074076E-2</v>
      </c>
      <c r="K148" s="61">
        <v>1.4236111111111112E-3</v>
      </c>
      <c r="L148" s="61">
        <v>4.8547453703703704E-2</v>
      </c>
      <c r="M148" s="61">
        <v>1.2881944444444445E-3</v>
      </c>
      <c r="N148" s="61">
        <v>4.0804398148148145E-2</v>
      </c>
      <c r="O148" s="61">
        <v>2.7118055555555558E-3</v>
      </c>
      <c r="P148" s="61">
        <v>0.1182337962962963</v>
      </c>
      <c r="Q148" s="59" t="s">
        <v>1751</v>
      </c>
      <c r="R148" s="8">
        <f t="shared" si="2"/>
        <v>717</v>
      </c>
    </row>
    <row r="149" spans="1:18">
      <c r="A149" s="59">
        <v>148</v>
      </c>
      <c r="B149" s="59">
        <v>129</v>
      </c>
      <c r="C149" s="60" t="s">
        <v>135</v>
      </c>
      <c r="D149" s="59" t="s">
        <v>578</v>
      </c>
      <c r="E149" s="59" t="s">
        <v>579</v>
      </c>
      <c r="F149" s="59"/>
      <c r="G149" s="59" t="s">
        <v>340</v>
      </c>
      <c r="H149" s="59" t="s">
        <v>1501</v>
      </c>
      <c r="I149" s="59">
        <v>140</v>
      </c>
      <c r="J149" s="61">
        <v>2.5956018518518517E-2</v>
      </c>
      <c r="K149" s="61">
        <v>1.6192129629629629E-3</v>
      </c>
      <c r="L149" s="61">
        <v>4.9430555555555561E-2</v>
      </c>
      <c r="M149" s="61">
        <v>1.1215277777777779E-3</v>
      </c>
      <c r="N149" s="61">
        <v>4.0228009259259255E-2</v>
      </c>
      <c r="O149" s="61">
        <v>2.7407407407407411E-3</v>
      </c>
      <c r="P149" s="61">
        <v>0.11835763888888889</v>
      </c>
      <c r="Q149" s="59" t="s">
        <v>1752</v>
      </c>
      <c r="R149" s="8">
        <f t="shared" si="2"/>
        <v>716</v>
      </c>
    </row>
    <row r="150" spans="1:18">
      <c r="A150" s="59">
        <v>149</v>
      </c>
      <c r="B150" s="59">
        <v>204</v>
      </c>
      <c r="C150" s="60" t="s">
        <v>135</v>
      </c>
      <c r="D150" s="59" t="s">
        <v>609</v>
      </c>
      <c r="E150" s="59" t="s">
        <v>610</v>
      </c>
      <c r="F150" s="59"/>
      <c r="G150" s="59" t="s">
        <v>340</v>
      </c>
      <c r="H150" s="59" t="s">
        <v>1501</v>
      </c>
      <c r="I150" s="59">
        <v>141</v>
      </c>
      <c r="J150" s="61">
        <v>2.8217592592592593E-2</v>
      </c>
      <c r="K150" s="61">
        <v>1.3634259259259259E-3</v>
      </c>
      <c r="L150" s="61">
        <v>4.974537037037037E-2</v>
      </c>
      <c r="M150" s="61">
        <v>1.6331018518518517E-3</v>
      </c>
      <c r="N150" s="61">
        <v>3.7513888888888888E-2</v>
      </c>
      <c r="O150" s="61">
        <v>2.9930555555555557E-3</v>
      </c>
      <c r="P150" s="61">
        <v>0.11847453703703704</v>
      </c>
      <c r="Q150" s="59" t="s">
        <v>1753</v>
      </c>
      <c r="R150" s="8">
        <f t="shared" si="2"/>
        <v>715</v>
      </c>
    </row>
    <row r="151" spans="1:18">
      <c r="A151" s="59">
        <v>150</v>
      </c>
      <c r="B151" s="59">
        <v>80</v>
      </c>
      <c r="C151" s="60" t="s">
        <v>135</v>
      </c>
      <c r="D151" s="59" t="s">
        <v>1754</v>
      </c>
      <c r="E151" s="59" t="s">
        <v>0</v>
      </c>
      <c r="F151" s="59"/>
      <c r="G151" s="59" t="s">
        <v>340</v>
      </c>
      <c r="H151" s="59" t="s">
        <v>1501</v>
      </c>
      <c r="I151" s="59">
        <v>142</v>
      </c>
      <c r="J151" s="61">
        <v>2.6077546296296297E-2</v>
      </c>
      <c r="K151" s="61">
        <v>1.3969907407407407E-3</v>
      </c>
      <c r="L151" s="61">
        <v>5.1880787037037038E-2</v>
      </c>
      <c r="M151" s="61">
        <v>1.4050925925925928E-3</v>
      </c>
      <c r="N151" s="61">
        <v>3.7835648148148146E-2</v>
      </c>
      <c r="O151" s="61">
        <v>2.8020833333333331E-3</v>
      </c>
      <c r="P151" s="61">
        <v>0.11859837962962963</v>
      </c>
      <c r="Q151" s="59" t="s">
        <v>1755</v>
      </c>
      <c r="R151" s="8">
        <f t="shared" si="2"/>
        <v>714</v>
      </c>
    </row>
    <row r="152" spans="1:18">
      <c r="A152" s="59">
        <v>151</v>
      </c>
      <c r="B152" s="59">
        <v>248</v>
      </c>
      <c r="C152" s="60" t="s">
        <v>135</v>
      </c>
      <c r="D152" s="59" t="s">
        <v>1756</v>
      </c>
      <c r="E152" s="59" t="s">
        <v>0</v>
      </c>
      <c r="F152" s="59"/>
      <c r="G152" s="59" t="s">
        <v>340</v>
      </c>
      <c r="H152" s="59" t="s">
        <v>1501</v>
      </c>
      <c r="I152" s="59">
        <v>143</v>
      </c>
      <c r="J152" s="61">
        <v>2.8575231481481483E-2</v>
      </c>
      <c r="K152" s="61">
        <v>1.7141203703703704E-3</v>
      </c>
      <c r="L152" s="61">
        <v>5.0179398148148147E-2</v>
      </c>
      <c r="M152" s="61">
        <v>1.2662037037037038E-3</v>
      </c>
      <c r="N152" s="61">
        <v>3.6928240740740741E-2</v>
      </c>
      <c r="O152" s="61">
        <v>2.980324074074074E-3</v>
      </c>
      <c r="P152" s="61">
        <v>0.11866550925925927</v>
      </c>
      <c r="Q152" s="59" t="s">
        <v>1757</v>
      </c>
      <c r="R152" s="8">
        <f t="shared" si="2"/>
        <v>714</v>
      </c>
    </row>
    <row r="153" spans="1:18">
      <c r="A153" s="59">
        <v>152</v>
      </c>
      <c r="B153" s="59">
        <v>159</v>
      </c>
      <c r="C153" s="60" t="s">
        <v>135</v>
      </c>
      <c r="D153" s="59" t="s">
        <v>1758</v>
      </c>
      <c r="E153" s="59" t="s">
        <v>0</v>
      </c>
      <c r="F153" s="59"/>
      <c r="G153" s="59" t="s">
        <v>340</v>
      </c>
      <c r="H153" s="59" t="s">
        <v>1501</v>
      </c>
      <c r="I153" s="59">
        <v>144</v>
      </c>
      <c r="J153" s="61">
        <v>2.8590277777777777E-2</v>
      </c>
      <c r="K153" s="61">
        <v>2.5104166666666669E-3</v>
      </c>
      <c r="L153" s="61">
        <v>4.8394675925925931E-2</v>
      </c>
      <c r="M153" s="61">
        <v>1.3749999999999999E-3</v>
      </c>
      <c r="N153" s="61">
        <v>3.7912037037037036E-2</v>
      </c>
      <c r="O153" s="61">
        <v>3.8854166666666664E-3</v>
      </c>
      <c r="P153" s="61">
        <v>0.11878472222222222</v>
      </c>
      <c r="Q153" s="59" t="s">
        <v>1759</v>
      </c>
      <c r="R153" s="8">
        <f t="shared" si="2"/>
        <v>713</v>
      </c>
    </row>
    <row r="154" spans="1:18">
      <c r="A154" s="59">
        <v>153</v>
      </c>
      <c r="B154" s="59">
        <v>175</v>
      </c>
      <c r="C154" s="60" t="s">
        <v>135</v>
      </c>
      <c r="D154" s="59" t="s">
        <v>1760</v>
      </c>
      <c r="E154" s="59" t="s">
        <v>0</v>
      </c>
      <c r="F154" s="59"/>
      <c r="G154" s="59" t="s">
        <v>340</v>
      </c>
      <c r="H154" s="59" t="s">
        <v>1501</v>
      </c>
      <c r="I154" s="59">
        <v>145</v>
      </c>
      <c r="J154" s="61">
        <v>2.8793981481481483E-2</v>
      </c>
      <c r="K154" s="61">
        <v>1.7523148148148148E-3</v>
      </c>
      <c r="L154" s="61">
        <v>5.3891203703703705E-2</v>
      </c>
      <c r="M154" s="61">
        <v>1.5763888888888887E-3</v>
      </c>
      <c r="N154" s="61">
        <v>3.291898148148148E-2</v>
      </c>
      <c r="O154" s="61">
        <v>3.3287037037037039E-3</v>
      </c>
      <c r="P154" s="61">
        <v>0.11893518518518519</v>
      </c>
      <c r="Q154" s="59" t="s">
        <v>1761</v>
      </c>
      <c r="R154" s="8">
        <f t="shared" si="2"/>
        <v>712</v>
      </c>
    </row>
    <row r="155" spans="1:18">
      <c r="A155" s="59">
        <v>154</v>
      </c>
      <c r="B155" s="59">
        <v>245</v>
      </c>
      <c r="C155" s="60" t="s">
        <v>135</v>
      </c>
      <c r="D155" s="59" t="s">
        <v>1762</v>
      </c>
      <c r="E155" s="59" t="s">
        <v>0</v>
      </c>
      <c r="F155" s="59"/>
      <c r="G155" s="59" t="s">
        <v>340</v>
      </c>
      <c r="H155" s="59" t="s">
        <v>1501</v>
      </c>
      <c r="I155" s="59">
        <v>146</v>
      </c>
      <c r="J155" s="61">
        <v>2.6204861111111109E-2</v>
      </c>
      <c r="K155" s="61">
        <v>1.4583333333333334E-3</v>
      </c>
      <c r="L155" s="61">
        <v>5.7761574074074076E-2</v>
      </c>
      <c r="M155" s="61">
        <v>1.923611111111111E-3</v>
      </c>
      <c r="N155" s="61">
        <v>3.1646990740740739E-2</v>
      </c>
      <c r="O155" s="61">
        <v>3.3819444444444444E-3</v>
      </c>
      <c r="P155" s="61">
        <v>0.11899884259259259</v>
      </c>
      <c r="Q155" s="59" t="s">
        <v>1763</v>
      </c>
      <c r="R155" s="8">
        <f t="shared" si="2"/>
        <v>712</v>
      </c>
    </row>
    <row r="156" spans="1:18">
      <c r="A156" s="59">
        <v>155</v>
      </c>
      <c r="B156" s="59">
        <v>120</v>
      </c>
      <c r="C156" s="60" t="s">
        <v>135</v>
      </c>
      <c r="D156" s="59" t="s">
        <v>1764</v>
      </c>
      <c r="E156" s="59" t="s">
        <v>0</v>
      </c>
      <c r="F156" s="59"/>
      <c r="G156" s="59" t="s">
        <v>340</v>
      </c>
      <c r="H156" s="59" t="s">
        <v>1501</v>
      </c>
      <c r="I156" s="59">
        <v>147</v>
      </c>
      <c r="J156" s="61">
        <v>2.4758101851851851E-2</v>
      </c>
      <c r="K156" s="61">
        <v>1.8379629629629631E-3</v>
      </c>
      <c r="L156" s="61">
        <v>5.288773148148148E-2</v>
      </c>
      <c r="M156" s="61">
        <v>1.2824074074074075E-3</v>
      </c>
      <c r="N156" s="61">
        <v>3.82337962962963E-2</v>
      </c>
      <c r="O156" s="61">
        <v>3.1203703703703706E-3</v>
      </c>
      <c r="P156" s="61">
        <v>0.11900231481481481</v>
      </c>
      <c r="Q156" s="59" t="s">
        <v>1765</v>
      </c>
      <c r="R156" s="8">
        <f t="shared" si="2"/>
        <v>712</v>
      </c>
    </row>
    <row r="157" spans="1:18">
      <c r="A157" s="59">
        <v>156</v>
      </c>
      <c r="B157" s="59">
        <v>137</v>
      </c>
      <c r="C157" s="60" t="s">
        <v>135</v>
      </c>
      <c r="D157" s="59" t="s">
        <v>1766</v>
      </c>
      <c r="E157" s="59" t="s">
        <v>0</v>
      </c>
      <c r="F157" s="59"/>
      <c r="G157" s="59" t="s">
        <v>340</v>
      </c>
      <c r="H157" s="59" t="s">
        <v>1501</v>
      </c>
      <c r="I157" s="59">
        <v>148</v>
      </c>
      <c r="J157" s="61">
        <v>2.9339120370370373E-2</v>
      </c>
      <c r="K157" s="61">
        <v>1.8564814814814815E-3</v>
      </c>
      <c r="L157" s="61">
        <v>4.9540509259259263E-2</v>
      </c>
      <c r="M157" s="61">
        <v>7.418981481481481E-4</v>
      </c>
      <c r="N157" s="61">
        <v>3.7527777777777778E-2</v>
      </c>
      <c r="O157" s="61">
        <v>2.5983796296296297E-3</v>
      </c>
      <c r="P157" s="61">
        <v>0.11900925925925926</v>
      </c>
      <c r="Q157" s="59" t="s">
        <v>1767</v>
      </c>
      <c r="R157" s="8">
        <f t="shared" si="2"/>
        <v>712</v>
      </c>
    </row>
    <row r="158" spans="1:18">
      <c r="A158" s="59">
        <v>157</v>
      </c>
      <c r="B158" s="59">
        <v>176</v>
      </c>
      <c r="C158" s="60" t="s">
        <v>135</v>
      </c>
      <c r="D158" s="59" t="s">
        <v>1768</v>
      </c>
      <c r="E158" s="59" t="s">
        <v>0</v>
      </c>
      <c r="F158" s="59" t="s">
        <v>1769</v>
      </c>
      <c r="G158" s="59" t="s">
        <v>340</v>
      </c>
      <c r="H158" s="59" t="s">
        <v>1501</v>
      </c>
      <c r="I158" s="59">
        <v>149</v>
      </c>
      <c r="J158" s="61">
        <v>2.669328703703704E-2</v>
      </c>
      <c r="K158" s="61">
        <v>1.6689814814814814E-3</v>
      </c>
      <c r="L158" s="61">
        <v>5.4200231481481474E-2</v>
      </c>
      <c r="M158" s="61">
        <v>6.5509259259259264E-4</v>
      </c>
      <c r="N158" s="61">
        <v>3.6122685185185188E-2</v>
      </c>
      <c r="O158" s="61">
        <v>2.3240740740740743E-3</v>
      </c>
      <c r="P158" s="61">
        <v>0.1193425925925926</v>
      </c>
      <c r="Q158" s="59" t="s">
        <v>1770</v>
      </c>
      <c r="R158" s="8">
        <f t="shared" si="2"/>
        <v>710</v>
      </c>
    </row>
    <row r="159" spans="1:18">
      <c r="A159" s="59">
        <v>158</v>
      </c>
      <c r="B159" s="59">
        <v>165</v>
      </c>
      <c r="C159" s="60" t="s">
        <v>135</v>
      </c>
      <c r="D159" s="59" t="s">
        <v>1771</v>
      </c>
      <c r="E159" s="59" t="s">
        <v>0</v>
      </c>
      <c r="F159" s="59" t="s">
        <v>1583</v>
      </c>
      <c r="G159" s="59" t="s">
        <v>340</v>
      </c>
      <c r="H159" s="59" t="s">
        <v>1501</v>
      </c>
      <c r="I159" s="59">
        <v>150</v>
      </c>
      <c r="J159" s="61">
        <v>2.6740740740740742E-2</v>
      </c>
      <c r="K159" s="61">
        <v>2.2060185185185186E-3</v>
      </c>
      <c r="L159" s="61">
        <v>4.9645833333333327E-2</v>
      </c>
      <c r="M159" s="61">
        <v>1.2627314814814814E-3</v>
      </c>
      <c r="N159" s="61">
        <v>3.9547453703703703E-2</v>
      </c>
      <c r="O159" s="61">
        <v>3.46875E-3</v>
      </c>
      <c r="P159" s="61">
        <v>0.11940393518518519</v>
      </c>
      <c r="Q159" s="59" t="s">
        <v>1772</v>
      </c>
      <c r="R159" s="8">
        <f t="shared" si="2"/>
        <v>710</v>
      </c>
    </row>
    <row r="160" spans="1:18">
      <c r="A160" s="59">
        <v>159</v>
      </c>
      <c r="B160" s="59">
        <v>254</v>
      </c>
      <c r="C160" s="60" t="s">
        <v>135</v>
      </c>
      <c r="D160" s="59" t="s">
        <v>1773</v>
      </c>
      <c r="E160" s="59" t="s">
        <v>0</v>
      </c>
      <c r="F160" s="59"/>
      <c r="G160" s="59" t="s">
        <v>340</v>
      </c>
      <c r="H160" s="59" t="s">
        <v>1501</v>
      </c>
      <c r="I160" s="59">
        <v>151</v>
      </c>
      <c r="J160" s="61">
        <v>2.9107638888888891E-2</v>
      </c>
      <c r="K160" s="61">
        <v>2.2685185185185187E-3</v>
      </c>
      <c r="L160" s="61">
        <v>5.131828703703703E-2</v>
      </c>
      <c r="M160" s="61">
        <v>1.965277777777778E-3</v>
      </c>
      <c r="N160" s="61">
        <v>3.4820601851851853E-2</v>
      </c>
      <c r="O160" s="61">
        <v>4.2337962962962963E-3</v>
      </c>
      <c r="P160" s="61">
        <v>0.11948263888888888</v>
      </c>
      <c r="Q160" s="59" t="s">
        <v>1774</v>
      </c>
      <c r="R160" s="8">
        <f t="shared" si="2"/>
        <v>709</v>
      </c>
    </row>
    <row r="161" spans="1:18">
      <c r="A161" s="59">
        <v>160</v>
      </c>
      <c r="B161" s="59">
        <v>103</v>
      </c>
      <c r="C161" s="60" t="s">
        <v>135</v>
      </c>
      <c r="D161" s="59" t="s">
        <v>315</v>
      </c>
      <c r="E161" s="59" t="s">
        <v>316</v>
      </c>
      <c r="F161" s="59" t="s">
        <v>199</v>
      </c>
      <c r="G161" s="59" t="s">
        <v>340</v>
      </c>
      <c r="H161" s="59" t="s">
        <v>1501</v>
      </c>
      <c r="I161" s="59">
        <v>152</v>
      </c>
      <c r="J161" s="61">
        <v>2.5802083333333337E-2</v>
      </c>
      <c r="K161" s="61">
        <v>1.925925925925926E-3</v>
      </c>
      <c r="L161" s="61">
        <v>5.4710648148148147E-2</v>
      </c>
      <c r="M161" s="61">
        <v>1.4062499999999999E-3</v>
      </c>
      <c r="N161" s="61">
        <v>3.5702546296296295E-2</v>
      </c>
      <c r="O161" s="61">
        <v>3.3321759259259255E-3</v>
      </c>
      <c r="P161" s="61">
        <v>0.11955092592592594</v>
      </c>
      <c r="Q161" s="59" t="s">
        <v>1775</v>
      </c>
      <c r="R161" s="8">
        <f t="shared" si="2"/>
        <v>709</v>
      </c>
    </row>
    <row r="162" spans="1:18">
      <c r="A162" s="59">
        <v>161</v>
      </c>
      <c r="B162" s="59">
        <v>191</v>
      </c>
      <c r="C162" s="60" t="s">
        <v>135</v>
      </c>
      <c r="D162" s="59" t="s">
        <v>1776</v>
      </c>
      <c r="E162" s="59" t="s">
        <v>0</v>
      </c>
      <c r="F162" s="59"/>
      <c r="G162" s="59" t="s">
        <v>340</v>
      </c>
      <c r="H162" s="59" t="s">
        <v>1501</v>
      </c>
      <c r="I162" s="59">
        <v>153</v>
      </c>
      <c r="J162" s="61">
        <v>2.4561342592592593E-2</v>
      </c>
      <c r="K162" s="61">
        <v>1.2847222222222223E-3</v>
      </c>
      <c r="L162" s="61">
        <v>5.3541666666666668E-2</v>
      </c>
      <c r="M162" s="61">
        <v>1.2465277777777778E-3</v>
      </c>
      <c r="N162" s="61">
        <v>3.8924768518518518E-2</v>
      </c>
      <c r="O162" s="61">
        <v>2.5312500000000001E-3</v>
      </c>
      <c r="P162" s="61">
        <v>0.1195613425925926</v>
      </c>
      <c r="Q162" s="59" t="s">
        <v>1777</v>
      </c>
      <c r="R162" s="8">
        <f t="shared" si="2"/>
        <v>709</v>
      </c>
    </row>
    <row r="163" spans="1:18">
      <c r="A163" s="59">
        <v>162</v>
      </c>
      <c r="B163" s="59">
        <v>253</v>
      </c>
      <c r="C163" s="60" t="s">
        <v>135</v>
      </c>
      <c r="D163" s="59" t="s">
        <v>629</v>
      </c>
      <c r="E163" s="59" t="s">
        <v>630</v>
      </c>
      <c r="F163" s="59"/>
      <c r="G163" s="59" t="s">
        <v>340</v>
      </c>
      <c r="H163" s="59" t="s">
        <v>1501</v>
      </c>
      <c r="I163" s="59">
        <v>154</v>
      </c>
      <c r="J163" s="61">
        <v>2.7141203703703702E-2</v>
      </c>
      <c r="K163" s="61">
        <v>1.4016203703703703E-3</v>
      </c>
      <c r="L163" s="61">
        <v>5.0899305555555552E-2</v>
      </c>
      <c r="M163" s="61">
        <v>1.2604166666666666E-3</v>
      </c>
      <c r="N163" s="61">
        <v>3.9145833333333331E-2</v>
      </c>
      <c r="O163" s="61">
        <v>2.662037037037037E-3</v>
      </c>
      <c r="P163" s="61">
        <v>0.11984953703703703</v>
      </c>
      <c r="Q163" s="59" t="s">
        <v>1778</v>
      </c>
      <c r="R163" s="8">
        <f t="shared" si="2"/>
        <v>707</v>
      </c>
    </row>
    <row r="164" spans="1:18">
      <c r="A164" s="59">
        <v>163</v>
      </c>
      <c r="B164" s="59">
        <v>122</v>
      </c>
      <c r="C164" s="60" t="s">
        <v>135</v>
      </c>
      <c r="D164" s="59" t="s">
        <v>1779</v>
      </c>
      <c r="E164" s="59" t="s">
        <v>0</v>
      </c>
      <c r="F164" s="59" t="s">
        <v>1780</v>
      </c>
      <c r="G164" s="59" t="s">
        <v>340</v>
      </c>
      <c r="H164" s="59" t="s">
        <v>1501</v>
      </c>
      <c r="I164" s="59">
        <v>155</v>
      </c>
      <c r="J164" s="61">
        <v>2.6749999999999999E-2</v>
      </c>
      <c r="K164" s="61">
        <v>2.2523148148148146E-3</v>
      </c>
      <c r="L164" s="61">
        <v>5.4981481481481478E-2</v>
      </c>
      <c r="M164" s="61">
        <v>1.4803240740740742E-3</v>
      </c>
      <c r="N164" s="61">
        <v>3.4552083333333337E-2</v>
      </c>
      <c r="O164" s="61">
        <v>3.7326388888888891E-3</v>
      </c>
      <c r="P164" s="61">
        <v>0.12001851851851852</v>
      </c>
      <c r="Q164" s="59" t="s">
        <v>1781</v>
      </c>
      <c r="R164" s="8">
        <f t="shared" si="2"/>
        <v>706</v>
      </c>
    </row>
    <row r="165" spans="1:18" ht="14.45" customHeight="1">
      <c r="A165" s="59">
        <v>164</v>
      </c>
      <c r="B165" s="59">
        <v>268</v>
      </c>
      <c r="C165" s="60" t="s">
        <v>135</v>
      </c>
      <c r="D165" s="59" t="s">
        <v>600</v>
      </c>
      <c r="E165" s="59" t="s">
        <v>601</v>
      </c>
      <c r="F165" s="59" t="s">
        <v>189</v>
      </c>
      <c r="G165" s="59" t="s">
        <v>340</v>
      </c>
      <c r="H165" s="59" t="s">
        <v>1501</v>
      </c>
      <c r="I165" s="59">
        <v>156</v>
      </c>
      <c r="J165" s="61">
        <v>2.5064814814814814E-2</v>
      </c>
      <c r="K165" s="61">
        <v>1.3657407407407407E-3</v>
      </c>
      <c r="L165" s="61">
        <v>5.0547453703703706E-2</v>
      </c>
      <c r="M165" s="61">
        <v>1.6770833333333334E-3</v>
      </c>
      <c r="N165" s="61">
        <v>4.1560185185185186E-2</v>
      </c>
      <c r="O165" s="61">
        <v>3.0428240740740737E-3</v>
      </c>
      <c r="P165" s="61">
        <v>0.12021875</v>
      </c>
      <c r="Q165" s="59" t="s">
        <v>1782</v>
      </c>
      <c r="R165" s="8">
        <f t="shared" si="2"/>
        <v>705</v>
      </c>
    </row>
    <row r="166" spans="1:18" ht="14.45" customHeight="1">
      <c r="A166" s="59">
        <v>165</v>
      </c>
      <c r="B166" s="59">
        <v>625</v>
      </c>
      <c r="C166" s="60" t="s">
        <v>135</v>
      </c>
      <c r="D166" s="59" t="s">
        <v>1111</v>
      </c>
      <c r="E166" s="59" t="s">
        <v>1112</v>
      </c>
      <c r="F166" s="59" t="s">
        <v>199</v>
      </c>
      <c r="G166" s="59" t="s">
        <v>319</v>
      </c>
      <c r="H166" s="59" t="s">
        <v>1520</v>
      </c>
      <c r="I166" s="59">
        <v>7</v>
      </c>
      <c r="J166" s="61">
        <v>2.6357638888888892E-2</v>
      </c>
      <c r="K166" s="61">
        <v>1.2905092592592593E-3</v>
      </c>
      <c r="L166" s="61">
        <v>5.4329861111111113E-2</v>
      </c>
      <c r="M166" s="61">
        <v>9.9652777777777782E-4</v>
      </c>
      <c r="N166" s="61">
        <v>3.73587962962963E-2</v>
      </c>
      <c r="O166" s="61">
        <v>2.2870370370370371E-3</v>
      </c>
      <c r="P166" s="61">
        <v>0.12033564814814815</v>
      </c>
      <c r="Q166" s="59" t="s">
        <v>1783</v>
      </c>
      <c r="R166" s="8">
        <f t="shared" si="2"/>
        <v>704</v>
      </c>
    </row>
    <row r="167" spans="1:18" ht="14.45" customHeight="1">
      <c r="A167" s="59">
        <v>166</v>
      </c>
      <c r="B167" s="59">
        <v>31</v>
      </c>
      <c r="C167" s="60" t="s">
        <v>135</v>
      </c>
      <c r="D167" s="59" t="s">
        <v>585</v>
      </c>
      <c r="E167" s="59" t="s">
        <v>586</v>
      </c>
      <c r="F167" s="59"/>
      <c r="G167" s="59" t="s">
        <v>340</v>
      </c>
      <c r="H167" s="59" t="s">
        <v>1501</v>
      </c>
      <c r="I167" s="59">
        <v>157</v>
      </c>
      <c r="J167" s="61">
        <v>2.7715277777777776E-2</v>
      </c>
      <c r="K167" s="61">
        <v>1.4710648148148148E-3</v>
      </c>
      <c r="L167" s="61">
        <v>5.3711805555555554E-2</v>
      </c>
      <c r="M167" s="61">
        <v>1.5034722222222222E-3</v>
      </c>
      <c r="N167" s="61">
        <v>3.6028935185185185E-2</v>
      </c>
      <c r="O167" s="61">
        <v>2.9745370370370373E-3</v>
      </c>
      <c r="P167" s="61">
        <v>0.12043287037037037</v>
      </c>
      <c r="Q167" s="59" t="s">
        <v>1784</v>
      </c>
      <c r="R167" s="8">
        <f t="shared" si="2"/>
        <v>703</v>
      </c>
    </row>
    <row r="168" spans="1:18" ht="14.45" customHeight="1">
      <c r="A168" s="59">
        <v>167</v>
      </c>
      <c r="B168" s="59">
        <v>309</v>
      </c>
      <c r="C168" s="60" t="s">
        <v>135</v>
      </c>
      <c r="D168" s="59" t="s">
        <v>1785</v>
      </c>
      <c r="E168" s="59" t="s">
        <v>0</v>
      </c>
      <c r="F168" s="59" t="s">
        <v>1786</v>
      </c>
      <c r="G168" s="59" t="s">
        <v>340</v>
      </c>
      <c r="H168" s="59" t="s">
        <v>1501</v>
      </c>
      <c r="I168" s="59">
        <v>158</v>
      </c>
      <c r="J168" s="61">
        <v>2.728125E-2</v>
      </c>
      <c r="K168" s="61">
        <v>2.2696759259259259E-3</v>
      </c>
      <c r="L168" s="61">
        <v>5.1388888888888887E-2</v>
      </c>
      <c r="M168" s="61">
        <v>1.4178240740740742E-3</v>
      </c>
      <c r="N168" s="61">
        <v>3.8329861111111106E-2</v>
      </c>
      <c r="O168" s="61">
        <v>3.6875000000000002E-3</v>
      </c>
      <c r="P168" s="61">
        <v>0.12068981481481482</v>
      </c>
      <c r="Q168" s="59" t="s">
        <v>1787</v>
      </c>
      <c r="R168" s="8">
        <f t="shared" si="2"/>
        <v>702</v>
      </c>
    </row>
    <row r="169" spans="1:18" ht="14.45" customHeight="1">
      <c r="A169" s="59">
        <v>168</v>
      </c>
      <c r="B169" s="59">
        <v>279</v>
      </c>
      <c r="C169" s="60" t="s">
        <v>135</v>
      </c>
      <c r="D169" s="59" t="s">
        <v>1788</v>
      </c>
      <c r="E169" s="59" t="s">
        <v>0</v>
      </c>
      <c r="F169" s="59"/>
      <c r="G169" s="59" t="s">
        <v>340</v>
      </c>
      <c r="H169" s="59" t="s">
        <v>1501</v>
      </c>
      <c r="I169" s="59">
        <v>159</v>
      </c>
      <c r="J169" s="61">
        <v>2.7373842592592592E-2</v>
      </c>
      <c r="K169" s="61">
        <v>2.0173611111111113E-3</v>
      </c>
      <c r="L169" s="61">
        <v>4.9240740740740738E-2</v>
      </c>
      <c r="M169" s="61">
        <v>1.6053240740740739E-3</v>
      </c>
      <c r="N169" s="61">
        <v>4.0575231481481476E-2</v>
      </c>
      <c r="O169" s="61">
        <v>3.6226851851851854E-3</v>
      </c>
      <c r="P169" s="61">
        <v>0.12081597222222222</v>
      </c>
      <c r="Q169" s="59" t="s">
        <v>1789</v>
      </c>
      <c r="R169" s="8">
        <f t="shared" si="2"/>
        <v>701</v>
      </c>
    </row>
    <row r="170" spans="1:18" ht="14.45" customHeight="1">
      <c r="A170" s="59">
        <v>169</v>
      </c>
      <c r="B170" s="59">
        <v>214</v>
      </c>
      <c r="C170" s="60" t="s">
        <v>135</v>
      </c>
      <c r="D170" s="59" t="s">
        <v>1145</v>
      </c>
      <c r="E170" s="59" t="s">
        <v>1146</v>
      </c>
      <c r="F170" s="59" t="s">
        <v>538</v>
      </c>
      <c r="G170" s="59" t="s">
        <v>340</v>
      </c>
      <c r="H170" s="59" t="s">
        <v>1501</v>
      </c>
      <c r="I170" s="59">
        <v>160</v>
      </c>
      <c r="J170" s="61">
        <v>3.1686342592592592E-2</v>
      </c>
      <c r="K170" s="61">
        <v>1.7685185185185187E-3</v>
      </c>
      <c r="L170" s="61">
        <v>5.0041666666666672E-2</v>
      </c>
      <c r="M170" s="61">
        <v>1.4328703703703704E-3</v>
      </c>
      <c r="N170" s="61">
        <v>3.616435185185185E-2</v>
      </c>
      <c r="O170" s="61">
        <v>3.201388888888889E-3</v>
      </c>
      <c r="P170" s="61">
        <v>0.12109606481481483</v>
      </c>
      <c r="Q170" s="59" t="s">
        <v>1790</v>
      </c>
      <c r="R170" s="8">
        <f t="shared" si="2"/>
        <v>700</v>
      </c>
    </row>
    <row r="171" spans="1:18" ht="14.45" customHeight="1">
      <c r="A171" s="59">
        <v>170</v>
      </c>
      <c r="B171" s="59">
        <v>636</v>
      </c>
      <c r="C171" s="60" t="s">
        <v>135</v>
      </c>
      <c r="D171" s="59" t="s">
        <v>1791</v>
      </c>
      <c r="E171" s="59" t="s">
        <v>0</v>
      </c>
      <c r="F171" s="59" t="s">
        <v>189</v>
      </c>
      <c r="G171" s="59" t="s">
        <v>319</v>
      </c>
      <c r="H171" s="59" t="s">
        <v>1520</v>
      </c>
      <c r="I171" s="59">
        <v>8</v>
      </c>
      <c r="J171" s="61">
        <v>2.6358796296296297E-2</v>
      </c>
      <c r="K171" s="61">
        <v>1.6261574074074073E-3</v>
      </c>
      <c r="L171" s="61">
        <v>5.4729166666666669E-2</v>
      </c>
      <c r="M171" s="61">
        <v>1.2060185185185186E-3</v>
      </c>
      <c r="N171" s="61">
        <v>3.7179398148148149E-2</v>
      </c>
      <c r="O171" s="61">
        <v>2.8321759259259259E-3</v>
      </c>
      <c r="P171" s="61">
        <v>0.12110185185185186</v>
      </c>
      <c r="Q171" s="59" t="s">
        <v>1792</v>
      </c>
      <c r="R171" s="8">
        <f t="shared" si="2"/>
        <v>700</v>
      </c>
    </row>
    <row r="172" spans="1:18" ht="14.45" customHeight="1">
      <c r="A172" s="59">
        <v>171</v>
      </c>
      <c r="B172" s="59">
        <v>228</v>
      </c>
      <c r="C172" s="60" t="s">
        <v>135</v>
      </c>
      <c r="D172" s="59" t="s">
        <v>1793</v>
      </c>
      <c r="E172" s="59" t="s">
        <v>0</v>
      </c>
      <c r="F172" s="59" t="s">
        <v>1794</v>
      </c>
      <c r="G172" s="59" t="s">
        <v>340</v>
      </c>
      <c r="H172" s="59" t="s">
        <v>1501</v>
      </c>
      <c r="I172" s="59">
        <v>161</v>
      </c>
      <c r="J172" s="61">
        <v>2.97025462962963E-2</v>
      </c>
      <c r="K172" s="61">
        <v>1.5E-3</v>
      </c>
      <c r="L172" s="61">
        <v>5.6064814814814817E-2</v>
      </c>
      <c r="M172" s="61">
        <v>7.326388888888889E-4</v>
      </c>
      <c r="N172" s="61">
        <v>3.3151620370370373E-2</v>
      </c>
      <c r="O172" s="61">
        <v>2.232638888888889E-3</v>
      </c>
      <c r="P172" s="61">
        <v>0.12115509259259258</v>
      </c>
      <c r="Q172" s="59" t="s">
        <v>1795</v>
      </c>
      <c r="R172" s="8">
        <f t="shared" si="2"/>
        <v>699</v>
      </c>
    </row>
    <row r="173" spans="1:18" ht="14.45" customHeight="1">
      <c r="A173" s="59">
        <v>172</v>
      </c>
      <c r="B173" s="59">
        <v>29</v>
      </c>
      <c r="C173" s="60" t="s">
        <v>135</v>
      </c>
      <c r="D173" s="59" t="s">
        <v>1796</v>
      </c>
      <c r="E173" s="59" t="s">
        <v>0</v>
      </c>
      <c r="F173" s="59"/>
      <c r="G173" s="59" t="s">
        <v>340</v>
      </c>
      <c r="H173" s="59" t="s">
        <v>1501</v>
      </c>
      <c r="I173" s="59">
        <v>162</v>
      </c>
      <c r="J173" s="61">
        <v>2.3261574074074073E-2</v>
      </c>
      <c r="K173" s="61">
        <v>1.2638888888888888E-3</v>
      </c>
      <c r="L173" s="61">
        <v>5.3871527777777775E-2</v>
      </c>
      <c r="M173" s="61">
        <v>1.244212962962963E-3</v>
      </c>
      <c r="N173" s="61">
        <v>4.1525462962962965E-2</v>
      </c>
      <c r="O173" s="61">
        <v>2.5081018518518516E-3</v>
      </c>
      <c r="P173" s="61">
        <v>0.12116898148148147</v>
      </c>
      <c r="Q173" s="59" t="s">
        <v>1797</v>
      </c>
      <c r="R173" s="8">
        <f t="shared" si="2"/>
        <v>699</v>
      </c>
    </row>
    <row r="174" spans="1:18" ht="14.45" customHeight="1">
      <c r="A174" s="59">
        <v>173</v>
      </c>
      <c r="B174" s="59">
        <v>87</v>
      </c>
      <c r="C174" s="60" t="s">
        <v>135</v>
      </c>
      <c r="D174" s="59" t="s">
        <v>1798</v>
      </c>
      <c r="E174" s="59" t="s">
        <v>0</v>
      </c>
      <c r="F174" s="59"/>
      <c r="G174" s="59" t="s">
        <v>340</v>
      </c>
      <c r="H174" s="59" t="s">
        <v>1501</v>
      </c>
      <c r="I174" s="59">
        <v>163</v>
      </c>
      <c r="J174" s="61">
        <v>2.9863425925925925E-2</v>
      </c>
      <c r="K174" s="61">
        <v>2.0567129629629629E-3</v>
      </c>
      <c r="L174" s="61">
        <v>5.2488425925925924E-2</v>
      </c>
      <c r="M174" s="61">
        <v>1.5925925925925925E-3</v>
      </c>
      <c r="N174" s="61">
        <v>3.5221064814814816E-2</v>
      </c>
      <c r="O174" s="61">
        <v>3.6493055555555558E-3</v>
      </c>
      <c r="P174" s="61">
        <v>0.12122453703703703</v>
      </c>
      <c r="Q174" s="59" t="s">
        <v>1799</v>
      </c>
      <c r="R174" s="8">
        <f t="shared" si="2"/>
        <v>699</v>
      </c>
    </row>
    <row r="175" spans="1:18" ht="14.45" customHeight="1">
      <c r="A175" s="59">
        <v>174</v>
      </c>
      <c r="B175" s="59">
        <v>322</v>
      </c>
      <c r="C175" s="60" t="s">
        <v>135</v>
      </c>
      <c r="D175" s="59" t="s">
        <v>330</v>
      </c>
      <c r="E175" s="59" t="s">
        <v>331</v>
      </c>
      <c r="F175" s="59" t="s">
        <v>173</v>
      </c>
      <c r="G175" s="59" t="s">
        <v>340</v>
      </c>
      <c r="H175" s="59" t="s">
        <v>1501</v>
      </c>
      <c r="I175" s="59">
        <v>164</v>
      </c>
      <c r="J175" s="61">
        <v>2.4476851851851854E-2</v>
      </c>
      <c r="K175" s="61">
        <v>1.4930555555555556E-3</v>
      </c>
      <c r="L175" s="61">
        <v>4.8800925925925921E-2</v>
      </c>
      <c r="M175" s="61">
        <v>1.2002314814814816E-3</v>
      </c>
      <c r="N175" s="61">
        <v>4.5418981481481477E-2</v>
      </c>
      <c r="O175" s="61">
        <v>2.693287037037037E-3</v>
      </c>
      <c r="P175" s="61">
        <v>0.1213923611111111</v>
      </c>
      <c r="Q175" s="59" t="s">
        <v>1800</v>
      </c>
      <c r="R175" s="8">
        <f t="shared" si="2"/>
        <v>698</v>
      </c>
    </row>
    <row r="176" spans="1:18" ht="14.45" customHeight="1">
      <c r="A176" s="59">
        <v>175</v>
      </c>
      <c r="B176" s="59">
        <v>196</v>
      </c>
      <c r="C176" s="60" t="s">
        <v>135</v>
      </c>
      <c r="D176" s="59" t="s">
        <v>1801</v>
      </c>
      <c r="E176" s="59" t="s">
        <v>0</v>
      </c>
      <c r="F176" s="59" t="s">
        <v>1802</v>
      </c>
      <c r="G176" s="59" t="s">
        <v>340</v>
      </c>
      <c r="H176" s="59" t="s">
        <v>1501</v>
      </c>
      <c r="I176" s="59">
        <v>165</v>
      </c>
      <c r="J176" s="61">
        <v>2.6725694444444444E-2</v>
      </c>
      <c r="K176" s="61">
        <v>2.150462962962963E-3</v>
      </c>
      <c r="L176" s="61">
        <v>5.2134259259259255E-2</v>
      </c>
      <c r="M176" s="61">
        <v>1.4027777777777777E-3</v>
      </c>
      <c r="N176" s="61">
        <v>3.9042824074074077E-2</v>
      </c>
      <c r="O176" s="61">
        <v>3.5532407407407409E-3</v>
      </c>
      <c r="P176" s="61">
        <v>0.12145949074074075</v>
      </c>
      <c r="Q176" s="59" t="s">
        <v>1803</v>
      </c>
      <c r="R176" s="8">
        <f t="shared" si="2"/>
        <v>698</v>
      </c>
    </row>
    <row r="177" spans="1:18" ht="14.45" customHeight="1">
      <c r="A177" s="59">
        <v>176</v>
      </c>
      <c r="B177" s="59">
        <v>7</v>
      </c>
      <c r="C177" s="60" t="s">
        <v>135</v>
      </c>
      <c r="D177" s="59" t="s">
        <v>1804</v>
      </c>
      <c r="E177" s="59" t="s">
        <v>0</v>
      </c>
      <c r="F177" s="59"/>
      <c r="G177" s="59" t="s">
        <v>340</v>
      </c>
      <c r="H177" s="59" t="s">
        <v>1501</v>
      </c>
      <c r="I177" s="59">
        <v>166</v>
      </c>
      <c r="J177" s="61">
        <v>2.6105324074074072E-2</v>
      </c>
      <c r="K177" s="61">
        <v>1.7546296296296296E-3</v>
      </c>
      <c r="L177" s="61">
        <v>5.4418981481481485E-2</v>
      </c>
      <c r="M177" s="61">
        <v>1.0405092592592593E-3</v>
      </c>
      <c r="N177" s="61">
        <v>3.8146990740740745E-2</v>
      </c>
      <c r="O177" s="61">
        <v>2.7951388888888887E-3</v>
      </c>
      <c r="P177" s="61">
        <v>0.1214699074074074</v>
      </c>
      <c r="Q177" s="59" t="s">
        <v>1805</v>
      </c>
      <c r="R177" s="8">
        <f t="shared" si="2"/>
        <v>697</v>
      </c>
    </row>
    <row r="178" spans="1:18" ht="14.45" customHeight="1">
      <c r="A178" s="59">
        <v>177</v>
      </c>
      <c r="B178" s="59">
        <v>8</v>
      </c>
      <c r="C178" s="60" t="s">
        <v>135</v>
      </c>
      <c r="D178" s="59" t="s">
        <v>1806</v>
      </c>
      <c r="E178" s="59" t="s">
        <v>0</v>
      </c>
      <c r="F178" s="59"/>
      <c r="G178" s="59" t="s">
        <v>340</v>
      </c>
      <c r="H178" s="59" t="s">
        <v>1501</v>
      </c>
      <c r="I178" s="59">
        <v>167</v>
      </c>
      <c r="J178" s="61">
        <v>2.5583333333333333E-2</v>
      </c>
      <c r="K178" s="61">
        <v>2.9837962962962965E-3</v>
      </c>
      <c r="L178" s="61">
        <v>5.3289351851851852E-2</v>
      </c>
      <c r="M178" s="61">
        <v>1.6990740740740742E-3</v>
      </c>
      <c r="N178" s="61">
        <v>3.7928240740740742E-2</v>
      </c>
      <c r="O178" s="61">
        <v>4.6828703703703702E-3</v>
      </c>
      <c r="P178" s="61">
        <v>0.1214837962962963</v>
      </c>
      <c r="Q178" s="59" t="s">
        <v>1807</v>
      </c>
      <c r="R178" s="8">
        <f t="shared" si="2"/>
        <v>697</v>
      </c>
    </row>
    <row r="179" spans="1:18" ht="14.45" customHeight="1">
      <c r="A179" s="59">
        <v>178</v>
      </c>
      <c r="B179" s="59">
        <v>223</v>
      </c>
      <c r="C179" s="60" t="s">
        <v>135</v>
      </c>
      <c r="D179" s="59" t="s">
        <v>581</v>
      </c>
      <c r="E179" s="59" t="s">
        <v>582</v>
      </c>
      <c r="F179" s="59" t="s">
        <v>1808</v>
      </c>
      <c r="G179" s="59" t="s">
        <v>340</v>
      </c>
      <c r="H179" s="59" t="s">
        <v>1501</v>
      </c>
      <c r="I179" s="59">
        <v>168</v>
      </c>
      <c r="J179" s="61">
        <v>2.9008101851851854E-2</v>
      </c>
      <c r="K179" s="61">
        <v>1.1527777777777777E-3</v>
      </c>
      <c r="L179" s="61">
        <v>4.9351851851851855E-2</v>
      </c>
      <c r="M179" s="61">
        <v>1.2812500000000001E-3</v>
      </c>
      <c r="N179" s="61">
        <v>4.0798611111111112E-2</v>
      </c>
      <c r="O179" s="61">
        <v>2.434027777777778E-3</v>
      </c>
      <c r="P179" s="61">
        <v>0.1215949074074074</v>
      </c>
      <c r="Q179" s="59" t="s">
        <v>1809</v>
      </c>
      <c r="R179" s="8">
        <f t="shared" si="2"/>
        <v>697</v>
      </c>
    </row>
    <row r="180" spans="1:18" ht="14.45" customHeight="1">
      <c r="A180" s="59">
        <v>179</v>
      </c>
      <c r="B180" s="59">
        <v>206</v>
      </c>
      <c r="C180" s="60" t="s">
        <v>135</v>
      </c>
      <c r="D180" s="59" t="s">
        <v>1810</v>
      </c>
      <c r="E180" s="59" t="s">
        <v>0</v>
      </c>
      <c r="F180" s="59"/>
      <c r="G180" s="59" t="s">
        <v>340</v>
      </c>
      <c r="H180" s="59" t="s">
        <v>1501</v>
      </c>
      <c r="I180" s="59">
        <v>169</v>
      </c>
      <c r="J180" s="61">
        <v>2.9539351851851851E-2</v>
      </c>
      <c r="K180" s="61">
        <v>2.2986111111111111E-3</v>
      </c>
      <c r="L180" s="61">
        <v>5.5370370370370368E-2</v>
      </c>
      <c r="M180" s="61">
        <v>1.3113425925925925E-3</v>
      </c>
      <c r="N180" s="61">
        <v>3.3135416666666667E-2</v>
      </c>
      <c r="O180" s="61">
        <v>3.6099537037037033E-3</v>
      </c>
      <c r="P180" s="61">
        <v>0.12165856481481481</v>
      </c>
      <c r="Q180" s="59" t="s">
        <v>1811</v>
      </c>
      <c r="R180" s="8">
        <f t="shared" si="2"/>
        <v>696</v>
      </c>
    </row>
    <row r="181" spans="1:18" ht="14.45" customHeight="1">
      <c r="A181" s="59">
        <v>180</v>
      </c>
      <c r="B181" s="59">
        <v>42</v>
      </c>
      <c r="C181" s="60" t="s">
        <v>135</v>
      </c>
      <c r="D181" s="59" t="s">
        <v>1812</v>
      </c>
      <c r="E181" s="59" t="s">
        <v>0</v>
      </c>
      <c r="F181" s="59"/>
      <c r="G181" s="59" t="s">
        <v>340</v>
      </c>
      <c r="H181" s="59" t="s">
        <v>1501</v>
      </c>
      <c r="I181" s="59">
        <v>170</v>
      </c>
      <c r="J181" s="61">
        <v>2.9979166666666664E-2</v>
      </c>
      <c r="K181" s="61">
        <v>1.5532407407407407E-3</v>
      </c>
      <c r="L181" s="61">
        <v>5.2511574074074072E-2</v>
      </c>
      <c r="M181" s="61">
        <v>1.3993055555555555E-3</v>
      </c>
      <c r="N181" s="61">
        <v>3.6319444444444446E-2</v>
      </c>
      <c r="O181" s="61">
        <v>2.9525462962962964E-3</v>
      </c>
      <c r="P181" s="61">
        <v>0.12176504629629629</v>
      </c>
      <c r="Q181" s="59" t="s">
        <v>1813</v>
      </c>
      <c r="R181" s="8">
        <f t="shared" si="2"/>
        <v>696</v>
      </c>
    </row>
    <row r="182" spans="1:18" ht="14.45" customHeight="1">
      <c r="A182" s="59">
        <v>181</v>
      </c>
      <c r="B182" s="59">
        <v>182</v>
      </c>
      <c r="C182" s="60" t="s">
        <v>135</v>
      </c>
      <c r="D182" s="59" t="s">
        <v>283</v>
      </c>
      <c r="E182" s="59" t="s">
        <v>284</v>
      </c>
      <c r="F182" s="59" t="s">
        <v>199</v>
      </c>
      <c r="G182" s="59" t="s">
        <v>340</v>
      </c>
      <c r="H182" s="59" t="s">
        <v>1501</v>
      </c>
      <c r="I182" s="59">
        <v>171</v>
      </c>
      <c r="J182" s="61">
        <v>2.9881944444444447E-2</v>
      </c>
      <c r="K182" s="61">
        <v>1.3807870370370369E-3</v>
      </c>
      <c r="L182" s="61">
        <v>5.1631944444444446E-2</v>
      </c>
      <c r="M182" s="61">
        <v>1.1655092592592594E-3</v>
      </c>
      <c r="N182" s="61">
        <v>3.7841435185185186E-2</v>
      </c>
      <c r="O182" s="61">
        <v>2.5462962962962965E-3</v>
      </c>
      <c r="P182" s="61">
        <v>0.12190509259259259</v>
      </c>
      <c r="Q182" s="59" t="s">
        <v>1814</v>
      </c>
      <c r="R182" s="8">
        <f t="shared" si="2"/>
        <v>695</v>
      </c>
    </row>
    <row r="183" spans="1:18" ht="14.45" customHeight="1">
      <c r="A183" s="59">
        <v>182</v>
      </c>
      <c r="B183" s="59">
        <v>212</v>
      </c>
      <c r="C183" s="60" t="s">
        <v>135</v>
      </c>
      <c r="D183" s="59" t="s">
        <v>1815</v>
      </c>
      <c r="E183" s="59" t="s">
        <v>0</v>
      </c>
      <c r="F183" s="59" t="s">
        <v>1816</v>
      </c>
      <c r="G183" s="59" t="s">
        <v>340</v>
      </c>
      <c r="H183" s="59" t="s">
        <v>1501</v>
      </c>
      <c r="I183" s="59">
        <v>172</v>
      </c>
      <c r="J183" s="61">
        <v>2.9991898148148149E-2</v>
      </c>
      <c r="K183" s="61">
        <v>1.6909722222222222E-3</v>
      </c>
      <c r="L183" s="61">
        <v>5.2222222222222225E-2</v>
      </c>
      <c r="M183" s="61">
        <v>1.2951388888888889E-3</v>
      </c>
      <c r="N183" s="61">
        <v>3.6708333333333329E-2</v>
      </c>
      <c r="O183" s="61">
        <v>2.9861111111111113E-3</v>
      </c>
      <c r="P183" s="61">
        <v>0.12191087962962964</v>
      </c>
      <c r="Q183" s="59" t="s">
        <v>1817</v>
      </c>
      <c r="R183" s="8">
        <f t="shared" si="2"/>
        <v>695</v>
      </c>
    </row>
    <row r="184" spans="1:18" ht="14.45" customHeight="1">
      <c r="A184" s="59">
        <v>183</v>
      </c>
      <c r="B184" s="59">
        <v>168</v>
      </c>
      <c r="C184" s="60" t="s">
        <v>135</v>
      </c>
      <c r="D184" s="59" t="s">
        <v>1818</v>
      </c>
      <c r="E184" s="59" t="s">
        <v>0</v>
      </c>
      <c r="F184" s="59"/>
      <c r="G184" s="59" t="s">
        <v>340</v>
      </c>
      <c r="H184" s="59" t="s">
        <v>1501</v>
      </c>
      <c r="I184" s="59">
        <v>173</v>
      </c>
      <c r="J184" s="61">
        <v>3.3609953703703704E-2</v>
      </c>
      <c r="K184" s="61">
        <v>2.150462962962963E-3</v>
      </c>
      <c r="L184" s="61">
        <v>5.1741898148148148E-2</v>
      </c>
      <c r="M184" s="61">
        <v>1.457175925925926E-3</v>
      </c>
      <c r="N184" s="61">
        <v>3.3094907407407406E-2</v>
      </c>
      <c r="O184" s="61">
        <v>3.607638888888889E-3</v>
      </c>
      <c r="P184" s="61">
        <v>0.12205787037037036</v>
      </c>
      <c r="Q184" s="59" t="s">
        <v>1819</v>
      </c>
      <c r="R184" s="8">
        <f t="shared" si="2"/>
        <v>694</v>
      </c>
    </row>
    <row r="185" spans="1:18" ht="14.45" customHeight="1">
      <c r="A185" s="59">
        <v>184</v>
      </c>
      <c r="B185" s="59">
        <v>104</v>
      </c>
      <c r="C185" s="60" t="s">
        <v>135</v>
      </c>
      <c r="D185" s="59" t="s">
        <v>296</v>
      </c>
      <c r="E185" s="59" t="s">
        <v>297</v>
      </c>
      <c r="F185" s="59" t="s">
        <v>199</v>
      </c>
      <c r="G185" s="59" t="s">
        <v>340</v>
      </c>
      <c r="H185" s="59" t="s">
        <v>1501</v>
      </c>
      <c r="I185" s="59">
        <v>174</v>
      </c>
      <c r="J185" s="61">
        <v>2.6530092592592591E-2</v>
      </c>
      <c r="K185" s="61">
        <v>1.6516203703703701E-3</v>
      </c>
      <c r="L185" s="61">
        <v>5.0325231481481485E-2</v>
      </c>
      <c r="M185" s="61">
        <v>1.1469907407407407E-3</v>
      </c>
      <c r="N185" s="61">
        <v>4.2437499999999996E-2</v>
      </c>
      <c r="O185" s="61">
        <v>2.7986111111111111E-3</v>
      </c>
      <c r="P185" s="61">
        <v>0.1220949074074074</v>
      </c>
      <c r="Q185" s="59" t="s">
        <v>1820</v>
      </c>
      <c r="R185" s="8">
        <f t="shared" si="2"/>
        <v>694</v>
      </c>
    </row>
    <row r="186" spans="1:18" ht="14.45" customHeight="1">
      <c r="A186" s="59">
        <v>185</v>
      </c>
      <c r="B186" s="59">
        <v>216</v>
      </c>
      <c r="C186" s="60" t="s">
        <v>135</v>
      </c>
      <c r="D186" s="59" t="s">
        <v>1821</v>
      </c>
      <c r="E186" s="59" t="s">
        <v>1822</v>
      </c>
      <c r="F186" s="59"/>
      <c r="G186" s="59" t="s">
        <v>340</v>
      </c>
      <c r="H186" s="59" t="s">
        <v>1501</v>
      </c>
      <c r="I186" s="59">
        <v>175</v>
      </c>
      <c r="J186" s="61">
        <v>2.914351851851852E-2</v>
      </c>
      <c r="K186" s="61">
        <v>1.8680555555555555E-3</v>
      </c>
      <c r="L186" s="61">
        <v>4.7184027777777776E-2</v>
      </c>
      <c r="M186" s="61">
        <v>1.7766203703703705E-3</v>
      </c>
      <c r="N186" s="61">
        <v>4.2193287037037036E-2</v>
      </c>
      <c r="O186" s="61">
        <v>3.6446759259259258E-3</v>
      </c>
      <c r="P186" s="61">
        <v>0.12216782407407406</v>
      </c>
      <c r="Q186" s="59" t="s">
        <v>1823</v>
      </c>
      <c r="R186" s="8">
        <f t="shared" si="2"/>
        <v>693</v>
      </c>
    </row>
    <row r="187" spans="1:18" ht="14.45" customHeight="1">
      <c r="A187" s="59">
        <v>186</v>
      </c>
      <c r="B187" s="59">
        <v>149</v>
      </c>
      <c r="C187" s="60" t="s">
        <v>1121</v>
      </c>
      <c r="D187" s="59" t="s">
        <v>1824</v>
      </c>
      <c r="E187" s="59" t="s">
        <v>0</v>
      </c>
      <c r="F187" s="59" t="s">
        <v>1825</v>
      </c>
      <c r="G187" s="59" t="s">
        <v>340</v>
      </c>
      <c r="H187" s="59" t="s">
        <v>1501</v>
      </c>
      <c r="I187" s="59">
        <v>176</v>
      </c>
      <c r="J187" s="61">
        <v>2.5354166666666667E-2</v>
      </c>
      <c r="K187" s="61">
        <v>1.3888888888888889E-3</v>
      </c>
      <c r="L187" s="61">
        <v>5.2696759259259263E-2</v>
      </c>
      <c r="M187" s="61">
        <v>1.1805555555555556E-3</v>
      </c>
      <c r="N187" s="61">
        <v>4.1553240740740738E-2</v>
      </c>
      <c r="O187" s="61">
        <v>2.5694444444444445E-3</v>
      </c>
      <c r="P187" s="61">
        <v>0.12217592592592592</v>
      </c>
      <c r="Q187" s="59" t="s">
        <v>1826</v>
      </c>
      <c r="R187" s="8">
        <f t="shared" si="2"/>
        <v>693</v>
      </c>
    </row>
    <row r="188" spans="1:18" ht="14.45" customHeight="1">
      <c r="A188" s="59">
        <v>187</v>
      </c>
      <c r="B188" s="59">
        <v>637</v>
      </c>
      <c r="C188" s="60" t="s">
        <v>135</v>
      </c>
      <c r="D188" s="59" t="s">
        <v>1827</v>
      </c>
      <c r="E188" s="59" t="s">
        <v>0</v>
      </c>
      <c r="F188" s="59" t="s">
        <v>189</v>
      </c>
      <c r="G188" s="59" t="s">
        <v>319</v>
      </c>
      <c r="H188" s="59" t="s">
        <v>1520</v>
      </c>
      <c r="I188" s="59">
        <v>9</v>
      </c>
      <c r="J188" s="61">
        <v>2.3649305555555555E-2</v>
      </c>
      <c r="K188" s="61">
        <v>1.4444444444444444E-3</v>
      </c>
      <c r="L188" s="61">
        <v>5.7041666666666664E-2</v>
      </c>
      <c r="M188" s="61">
        <v>1.0474537037037037E-3</v>
      </c>
      <c r="N188" s="61">
        <v>3.9008101851851856E-2</v>
      </c>
      <c r="O188" s="61">
        <v>2.4918981481481485E-3</v>
      </c>
      <c r="P188" s="61">
        <v>0.12219097222222221</v>
      </c>
      <c r="Q188" s="59" t="s">
        <v>1828</v>
      </c>
      <c r="R188" s="8">
        <f t="shared" si="2"/>
        <v>693</v>
      </c>
    </row>
    <row r="189" spans="1:18" ht="14.45" customHeight="1">
      <c r="A189" s="59">
        <v>188</v>
      </c>
      <c r="B189" s="59">
        <v>170</v>
      </c>
      <c r="C189" s="60" t="s">
        <v>1247</v>
      </c>
      <c r="D189" s="59" t="s">
        <v>1829</v>
      </c>
      <c r="E189" s="59" t="s">
        <v>0</v>
      </c>
      <c r="F189" s="59"/>
      <c r="G189" s="59" t="s">
        <v>340</v>
      </c>
      <c r="H189" s="59" t="s">
        <v>1501</v>
      </c>
      <c r="I189" s="59">
        <v>177</v>
      </c>
      <c r="J189" s="61">
        <v>2.2552083333333334E-2</v>
      </c>
      <c r="K189" s="61">
        <v>2.0659722222222221E-3</v>
      </c>
      <c r="L189" s="61">
        <v>5.7868055555555555E-2</v>
      </c>
      <c r="M189" s="61">
        <v>7.407407407407407E-4</v>
      </c>
      <c r="N189" s="61">
        <v>3.9155092592592596E-2</v>
      </c>
      <c r="O189" s="61">
        <v>2.8067129629629631E-3</v>
      </c>
      <c r="P189" s="61">
        <v>0.12238425925925926</v>
      </c>
      <c r="Q189" s="59" t="s">
        <v>1830</v>
      </c>
      <c r="R189" s="8">
        <f t="shared" si="2"/>
        <v>692</v>
      </c>
    </row>
    <row r="190" spans="1:18" ht="14.45" customHeight="1">
      <c r="A190" s="59">
        <v>189</v>
      </c>
      <c r="B190" s="59">
        <v>602</v>
      </c>
      <c r="C190" s="60" t="s">
        <v>135</v>
      </c>
      <c r="D190" s="59" t="s">
        <v>1831</v>
      </c>
      <c r="E190" s="59" t="s">
        <v>936</v>
      </c>
      <c r="F190" s="59" t="s">
        <v>138</v>
      </c>
      <c r="G190" s="59" t="s">
        <v>319</v>
      </c>
      <c r="H190" s="59" t="s">
        <v>1520</v>
      </c>
      <c r="I190" s="59">
        <v>10</v>
      </c>
      <c r="J190" s="61">
        <v>2.4342592592592589E-2</v>
      </c>
      <c r="K190" s="61">
        <v>1.4664351851851852E-3</v>
      </c>
      <c r="L190" s="61">
        <v>5.9468750000000001E-2</v>
      </c>
      <c r="M190" s="61">
        <v>9.8263888888888901E-4</v>
      </c>
      <c r="N190" s="61">
        <v>3.6598379629629627E-2</v>
      </c>
      <c r="O190" s="61">
        <v>2.449074074074074E-3</v>
      </c>
      <c r="P190" s="61">
        <v>0.1228587962962963</v>
      </c>
      <c r="Q190" s="59" t="s">
        <v>1832</v>
      </c>
      <c r="R190" s="8">
        <f t="shared" si="2"/>
        <v>690</v>
      </c>
    </row>
    <row r="191" spans="1:18" ht="14.45" customHeight="1">
      <c r="A191" s="59">
        <v>190</v>
      </c>
      <c r="B191" s="59">
        <v>325</v>
      </c>
      <c r="C191" s="60" t="s">
        <v>135</v>
      </c>
      <c r="D191" s="59" t="s">
        <v>622</v>
      </c>
      <c r="E191" s="59" t="s">
        <v>623</v>
      </c>
      <c r="F191" s="59" t="s">
        <v>173</v>
      </c>
      <c r="G191" s="59" t="s">
        <v>340</v>
      </c>
      <c r="H191" s="59" t="s">
        <v>1501</v>
      </c>
      <c r="I191" s="59">
        <v>178</v>
      </c>
      <c r="J191" s="61">
        <v>2.6512731481481481E-2</v>
      </c>
      <c r="K191" s="61">
        <v>2.96875E-3</v>
      </c>
      <c r="L191" s="61">
        <v>5.6187500000000001E-2</v>
      </c>
      <c r="M191" s="61">
        <v>1.980324074074074E-3</v>
      </c>
      <c r="N191" s="61">
        <v>3.5624999999999997E-2</v>
      </c>
      <c r="O191" s="61">
        <v>4.9490740740740745E-3</v>
      </c>
      <c r="P191" s="61">
        <v>0.12327662037037038</v>
      </c>
      <c r="Q191" s="59" t="s">
        <v>1833</v>
      </c>
      <c r="R191" s="8">
        <f t="shared" si="2"/>
        <v>687</v>
      </c>
    </row>
    <row r="192" spans="1:18" ht="14.45" customHeight="1">
      <c r="A192" s="59">
        <v>191</v>
      </c>
      <c r="B192" s="59">
        <v>294</v>
      </c>
      <c r="C192" s="60" t="s">
        <v>135</v>
      </c>
      <c r="D192" s="59" t="s">
        <v>1834</v>
      </c>
      <c r="E192" s="59" t="s">
        <v>0</v>
      </c>
      <c r="F192" s="59"/>
      <c r="G192" s="59" t="s">
        <v>340</v>
      </c>
      <c r="H192" s="59" t="s">
        <v>1501</v>
      </c>
      <c r="I192" s="59">
        <v>179</v>
      </c>
      <c r="J192" s="61">
        <v>3.0256944444444444E-2</v>
      </c>
      <c r="K192" s="61">
        <v>2.8715277777777775E-3</v>
      </c>
      <c r="L192" s="61">
        <v>5.5256944444444442E-2</v>
      </c>
      <c r="M192" s="61">
        <v>1.7199074074074074E-3</v>
      </c>
      <c r="N192" s="61">
        <v>3.3361111111111112E-2</v>
      </c>
      <c r="O192" s="61">
        <v>4.5914351851851854E-3</v>
      </c>
      <c r="P192" s="61">
        <v>0.12346875</v>
      </c>
      <c r="Q192" s="59" t="s">
        <v>1835</v>
      </c>
      <c r="R192" s="8">
        <f t="shared" si="2"/>
        <v>686</v>
      </c>
    </row>
    <row r="193" spans="1:18" ht="14.45" customHeight="1">
      <c r="A193" s="59">
        <v>192</v>
      </c>
      <c r="B193" s="59">
        <v>156</v>
      </c>
      <c r="C193" s="60" t="s">
        <v>135</v>
      </c>
      <c r="D193" s="59" t="s">
        <v>1836</v>
      </c>
      <c r="E193" s="59" t="s">
        <v>0</v>
      </c>
      <c r="F193" s="59"/>
      <c r="G193" s="59" t="s">
        <v>340</v>
      </c>
      <c r="H193" s="59" t="s">
        <v>1501</v>
      </c>
      <c r="I193" s="59">
        <v>180</v>
      </c>
      <c r="J193" s="61">
        <v>2.9120370370370369E-2</v>
      </c>
      <c r="K193" s="61">
        <v>2.1863425925925926E-3</v>
      </c>
      <c r="L193" s="61">
        <v>5.6472222222222222E-2</v>
      </c>
      <c r="M193" s="61">
        <v>1.21875E-3</v>
      </c>
      <c r="N193" s="61">
        <v>3.4560185185185187E-2</v>
      </c>
      <c r="O193" s="61">
        <v>3.4050925925925924E-3</v>
      </c>
      <c r="P193" s="61">
        <v>0.12356018518518519</v>
      </c>
      <c r="Q193" s="59" t="s">
        <v>1837</v>
      </c>
      <c r="R193" s="8">
        <f t="shared" si="2"/>
        <v>686</v>
      </c>
    </row>
    <row r="194" spans="1:18" ht="14.45" customHeight="1">
      <c r="A194" s="59">
        <v>193</v>
      </c>
      <c r="B194" s="59">
        <v>627</v>
      </c>
      <c r="C194" s="60" t="s">
        <v>135</v>
      </c>
      <c r="D194" s="59" t="s">
        <v>1838</v>
      </c>
      <c r="E194" s="59" t="s">
        <v>1839</v>
      </c>
      <c r="F194" s="59" t="s">
        <v>1808</v>
      </c>
      <c r="G194" s="59" t="s">
        <v>319</v>
      </c>
      <c r="H194" s="59" t="s">
        <v>1520</v>
      </c>
      <c r="I194" s="59">
        <v>11</v>
      </c>
      <c r="J194" s="61">
        <v>2.8128472222222225E-2</v>
      </c>
      <c r="K194" s="61">
        <v>1.3275462962962963E-3</v>
      </c>
      <c r="L194" s="61">
        <v>5.6229166666666663E-2</v>
      </c>
      <c r="M194" s="61">
        <v>1.1145833333333333E-3</v>
      </c>
      <c r="N194" s="61">
        <v>3.6793981481481483E-2</v>
      </c>
      <c r="O194" s="61">
        <v>2.4421296296296296E-3</v>
      </c>
      <c r="P194" s="61">
        <v>0.12359490740740742</v>
      </c>
      <c r="Q194" s="59" t="s">
        <v>1840</v>
      </c>
      <c r="R194" s="8">
        <f t="shared" si="2"/>
        <v>685</v>
      </c>
    </row>
    <row r="195" spans="1:18" ht="14.45" customHeight="1">
      <c r="A195" s="59">
        <v>194</v>
      </c>
      <c r="B195" s="59">
        <v>258</v>
      </c>
      <c r="C195" s="60" t="s">
        <v>140</v>
      </c>
      <c r="D195" s="59" t="s">
        <v>1841</v>
      </c>
      <c r="E195" s="59" t="s">
        <v>0</v>
      </c>
      <c r="F195" s="59"/>
      <c r="G195" s="59" t="s">
        <v>340</v>
      </c>
      <c r="H195" s="59" t="s">
        <v>1501</v>
      </c>
      <c r="I195" s="59">
        <v>181</v>
      </c>
      <c r="J195" s="61">
        <v>2.9355324074074075E-2</v>
      </c>
      <c r="K195" s="61">
        <v>2.158564814814815E-3</v>
      </c>
      <c r="L195" s="61">
        <v>5.6555555555555553E-2</v>
      </c>
      <c r="M195" s="61">
        <v>1.2233796296296296E-3</v>
      </c>
      <c r="N195" s="61">
        <v>3.4366898148148153E-2</v>
      </c>
      <c r="O195" s="61">
        <v>3.3819444444444444E-3</v>
      </c>
      <c r="P195" s="61">
        <v>0.12366203703703703</v>
      </c>
      <c r="Q195" s="59" t="s">
        <v>1842</v>
      </c>
      <c r="R195" s="8">
        <f t="shared" ref="R195:R258" si="3">IFERROR(ROUND($P$2/P195*1000,0),0)</f>
        <v>685</v>
      </c>
    </row>
    <row r="196" spans="1:18" ht="14.45" customHeight="1">
      <c r="A196" s="59">
        <v>195</v>
      </c>
      <c r="B196" s="59">
        <v>40</v>
      </c>
      <c r="C196" s="60" t="s">
        <v>135</v>
      </c>
      <c r="D196" s="59" t="s">
        <v>280</v>
      </c>
      <c r="E196" s="59" t="s">
        <v>281</v>
      </c>
      <c r="F196" s="59" t="s">
        <v>199</v>
      </c>
      <c r="G196" s="59" t="s">
        <v>340</v>
      </c>
      <c r="H196" s="59" t="s">
        <v>1501</v>
      </c>
      <c r="I196" s="59">
        <v>182</v>
      </c>
      <c r="J196" s="61">
        <v>2.985648148148148E-2</v>
      </c>
      <c r="K196" s="61">
        <v>2.1770833333333334E-3</v>
      </c>
      <c r="L196" s="61">
        <v>4.9844907407407414E-2</v>
      </c>
      <c r="M196" s="61">
        <v>1.0138888888888888E-3</v>
      </c>
      <c r="N196" s="61">
        <v>4.0945601851851851E-2</v>
      </c>
      <c r="O196" s="61">
        <v>3.1909722222222222E-3</v>
      </c>
      <c r="P196" s="61">
        <v>0.12384027777777777</v>
      </c>
      <c r="Q196" s="59" t="s">
        <v>1843</v>
      </c>
      <c r="R196" s="8">
        <f t="shared" si="3"/>
        <v>684</v>
      </c>
    </row>
    <row r="197" spans="1:18" ht="14.45" customHeight="1">
      <c r="A197" s="59">
        <v>196</v>
      </c>
      <c r="B197" s="59">
        <v>208</v>
      </c>
      <c r="C197" s="60" t="s">
        <v>135</v>
      </c>
      <c r="D197" s="59" t="s">
        <v>1844</v>
      </c>
      <c r="E197" s="59" t="s">
        <v>0</v>
      </c>
      <c r="F197" s="59"/>
      <c r="G197" s="59" t="s">
        <v>340</v>
      </c>
      <c r="H197" s="59" t="s">
        <v>1501</v>
      </c>
      <c r="I197" s="59">
        <v>183</v>
      </c>
      <c r="J197" s="61">
        <v>2.3321759259259261E-2</v>
      </c>
      <c r="K197" s="61">
        <v>1.5439814814814815E-3</v>
      </c>
      <c r="L197" s="61">
        <v>5.082407407407407E-2</v>
      </c>
      <c r="M197" s="61">
        <v>1.6597222222222224E-3</v>
      </c>
      <c r="N197" s="61">
        <v>4.6716435185185187E-2</v>
      </c>
      <c r="O197" s="61">
        <v>3.2037037037037038E-3</v>
      </c>
      <c r="P197" s="61">
        <v>0.12406828703703704</v>
      </c>
      <c r="Q197" s="59" t="s">
        <v>1845</v>
      </c>
      <c r="R197" s="8">
        <f t="shared" si="3"/>
        <v>683</v>
      </c>
    </row>
    <row r="198" spans="1:18" ht="14.45" customHeight="1">
      <c r="A198" s="59">
        <v>197</v>
      </c>
      <c r="B198" s="59">
        <v>117</v>
      </c>
      <c r="C198" s="60" t="s">
        <v>135</v>
      </c>
      <c r="D198" s="59" t="s">
        <v>1846</v>
      </c>
      <c r="E198" s="59" t="s">
        <v>0</v>
      </c>
      <c r="F198" s="59"/>
      <c r="G198" s="59" t="s">
        <v>340</v>
      </c>
      <c r="H198" s="59" t="s">
        <v>1501</v>
      </c>
      <c r="I198" s="59">
        <v>184</v>
      </c>
      <c r="J198" s="61">
        <v>3.0686342592592595E-2</v>
      </c>
      <c r="K198" s="61">
        <v>1.5891203703703705E-3</v>
      </c>
      <c r="L198" s="61">
        <v>5.3304398148148149E-2</v>
      </c>
      <c r="M198" s="61">
        <v>1.3726851851851851E-3</v>
      </c>
      <c r="N198" s="61">
        <v>3.7248842592592597E-2</v>
      </c>
      <c r="O198" s="61">
        <v>2.9618055555555556E-3</v>
      </c>
      <c r="P198" s="61">
        <v>0.12420370370370372</v>
      </c>
      <c r="Q198" s="59" t="s">
        <v>1847</v>
      </c>
      <c r="R198" s="8">
        <f t="shared" si="3"/>
        <v>682</v>
      </c>
    </row>
    <row r="199" spans="1:18" ht="14.45" customHeight="1">
      <c r="A199" s="59">
        <v>198</v>
      </c>
      <c r="B199" s="59">
        <v>295</v>
      </c>
      <c r="C199" s="60" t="s">
        <v>1848</v>
      </c>
      <c r="D199" s="59" t="s">
        <v>1849</v>
      </c>
      <c r="E199" s="59" t="s">
        <v>1850</v>
      </c>
      <c r="F199" s="59" t="s">
        <v>1851</v>
      </c>
      <c r="G199" s="59" t="s">
        <v>340</v>
      </c>
      <c r="H199" s="59" t="s">
        <v>1501</v>
      </c>
      <c r="I199" s="59">
        <v>185</v>
      </c>
      <c r="J199" s="61">
        <v>3.0681712962962963E-2</v>
      </c>
      <c r="K199" s="61">
        <v>2.2835648148148151E-3</v>
      </c>
      <c r="L199" s="61">
        <v>5.3964120370370371E-2</v>
      </c>
      <c r="M199" s="61">
        <v>1.5266203703703705E-3</v>
      </c>
      <c r="N199" s="61">
        <v>3.578935185185185E-2</v>
      </c>
      <c r="O199" s="61">
        <v>3.8101851851851851E-3</v>
      </c>
      <c r="P199" s="61">
        <v>0.12424652777777777</v>
      </c>
      <c r="Q199" s="59" t="s">
        <v>1852</v>
      </c>
      <c r="R199" s="8">
        <f t="shared" si="3"/>
        <v>682</v>
      </c>
    </row>
    <row r="200" spans="1:18" ht="14.45" customHeight="1">
      <c r="A200" s="59">
        <v>199</v>
      </c>
      <c r="B200" s="59">
        <v>108</v>
      </c>
      <c r="C200" s="60" t="s">
        <v>135</v>
      </c>
      <c r="D200" s="59" t="s">
        <v>1853</v>
      </c>
      <c r="E200" s="59" t="s">
        <v>0</v>
      </c>
      <c r="F200" s="59"/>
      <c r="G200" s="59" t="s">
        <v>340</v>
      </c>
      <c r="H200" s="59" t="s">
        <v>1501</v>
      </c>
      <c r="I200" s="59">
        <v>186</v>
      </c>
      <c r="J200" s="61">
        <v>2.2081018518518517E-2</v>
      </c>
      <c r="K200" s="61">
        <v>2.0277777777777777E-3</v>
      </c>
      <c r="L200" s="61">
        <v>5.5265046296296291E-2</v>
      </c>
      <c r="M200" s="61">
        <v>1.5138888888888891E-3</v>
      </c>
      <c r="N200" s="61">
        <v>4.3395833333333335E-2</v>
      </c>
      <c r="O200" s="61">
        <v>3.5416666666666665E-3</v>
      </c>
      <c r="P200" s="61">
        <v>0.12428587962962963</v>
      </c>
      <c r="Q200" s="59" t="s">
        <v>1854</v>
      </c>
      <c r="R200" s="8">
        <f t="shared" si="3"/>
        <v>682</v>
      </c>
    </row>
    <row r="201" spans="1:18" ht="14.45" customHeight="1">
      <c r="A201" s="59">
        <v>200</v>
      </c>
      <c r="B201" s="59">
        <v>85</v>
      </c>
      <c r="C201" s="60" t="s">
        <v>135</v>
      </c>
      <c r="D201" s="59" t="s">
        <v>321</v>
      </c>
      <c r="E201" s="59" t="s">
        <v>322</v>
      </c>
      <c r="F201" s="59"/>
      <c r="G201" s="59" t="s">
        <v>340</v>
      </c>
      <c r="H201" s="59" t="s">
        <v>1501</v>
      </c>
      <c r="I201" s="59">
        <v>187</v>
      </c>
      <c r="J201" s="61">
        <v>3.2921296296296296E-2</v>
      </c>
      <c r="K201" s="61">
        <v>1.5775462962962965E-3</v>
      </c>
      <c r="L201" s="61">
        <v>5.2489583333333339E-2</v>
      </c>
      <c r="M201" s="61">
        <v>1.3784722222222221E-3</v>
      </c>
      <c r="N201" s="61">
        <v>3.6021990740740743E-2</v>
      </c>
      <c r="O201" s="61">
        <v>2.9560185185185184E-3</v>
      </c>
      <c r="P201" s="61">
        <v>0.1243912037037037</v>
      </c>
      <c r="Q201" s="59" t="s">
        <v>1855</v>
      </c>
      <c r="R201" s="8">
        <f t="shared" si="3"/>
        <v>681</v>
      </c>
    </row>
    <row r="202" spans="1:18" ht="14.45" customHeight="1">
      <c r="A202" s="59">
        <v>201</v>
      </c>
      <c r="B202" s="59">
        <v>635</v>
      </c>
      <c r="C202" s="60" t="s">
        <v>135</v>
      </c>
      <c r="D202" s="59" t="s">
        <v>597</v>
      </c>
      <c r="E202" s="59" t="s">
        <v>598</v>
      </c>
      <c r="F202" s="59" t="s">
        <v>189</v>
      </c>
      <c r="G202" s="59" t="s">
        <v>319</v>
      </c>
      <c r="H202" s="59" t="s">
        <v>1520</v>
      </c>
      <c r="I202" s="59">
        <v>12</v>
      </c>
      <c r="J202" s="61">
        <v>2.5334490740740741E-2</v>
      </c>
      <c r="K202" s="61">
        <v>1.2013888888888888E-3</v>
      </c>
      <c r="L202" s="61">
        <v>5.7277777777777782E-2</v>
      </c>
      <c r="M202" s="61">
        <v>1.2280092592592592E-3</v>
      </c>
      <c r="N202" s="61">
        <v>3.9550925925925927E-2</v>
      </c>
      <c r="O202" s="61">
        <v>2.4293981481481484E-3</v>
      </c>
      <c r="P202" s="61">
        <v>0.12459606481481482</v>
      </c>
      <c r="Q202" s="59" t="s">
        <v>1856</v>
      </c>
      <c r="R202" s="8">
        <f t="shared" si="3"/>
        <v>680</v>
      </c>
    </row>
    <row r="203" spans="1:18" ht="14.45" customHeight="1">
      <c r="A203" s="59">
        <v>202</v>
      </c>
      <c r="B203" s="59">
        <v>256</v>
      </c>
      <c r="C203" s="60" t="s">
        <v>135</v>
      </c>
      <c r="D203" s="59" t="s">
        <v>312</v>
      </c>
      <c r="E203" s="59" t="s">
        <v>313</v>
      </c>
      <c r="F203" s="59" t="s">
        <v>138</v>
      </c>
      <c r="G203" s="59" t="s">
        <v>340</v>
      </c>
      <c r="H203" s="59" t="s">
        <v>1501</v>
      </c>
      <c r="I203" s="59">
        <v>188</v>
      </c>
      <c r="J203" s="61">
        <v>2.8767361111111112E-2</v>
      </c>
      <c r="K203" s="61">
        <v>1.3032407407407407E-3</v>
      </c>
      <c r="L203" s="61">
        <v>5.2594907407407403E-2</v>
      </c>
      <c r="M203" s="61">
        <v>9.3171296296296296E-4</v>
      </c>
      <c r="N203" s="61">
        <v>4.1016203703703707E-2</v>
      </c>
      <c r="O203" s="61">
        <v>2.2349537037037038E-3</v>
      </c>
      <c r="P203" s="61">
        <v>0.12461574074074074</v>
      </c>
      <c r="Q203" s="59" t="s">
        <v>1857</v>
      </c>
      <c r="R203" s="8">
        <f t="shared" si="3"/>
        <v>680</v>
      </c>
    </row>
    <row r="204" spans="1:18" ht="14.45" customHeight="1">
      <c r="A204" s="59">
        <v>203</v>
      </c>
      <c r="B204" s="59">
        <v>37</v>
      </c>
      <c r="C204" s="60" t="s">
        <v>135</v>
      </c>
      <c r="D204" s="59" t="s">
        <v>1858</v>
      </c>
      <c r="E204" s="59" t="s">
        <v>0</v>
      </c>
      <c r="F204" s="59" t="s">
        <v>1859</v>
      </c>
      <c r="G204" s="59" t="s">
        <v>340</v>
      </c>
      <c r="H204" s="59" t="s">
        <v>1501</v>
      </c>
      <c r="I204" s="59">
        <v>189</v>
      </c>
      <c r="J204" s="61">
        <v>3.0028935185185186E-2</v>
      </c>
      <c r="K204" s="61">
        <v>1.5416666666666664E-3</v>
      </c>
      <c r="L204" s="61">
        <v>4.9149305555555557E-2</v>
      </c>
      <c r="M204" s="61">
        <v>1.8240740740740741E-3</v>
      </c>
      <c r="N204" s="61">
        <v>4.207175925925926E-2</v>
      </c>
      <c r="O204" s="61">
        <v>3.3657407407407408E-3</v>
      </c>
      <c r="P204" s="61">
        <v>0.12461805555555555</v>
      </c>
      <c r="Q204" s="59" t="s">
        <v>1860</v>
      </c>
      <c r="R204" s="8">
        <f t="shared" si="3"/>
        <v>680</v>
      </c>
    </row>
    <row r="205" spans="1:18" ht="14.45" customHeight="1">
      <c r="A205" s="59">
        <v>204</v>
      </c>
      <c r="B205" s="59">
        <v>623</v>
      </c>
      <c r="C205" s="60" t="s">
        <v>135</v>
      </c>
      <c r="D205" s="59" t="s">
        <v>1861</v>
      </c>
      <c r="E205" s="59" t="s">
        <v>1862</v>
      </c>
      <c r="F205" s="59"/>
      <c r="G205" s="59" t="s">
        <v>319</v>
      </c>
      <c r="H205" s="59" t="s">
        <v>1520</v>
      </c>
      <c r="I205" s="59">
        <v>13</v>
      </c>
      <c r="J205" s="61">
        <v>2.8515046296296295E-2</v>
      </c>
      <c r="K205" s="61">
        <v>1.5960648148148149E-3</v>
      </c>
      <c r="L205" s="61">
        <v>5.8643518518518518E-2</v>
      </c>
      <c r="M205" s="61">
        <v>1.1400462962962963E-3</v>
      </c>
      <c r="N205" s="61">
        <v>3.496875E-2</v>
      </c>
      <c r="O205" s="61">
        <v>2.736111111111111E-3</v>
      </c>
      <c r="P205" s="61">
        <v>0.12486574074074074</v>
      </c>
      <c r="Q205" s="59" t="s">
        <v>1863</v>
      </c>
      <c r="R205" s="8">
        <f t="shared" si="3"/>
        <v>679</v>
      </c>
    </row>
    <row r="206" spans="1:18" ht="14.45" customHeight="1">
      <c r="A206" s="59">
        <v>205</v>
      </c>
      <c r="B206" s="59">
        <v>160</v>
      </c>
      <c r="C206" s="60" t="s">
        <v>135</v>
      </c>
      <c r="D206" s="59" t="s">
        <v>1864</v>
      </c>
      <c r="E206" s="59" t="s">
        <v>0</v>
      </c>
      <c r="F206" s="59" t="s">
        <v>173</v>
      </c>
      <c r="G206" s="59" t="s">
        <v>340</v>
      </c>
      <c r="H206" s="59" t="s">
        <v>1501</v>
      </c>
      <c r="I206" s="59">
        <v>190</v>
      </c>
      <c r="J206" s="61">
        <v>2.5503472222222223E-2</v>
      </c>
      <c r="K206" s="61">
        <v>1.2997685185185185E-3</v>
      </c>
      <c r="L206" s="61">
        <v>5.653009259259259E-2</v>
      </c>
      <c r="M206" s="61">
        <v>9.5023148148148137E-4</v>
      </c>
      <c r="N206" s="61">
        <v>4.1219907407407406E-2</v>
      </c>
      <c r="O206" s="61">
        <v>2.2500000000000003E-3</v>
      </c>
      <c r="P206" s="61">
        <v>0.12550694444444443</v>
      </c>
      <c r="Q206" s="59" t="s">
        <v>1865</v>
      </c>
      <c r="R206" s="8">
        <f t="shared" si="3"/>
        <v>675</v>
      </c>
    </row>
    <row r="207" spans="1:18" ht="14.45" customHeight="1">
      <c r="A207" s="59">
        <v>206</v>
      </c>
      <c r="B207" s="59">
        <v>107</v>
      </c>
      <c r="C207" s="60" t="s">
        <v>135</v>
      </c>
      <c r="D207" s="59" t="s">
        <v>1866</v>
      </c>
      <c r="E207" s="59" t="s">
        <v>0</v>
      </c>
      <c r="F207" s="59"/>
      <c r="G207" s="59" t="s">
        <v>340</v>
      </c>
      <c r="H207" s="59" t="s">
        <v>1501</v>
      </c>
      <c r="I207" s="59">
        <v>191</v>
      </c>
      <c r="J207" s="61">
        <v>3.4407407407407407E-2</v>
      </c>
      <c r="K207" s="61">
        <v>2.4432870370370368E-3</v>
      </c>
      <c r="L207" s="61">
        <v>4.7631944444444442E-2</v>
      </c>
      <c r="M207" s="61">
        <v>2.4560185185185184E-3</v>
      </c>
      <c r="N207" s="61">
        <v>3.867361111111111E-2</v>
      </c>
      <c r="O207" s="61">
        <v>4.8993055555555561E-3</v>
      </c>
      <c r="P207" s="61">
        <v>0.12561342592592592</v>
      </c>
      <c r="Q207" s="59" t="s">
        <v>1867</v>
      </c>
      <c r="R207" s="8">
        <f t="shared" si="3"/>
        <v>674</v>
      </c>
    </row>
    <row r="208" spans="1:18" ht="14.45" customHeight="1">
      <c r="A208" s="59">
        <v>207</v>
      </c>
      <c r="B208" s="59">
        <v>200</v>
      </c>
      <c r="C208" s="60" t="s">
        <v>135</v>
      </c>
      <c r="D208" s="59" t="s">
        <v>1868</v>
      </c>
      <c r="E208" s="59" t="s">
        <v>0</v>
      </c>
      <c r="F208" s="59"/>
      <c r="G208" s="59" t="s">
        <v>340</v>
      </c>
      <c r="H208" s="59" t="s">
        <v>1501</v>
      </c>
      <c r="I208" s="59">
        <v>192</v>
      </c>
      <c r="J208" s="61">
        <v>2.4902777777777777E-2</v>
      </c>
      <c r="K208" s="61">
        <v>1.462962962962963E-3</v>
      </c>
      <c r="L208" s="61">
        <v>5.800347222222222E-2</v>
      </c>
      <c r="M208" s="61">
        <v>1.991898148148148E-3</v>
      </c>
      <c r="N208" s="61">
        <v>3.9290509259259254E-2</v>
      </c>
      <c r="O208" s="61">
        <v>3.4548611111111112E-3</v>
      </c>
      <c r="P208" s="61">
        <v>0.12565393518518519</v>
      </c>
      <c r="Q208" s="59" t="s">
        <v>1869</v>
      </c>
      <c r="R208" s="8">
        <f t="shared" si="3"/>
        <v>674</v>
      </c>
    </row>
    <row r="209" spans="1:18" ht="14.45" customHeight="1">
      <c r="A209" s="59">
        <v>208</v>
      </c>
      <c r="B209" s="59">
        <v>238</v>
      </c>
      <c r="C209" s="60" t="s">
        <v>135</v>
      </c>
      <c r="D209" s="59" t="s">
        <v>1870</v>
      </c>
      <c r="E209" s="59" t="s">
        <v>0</v>
      </c>
      <c r="F209" s="59"/>
      <c r="G209" s="59" t="s">
        <v>340</v>
      </c>
      <c r="H209" s="59" t="s">
        <v>1501</v>
      </c>
      <c r="I209" s="59">
        <v>193</v>
      </c>
      <c r="J209" s="61">
        <v>2.6652777777777779E-2</v>
      </c>
      <c r="K209" s="61">
        <v>1.8437500000000001E-3</v>
      </c>
      <c r="L209" s="61">
        <v>5.8236111111111113E-2</v>
      </c>
      <c r="M209" s="61">
        <v>2.0069444444444444E-3</v>
      </c>
      <c r="N209" s="61">
        <v>3.699884259259259E-2</v>
      </c>
      <c r="O209" s="61">
        <v>3.8506944444444443E-3</v>
      </c>
      <c r="P209" s="61">
        <v>0.12574074074074074</v>
      </c>
      <c r="Q209" s="59" t="s">
        <v>1871</v>
      </c>
      <c r="R209" s="8">
        <f t="shared" si="3"/>
        <v>674</v>
      </c>
    </row>
    <row r="210" spans="1:18" ht="14.45" customHeight="1">
      <c r="A210" s="59">
        <v>209</v>
      </c>
      <c r="B210" s="59">
        <v>157</v>
      </c>
      <c r="C210" s="60" t="s">
        <v>135</v>
      </c>
      <c r="D210" s="59" t="s">
        <v>1872</v>
      </c>
      <c r="E210" s="59" t="s">
        <v>1873</v>
      </c>
      <c r="F210" s="59" t="s">
        <v>148</v>
      </c>
      <c r="G210" s="59" t="s">
        <v>340</v>
      </c>
      <c r="H210" s="59" t="s">
        <v>1501</v>
      </c>
      <c r="I210" s="59">
        <v>194</v>
      </c>
      <c r="J210" s="61">
        <v>2.4837962962962964E-2</v>
      </c>
      <c r="K210" s="61">
        <v>2.2349537037037038E-3</v>
      </c>
      <c r="L210" s="61">
        <v>5.7458333333333327E-2</v>
      </c>
      <c r="M210" s="61">
        <v>1.1793981481481482E-3</v>
      </c>
      <c r="N210" s="61">
        <v>4.0122685185185185E-2</v>
      </c>
      <c r="O210" s="61">
        <v>3.414351851851852E-3</v>
      </c>
      <c r="P210" s="61">
        <v>0.12583564814814815</v>
      </c>
      <c r="Q210" s="59" t="s">
        <v>1874</v>
      </c>
      <c r="R210" s="8">
        <f t="shared" si="3"/>
        <v>673</v>
      </c>
    </row>
    <row r="211" spans="1:18" ht="14.45" customHeight="1">
      <c r="A211" s="59">
        <v>210</v>
      </c>
      <c r="B211" s="59">
        <v>639</v>
      </c>
      <c r="C211" s="60" t="s">
        <v>135</v>
      </c>
      <c r="D211" s="59" t="s">
        <v>1875</v>
      </c>
      <c r="E211" s="59" t="s">
        <v>1876</v>
      </c>
      <c r="F211" s="59"/>
      <c r="G211" s="59" t="s">
        <v>319</v>
      </c>
      <c r="H211" s="59" t="s">
        <v>1520</v>
      </c>
      <c r="I211" s="59">
        <v>14</v>
      </c>
      <c r="J211" s="61">
        <v>2.5726851851851855E-2</v>
      </c>
      <c r="K211" s="61">
        <v>1.4722222222222222E-3</v>
      </c>
      <c r="L211" s="61">
        <v>5.6880787037037035E-2</v>
      </c>
      <c r="M211" s="61">
        <v>1.1956018518518518E-3</v>
      </c>
      <c r="N211" s="61">
        <v>4.0748842592592593E-2</v>
      </c>
      <c r="O211" s="61">
        <v>2.6678240740740742E-3</v>
      </c>
      <c r="P211" s="61">
        <v>0.12602777777777777</v>
      </c>
      <c r="Q211" s="59" t="s">
        <v>1877</v>
      </c>
      <c r="R211" s="8">
        <f t="shared" si="3"/>
        <v>672</v>
      </c>
    </row>
    <row r="212" spans="1:18" ht="14.45" customHeight="1">
      <c r="A212" s="59">
        <v>211</v>
      </c>
      <c r="B212" s="59">
        <v>124</v>
      </c>
      <c r="C212" s="60" t="s">
        <v>135</v>
      </c>
      <c r="D212" s="59" t="s">
        <v>1878</v>
      </c>
      <c r="E212" s="59" t="s">
        <v>0</v>
      </c>
      <c r="F212" s="59"/>
      <c r="G212" s="59" t="s">
        <v>340</v>
      </c>
      <c r="H212" s="59" t="s">
        <v>1501</v>
      </c>
      <c r="I212" s="59">
        <v>195</v>
      </c>
      <c r="J212" s="61">
        <v>2.912962962962963E-2</v>
      </c>
      <c r="K212" s="61">
        <v>1.4965277777777778E-3</v>
      </c>
      <c r="L212" s="61">
        <v>5.4641203703703706E-2</v>
      </c>
      <c r="M212" s="61">
        <v>1.5879629629629629E-3</v>
      </c>
      <c r="N212" s="61">
        <v>3.9343750000000004E-2</v>
      </c>
      <c r="O212" s="61">
        <v>3.0844907407407409E-3</v>
      </c>
      <c r="P212" s="61">
        <v>0.12620138888888888</v>
      </c>
      <c r="Q212" s="59" t="s">
        <v>1879</v>
      </c>
      <c r="R212" s="8">
        <f t="shared" si="3"/>
        <v>671</v>
      </c>
    </row>
    <row r="213" spans="1:18" ht="14.45" customHeight="1">
      <c r="A213" s="59">
        <v>212</v>
      </c>
      <c r="B213" s="59">
        <v>209</v>
      </c>
      <c r="C213" s="60" t="s">
        <v>135</v>
      </c>
      <c r="D213" s="59" t="s">
        <v>1880</v>
      </c>
      <c r="E213" s="59" t="s">
        <v>0</v>
      </c>
      <c r="F213" s="59"/>
      <c r="G213" s="59" t="s">
        <v>340</v>
      </c>
      <c r="H213" s="59" t="s">
        <v>1501</v>
      </c>
      <c r="I213" s="59">
        <v>196</v>
      </c>
      <c r="J213" s="61">
        <v>2.9675925925925925E-2</v>
      </c>
      <c r="K213" s="61">
        <v>1.7858796296296297E-3</v>
      </c>
      <c r="L213" s="61">
        <v>5.6137731481481483E-2</v>
      </c>
      <c r="M213" s="61">
        <v>1.4953703703703702E-3</v>
      </c>
      <c r="N213" s="61">
        <v>3.7112268518518517E-2</v>
      </c>
      <c r="O213" s="61">
        <v>3.2812499999999999E-3</v>
      </c>
      <c r="P213" s="61">
        <v>0.12621064814814814</v>
      </c>
      <c r="Q213" s="59" t="s">
        <v>1881</v>
      </c>
      <c r="R213" s="8">
        <f t="shared" si="3"/>
        <v>671</v>
      </c>
    </row>
    <row r="214" spans="1:18" ht="14.45" customHeight="1">
      <c r="A214" s="59">
        <v>213</v>
      </c>
      <c r="B214" s="59">
        <v>644</v>
      </c>
      <c r="C214" s="60" t="s">
        <v>135</v>
      </c>
      <c r="D214" s="59" t="s">
        <v>626</v>
      </c>
      <c r="E214" s="59" t="s">
        <v>627</v>
      </c>
      <c r="F214" s="59" t="s">
        <v>138</v>
      </c>
      <c r="G214" s="59" t="s">
        <v>319</v>
      </c>
      <c r="H214" s="59" t="s">
        <v>1520</v>
      </c>
      <c r="I214" s="59">
        <v>15</v>
      </c>
      <c r="J214" s="61">
        <v>3.0136574074074076E-2</v>
      </c>
      <c r="K214" s="61">
        <v>2.0474537037037037E-3</v>
      </c>
      <c r="L214" s="61">
        <v>5.4923611111111104E-2</v>
      </c>
      <c r="M214" s="61">
        <v>1.3437499999999999E-3</v>
      </c>
      <c r="N214" s="61">
        <v>3.7787037037037043E-2</v>
      </c>
      <c r="O214" s="61">
        <v>3.3912037037037036E-3</v>
      </c>
      <c r="P214" s="61">
        <v>0.12623958333333335</v>
      </c>
      <c r="Q214" s="59" t="s">
        <v>1882</v>
      </c>
      <c r="R214" s="8">
        <f t="shared" si="3"/>
        <v>671</v>
      </c>
    </row>
    <row r="215" spans="1:18" ht="14.45" customHeight="1">
      <c r="A215" s="59">
        <v>214</v>
      </c>
      <c r="B215" s="59">
        <v>620</v>
      </c>
      <c r="C215" s="60" t="s">
        <v>1883</v>
      </c>
      <c r="D215" s="59" t="s">
        <v>1884</v>
      </c>
      <c r="E215" s="59" t="s">
        <v>0</v>
      </c>
      <c r="F215" s="59"/>
      <c r="G215" s="59" t="s">
        <v>319</v>
      </c>
      <c r="H215" s="59" t="s">
        <v>1520</v>
      </c>
      <c r="I215" s="59">
        <v>16</v>
      </c>
      <c r="J215" s="61">
        <v>2.424421296296296E-2</v>
      </c>
      <c r="K215" s="61">
        <v>1.4814814814814814E-3</v>
      </c>
      <c r="L215" s="61">
        <v>5.7539351851851848E-2</v>
      </c>
      <c r="M215" s="61">
        <v>1.3379629629629629E-3</v>
      </c>
      <c r="N215" s="61">
        <v>4.1803240740740745E-2</v>
      </c>
      <c r="O215" s="61">
        <v>2.8194444444444443E-3</v>
      </c>
      <c r="P215" s="61">
        <v>0.12640856481481483</v>
      </c>
      <c r="Q215" s="59" t="s">
        <v>1885</v>
      </c>
      <c r="R215" s="8">
        <f t="shared" si="3"/>
        <v>670</v>
      </c>
    </row>
    <row r="216" spans="1:18" ht="14.45" customHeight="1">
      <c r="A216" s="59">
        <v>215</v>
      </c>
      <c r="B216" s="59">
        <v>81</v>
      </c>
      <c r="C216" s="60" t="s">
        <v>135</v>
      </c>
      <c r="D216" s="59" t="s">
        <v>1886</v>
      </c>
      <c r="E216" s="59" t="s">
        <v>0</v>
      </c>
      <c r="F216" s="59"/>
      <c r="G216" s="59" t="s">
        <v>340</v>
      </c>
      <c r="H216" s="59" t="s">
        <v>1501</v>
      </c>
      <c r="I216" s="59">
        <v>197</v>
      </c>
      <c r="J216" s="61">
        <v>2.9152777777777781E-2</v>
      </c>
      <c r="K216" s="61">
        <v>1.175925925925926E-3</v>
      </c>
      <c r="L216" s="61">
        <v>5.1145833333333335E-2</v>
      </c>
      <c r="M216" s="61">
        <v>1.2858796296296297E-3</v>
      </c>
      <c r="N216" s="61">
        <v>4.3660879629629633E-2</v>
      </c>
      <c r="O216" s="61">
        <v>2.4618055555555556E-3</v>
      </c>
      <c r="P216" s="61">
        <v>0.12642476851851853</v>
      </c>
      <c r="Q216" s="59" t="s">
        <v>1887</v>
      </c>
      <c r="R216" s="8">
        <f t="shared" si="3"/>
        <v>670</v>
      </c>
    </row>
    <row r="217" spans="1:18" ht="14.45" customHeight="1">
      <c r="A217" s="59">
        <v>216</v>
      </c>
      <c r="B217" s="59">
        <v>297</v>
      </c>
      <c r="C217" s="60" t="s">
        <v>135</v>
      </c>
      <c r="D217" s="59" t="s">
        <v>1888</v>
      </c>
      <c r="E217" s="59" t="s">
        <v>0</v>
      </c>
      <c r="F217" s="59" t="s">
        <v>1889</v>
      </c>
      <c r="G217" s="59" t="s">
        <v>340</v>
      </c>
      <c r="H217" s="59" t="s">
        <v>1501</v>
      </c>
      <c r="I217" s="59">
        <v>198</v>
      </c>
      <c r="J217" s="61">
        <v>3.0322916666666668E-2</v>
      </c>
      <c r="K217" s="61">
        <v>1.664351851851852E-3</v>
      </c>
      <c r="L217" s="61">
        <v>5.5427083333333328E-2</v>
      </c>
      <c r="M217" s="61">
        <v>1.420138888888889E-3</v>
      </c>
      <c r="N217" s="61">
        <v>3.7601851851851852E-2</v>
      </c>
      <c r="O217" s="61">
        <v>3.0844907407407409E-3</v>
      </c>
      <c r="P217" s="61">
        <v>0.1264386574074074</v>
      </c>
      <c r="Q217" s="59" t="s">
        <v>1890</v>
      </c>
      <c r="R217" s="8">
        <f t="shared" si="3"/>
        <v>670</v>
      </c>
    </row>
    <row r="218" spans="1:18" ht="14.45" customHeight="1">
      <c r="A218" s="59">
        <v>217</v>
      </c>
      <c r="B218" s="59">
        <v>302</v>
      </c>
      <c r="C218" s="60" t="s">
        <v>135</v>
      </c>
      <c r="D218" s="59" t="s">
        <v>914</v>
      </c>
      <c r="E218" s="59" t="s">
        <v>915</v>
      </c>
      <c r="F218" s="59" t="s">
        <v>189</v>
      </c>
      <c r="G218" s="59" t="s">
        <v>340</v>
      </c>
      <c r="H218" s="59" t="s">
        <v>1501</v>
      </c>
      <c r="I218" s="59">
        <v>199</v>
      </c>
      <c r="J218" s="61">
        <v>3.4697916666666669E-2</v>
      </c>
      <c r="K218" s="61">
        <v>1E-3</v>
      </c>
      <c r="L218" s="61">
        <v>5.2627314814814814E-2</v>
      </c>
      <c r="M218" s="61">
        <v>1.664351851851852E-3</v>
      </c>
      <c r="N218" s="61">
        <v>3.6923611111111108E-2</v>
      </c>
      <c r="O218" s="61">
        <v>2.6643518518518518E-3</v>
      </c>
      <c r="P218" s="61">
        <v>0.12691550925925926</v>
      </c>
      <c r="Q218" s="59" t="s">
        <v>1891</v>
      </c>
      <c r="R218" s="8">
        <f t="shared" si="3"/>
        <v>668</v>
      </c>
    </row>
    <row r="219" spans="1:18" ht="14.45" customHeight="1">
      <c r="A219" s="59">
        <v>218</v>
      </c>
      <c r="B219" s="59">
        <v>197</v>
      </c>
      <c r="C219" s="60" t="s">
        <v>135</v>
      </c>
      <c r="D219" s="59" t="s">
        <v>1892</v>
      </c>
      <c r="E219" s="59" t="s">
        <v>0</v>
      </c>
      <c r="F219" s="59"/>
      <c r="G219" s="59" t="s">
        <v>340</v>
      </c>
      <c r="H219" s="59" t="s">
        <v>1501</v>
      </c>
      <c r="I219" s="59">
        <v>200</v>
      </c>
      <c r="J219" s="61">
        <v>2.516898148148148E-2</v>
      </c>
      <c r="K219" s="61">
        <v>1.5983796296296295E-3</v>
      </c>
      <c r="L219" s="61">
        <v>5.6140046296296299E-2</v>
      </c>
      <c r="M219" s="61">
        <v>1.1620370370370372E-3</v>
      </c>
      <c r="N219" s="61">
        <v>4.2980324074074074E-2</v>
      </c>
      <c r="O219" s="61">
        <v>2.7604166666666667E-3</v>
      </c>
      <c r="P219" s="61">
        <v>0.12705092592592593</v>
      </c>
      <c r="Q219" s="59" t="s">
        <v>1893</v>
      </c>
      <c r="R219" s="8">
        <f t="shared" si="3"/>
        <v>667</v>
      </c>
    </row>
    <row r="220" spans="1:18" ht="14.45" customHeight="1">
      <c r="A220" s="59">
        <v>219</v>
      </c>
      <c r="B220" s="59">
        <v>133</v>
      </c>
      <c r="C220" s="60" t="s">
        <v>135</v>
      </c>
      <c r="D220" s="59" t="s">
        <v>1894</v>
      </c>
      <c r="E220" s="59" t="s">
        <v>0</v>
      </c>
      <c r="F220" s="59"/>
      <c r="G220" s="59" t="s">
        <v>340</v>
      </c>
      <c r="H220" s="59" t="s">
        <v>1501</v>
      </c>
      <c r="I220" s="59">
        <v>201</v>
      </c>
      <c r="J220" s="61">
        <v>2.4675925925925928E-2</v>
      </c>
      <c r="K220" s="61">
        <v>2.3298611111111111E-3</v>
      </c>
      <c r="L220" s="61">
        <v>5.6641203703703707E-2</v>
      </c>
      <c r="M220" s="61">
        <v>1.8715277777777777E-3</v>
      </c>
      <c r="N220" s="61">
        <v>4.1865740740740738E-2</v>
      </c>
      <c r="O220" s="61">
        <v>4.2013888888888891E-3</v>
      </c>
      <c r="P220" s="61">
        <v>0.12738657407407408</v>
      </c>
      <c r="Q220" s="59" t="s">
        <v>1895</v>
      </c>
      <c r="R220" s="8">
        <f t="shared" si="3"/>
        <v>665</v>
      </c>
    </row>
    <row r="221" spans="1:18" ht="14.45" customHeight="1">
      <c r="A221" s="59">
        <v>220</v>
      </c>
      <c r="B221" s="59">
        <v>210</v>
      </c>
      <c r="C221" s="60" t="s">
        <v>135</v>
      </c>
      <c r="D221" s="59" t="s">
        <v>1896</v>
      </c>
      <c r="E221" s="59" t="s">
        <v>1897</v>
      </c>
      <c r="F221" s="59" t="s">
        <v>189</v>
      </c>
      <c r="G221" s="59" t="s">
        <v>340</v>
      </c>
      <c r="H221" s="59" t="s">
        <v>1501</v>
      </c>
      <c r="I221" s="59">
        <v>202</v>
      </c>
      <c r="J221" s="61">
        <v>3.019675925925926E-2</v>
      </c>
      <c r="K221" s="61">
        <v>2.2939814814814815E-3</v>
      </c>
      <c r="L221" s="61">
        <v>5.5842592592592596E-2</v>
      </c>
      <c r="M221" s="61">
        <v>1.4085648148148147E-3</v>
      </c>
      <c r="N221" s="61">
        <v>3.7716435185185186E-2</v>
      </c>
      <c r="O221" s="61">
        <v>3.7025462962962962E-3</v>
      </c>
      <c r="P221" s="61">
        <v>0.12746064814814814</v>
      </c>
      <c r="Q221" s="59" t="s">
        <v>1898</v>
      </c>
      <c r="R221" s="8">
        <f t="shared" si="3"/>
        <v>665</v>
      </c>
    </row>
    <row r="222" spans="1:18" ht="14.45" customHeight="1">
      <c r="A222" s="59">
        <v>221</v>
      </c>
      <c r="B222" s="59">
        <v>92</v>
      </c>
      <c r="C222" s="60" t="s">
        <v>135</v>
      </c>
      <c r="D222" s="59" t="s">
        <v>1899</v>
      </c>
      <c r="E222" s="59" t="s">
        <v>0</v>
      </c>
      <c r="F222" s="59" t="s">
        <v>1706</v>
      </c>
      <c r="G222" s="59" t="s">
        <v>340</v>
      </c>
      <c r="H222" s="59" t="s">
        <v>1501</v>
      </c>
      <c r="I222" s="59">
        <v>203</v>
      </c>
      <c r="J222" s="61">
        <v>2.6671296296296297E-2</v>
      </c>
      <c r="K222" s="61">
        <v>1.7280092592592594E-3</v>
      </c>
      <c r="L222" s="61">
        <v>5.8847222222222217E-2</v>
      </c>
      <c r="M222" s="61">
        <v>7.2685185185185179E-4</v>
      </c>
      <c r="N222" s="61">
        <v>3.951388888888889E-2</v>
      </c>
      <c r="O222" s="61">
        <v>2.4548611111111112E-3</v>
      </c>
      <c r="P222" s="61">
        <v>0.12748958333333335</v>
      </c>
      <c r="Q222" s="59" t="s">
        <v>1900</v>
      </c>
      <c r="R222" s="8">
        <f t="shared" si="3"/>
        <v>665</v>
      </c>
    </row>
    <row r="223" spans="1:18" ht="14.45" customHeight="1">
      <c r="A223" s="59">
        <v>222</v>
      </c>
      <c r="B223" s="59">
        <v>638</v>
      </c>
      <c r="C223" s="60" t="s">
        <v>135</v>
      </c>
      <c r="D223" s="59" t="s">
        <v>942</v>
      </c>
      <c r="E223" s="59" t="s">
        <v>943</v>
      </c>
      <c r="F223" s="59" t="s">
        <v>189</v>
      </c>
      <c r="G223" s="59" t="s">
        <v>319</v>
      </c>
      <c r="H223" s="59" t="s">
        <v>1520</v>
      </c>
      <c r="I223" s="59">
        <v>17</v>
      </c>
      <c r="J223" s="61">
        <v>2.8174768518518519E-2</v>
      </c>
      <c r="K223" s="61">
        <v>1.6030092592592593E-3</v>
      </c>
      <c r="L223" s="61">
        <v>5.6819444444444443E-2</v>
      </c>
      <c r="M223" s="61">
        <v>1.8240740740740741E-3</v>
      </c>
      <c r="N223" s="61">
        <v>4.0399305555555556E-2</v>
      </c>
      <c r="O223" s="61">
        <v>3.4270833333333336E-3</v>
      </c>
      <c r="P223" s="61">
        <v>0.12882291666666665</v>
      </c>
      <c r="Q223" s="59" t="s">
        <v>1901</v>
      </c>
      <c r="R223" s="8">
        <f t="shared" si="3"/>
        <v>658</v>
      </c>
    </row>
    <row r="224" spans="1:18" ht="14.45" customHeight="1">
      <c r="A224" s="59">
        <v>223</v>
      </c>
      <c r="B224" s="59">
        <v>289</v>
      </c>
      <c r="C224" s="60" t="s">
        <v>135</v>
      </c>
      <c r="D224" s="59" t="s">
        <v>1902</v>
      </c>
      <c r="E224" s="59" t="s">
        <v>0</v>
      </c>
      <c r="F224" s="59"/>
      <c r="G224" s="59" t="s">
        <v>340</v>
      </c>
      <c r="H224" s="59" t="s">
        <v>1501</v>
      </c>
      <c r="I224" s="59">
        <v>204</v>
      </c>
      <c r="J224" s="61">
        <v>3.0291666666666665E-2</v>
      </c>
      <c r="K224" s="61">
        <v>1.9699074074074072E-3</v>
      </c>
      <c r="L224" s="61">
        <v>5.2270833333333329E-2</v>
      </c>
      <c r="M224" s="61">
        <v>1.8113425925925927E-3</v>
      </c>
      <c r="N224" s="61">
        <v>4.2971064814814816E-2</v>
      </c>
      <c r="O224" s="61">
        <v>3.7812499999999999E-3</v>
      </c>
      <c r="P224" s="61">
        <v>0.12931712962962963</v>
      </c>
      <c r="Q224" s="59" t="s">
        <v>1903</v>
      </c>
      <c r="R224" s="8">
        <f t="shared" si="3"/>
        <v>655</v>
      </c>
    </row>
    <row r="225" spans="1:18" ht="14.45" customHeight="1">
      <c r="A225" s="59">
        <v>224</v>
      </c>
      <c r="B225" s="59">
        <v>222</v>
      </c>
      <c r="C225" s="60" t="s">
        <v>135</v>
      </c>
      <c r="D225" s="59" t="s">
        <v>1904</v>
      </c>
      <c r="E225" s="59" t="s">
        <v>0</v>
      </c>
      <c r="F225" s="59" t="s">
        <v>1905</v>
      </c>
      <c r="G225" s="59" t="s">
        <v>340</v>
      </c>
      <c r="H225" s="59" t="s">
        <v>1501</v>
      </c>
      <c r="I225" s="59">
        <v>205</v>
      </c>
      <c r="J225" s="61">
        <v>2.8890046296296296E-2</v>
      </c>
      <c r="K225" s="61">
        <v>2.212962962962963E-3</v>
      </c>
      <c r="L225" s="61">
        <v>5.7300925925925929E-2</v>
      </c>
      <c r="M225" s="61">
        <v>2.0474537037037037E-3</v>
      </c>
      <c r="N225" s="61">
        <v>3.8883101851851849E-2</v>
      </c>
      <c r="O225" s="61">
        <v>4.2604166666666667E-3</v>
      </c>
      <c r="P225" s="61">
        <v>0.12933680555555557</v>
      </c>
      <c r="Q225" s="59" t="s">
        <v>1906</v>
      </c>
      <c r="R225" s="8">
        <f t="shared" si="3"/>
        <v>655</v>
      </c>
    </row>
    <row r="226" spans="1:18" ht="14.45" customHeight="1">
      <c r="A226" s="59">
        <v>225</v>
      </c>
      <c r="B226" s="59">
        <v>298</v>
      </c>
      <c r="C226" s="60" t="s">
        <v>135</v>
      </c>
      <c r="D226" s="59" t="s">
        <v>1907</v>
      </c>
      <c r="E226" s="59" t="s">
        <v>1908</v>
      </c>
      <c r="F226" s="59"/>
      <c r="G226" s="59" t="s">
        <v>340</v>
      </c>
      <c r="H226" s="59" t="s">
        <v>1501</v>
      </c>
      <c r="I226" s="59">
        <v>206</v>
      </c>
      <c r="J226" s="61">
        <v>4.1256944444444443E-2</v>
      </c>
      <c r="K226" s="61">
        <v>2.0844907407407405E-3</v>
      </c>
      <c r="L226" s="61">
        <v>5.2778935185185193E-2</v>
      </c>
      <c r="M226" s="61">
        <v>1.1875E-3</v>
      </c>
      <c r="N226" s="61">
        <v>3.2047453703703703E-2</v>
      </c>
      <c r="O226" s="61">
        <v>3.2719907407407407E-3</v>
      </c>
      <c r="P226" s="61">
        <v>0.12935648148148149</v>
      </c>
      <c r="Q226" s="59" t="s">
        <v>1909</v>
      </c>
      <c r="R226" s="8">
        <f t="shared" si="3"/>
        <v>655</v>
      </c>
    </row>
    <row r="227" spans="1:18" ht="14.45" customHeight="1">
      <c r="A227" s="59">
        <v>226</v>
      </c>
      <c r="B227" s="59">
        <v>634</v>
      </c>
      <c r="C227" s="60" t="s">
        <v>135</v>
      </c>
      <c r="D227" s="59" t="s">
        <v>967</v>
      </c>
      <c r="E227" s="59" t="s">
        <v>968</v>
      </c>
      <c r="F227" s="59" t="s">
        <v>189</v>
      </c>
      <c r="G227" s="59" t="s">
        <v>319</v>
      </c>
      <c r="H227" s="59" t="s">
        <v>1520</v>
      </c>
      <c r="I227" s="59">
        <v>18</v>
      </c>
      <c r="J227" s="61">
        <v>3.1613425925925927E-2</v>
      </c>
      <c r="K227" s="61">
        <v>1.9375E-3</v>
      </c>
      <c r="L227" s="61">
        <v>5.6599537037037032E-2</v>
      </c>
      <c r="M227" s="61">
        <v>1.2939814814814815E-3</v>
      </c>
      <c r="N227" s="61">
        <v>3.816550925925926E-2</v>
      </c>
      <c r="O227" s="61">
        <v>3.2314814814814814E-3</v>
      </c>
      <c r="P227" s="61">
        <v>0.12961111111111109</v>
      </c>
      <c r="Q227" s="59" t="s">
        <v>1910</v>
      </c>
      <c r="R227" s="8">
        <f t="shared" si="3"/>
        <v>654</v>
      </c>
    </row>
    <row r="228" spans="1:18" ht="14.45" customHeight="1">
      <c r="A228" s="59">
        <v>227</v>
      </c>
      <c r="B228" s="59">
        <v>616</v>
      </c>
      <c r="C228" s="60" t="s">
        <v>135</v>
      </c>
      <c r="D228" s="59" t="s">
        <v>1911</v>
      </c>
      <c r="E228" s="59" t="s">
        <v>0</v>
      </c>
      <c r="F228" s="59"/>
      <c r="G228" s="59" t="s">
        <v>319</v>
      </c>
      <c r="H228" s="59" t="s">
        <v>1520</v>
      </c>
      <c r="I228" s="59">
        <v>19</v>
      </c>
      <c r="J228" s="61">
        <v>3.2203703703703707E-2</v>
      </c>
      <c r="K228" s="61">
        <v>1.5081018518518521E-3</v>
      </c>
      <c r="L228" s="61">
        <v>5.6417824074074072E-2</v>
      </c>
      <c r="M228" s="61">
        <v>1.1944444444444444E-3</v>
      </c>
      <c r="N228" s="61">
        <v>3.8334490740740738E-2</v>
      </c>
      <c r="O228" s="61">
        <v>2.7025462962962962E-3</v>
      </c>
      <c r="P228" s="61">
        <v>0.12966087962962963</v>
      </c>
      <c r="Q228" s="59" t="s">
        <v>1912</v>
      </c>
      <c r="R228" s="8">
        <f t="shared" si="3"/>
        <v>653</v>
      </c>
    </row>
    <row r="229" spans="1:18" ht="14.45" customHeight="1">
      <c r="A229" s="59">
        <v>228</v>
      </c>
      <c r="B229" s="59">
        <v>48</v>
      </c>
      <c r="C229" s="60" t="s">
        <v>135</v>
      </c>
      <c r="D229" s="59" t="s">
        <v>1913</v>
      </c>
      <c r="E229" s="59" t="s">
        <v>0</v>
      </c>
      <c r="F229" s="59"/>
      <c r="G229" s="59" t="s">
        <v>340</v>
      </c>
      <c r="H229" s="59" t="s">
        <v>1501</v>
      </c>
      <c r="I229" s="59">
        <v>207</v>
      </c>
      <c r="J229" s="61">
        <v>2.736921296296296E-2</v>
      </c>
      <c r="K229" s="61">
        <v>1.976851851851852E-3</v>
      </c>
      <c r="L229" s="61">
        <v>5.5203703703703706E-2</v>
      </c>
      <c r="M229" s="61">
        <v>2.383101851851852E-3</v>
      </c>
      <c r="N229" s="61">
        <v>4.3280092592592592E-2</v>
      </c>
      <c r="O229" s="61">
        <v>4.3599537037037036E-3</v>
      </c>
      <c r="P229" s="61">
        <v>0.13021527777777778</v>
      </c>
      <c r="Q229" s="59" t="s">
        <v>1914</v>
      </c>
      <c r="R229" s="8">
        <f t="shared" si="3"/>
        <v>651</v>
      </c>
    </row>
    <row r="230" spans="1:18" ht="14.45" customHeight="1">
      <c r="A230" s="59">
        <v>229</v>
      </c>
      <c r="B230" s="59">
        <v>308</v>
      </c>
      <c r="C230" s="60" t="s">
        <v>135</v>
      </c>
      <c r="D230" s="59" t="s">
        <v>1915</v>
      </c>
      <c r="E230" s="59" t="s">
        <v>0</v>
      </c>
      <c r="F230" s="59" t="s">
        <v>1706</v>
      </c>
      <c r="G230" s="59" t="s">
        <v>340</v>
      </c>
      <c r="H230" s="59" t="s">
        <v>1501</v>
      </c>
      <c r="I230" s="59">
        <v>208</v>
      </c>
      <c r="J230" s="61">
        <v>3.1767361111111107E-2</v>
      </c>
      <c r="K230" s="61">
        <v>1.8819444444444443E-3</v>
      </c>
      <c r="L230" s="61">
        <v>5.6628472222222219E-2</v>
      </c>
      <c r="M230" s="61">
        <v>9.0972222222222214E-4</v>
      </c>
      <c r="N230" s="61">
        <v>3.9050925925925926E-2</v>
      </c>
      <c r="O230" s="61">
        <v>2.7916666666666667E-3</v>
      </c>
      <c r="P230" s="61">
        <v>0.13024189814814816</v>
      </c>
      <c r="Q230" s="59" t="s">
        <v>1916</v>
      </c>
      <c r="R230" s="8">
        <f t="shared" si="3"/>
        <v>650</v>
      </c>
    </row>
    <row r="231" spans="1:18" ht="14.45" customHeight="1">
      <c r="A231" s="59">
        <v>230</v>
      </c>
      <c r="B231" s="59">
        <v>151</v>
      </c>
      <c r="C231" s="60" t="s">
        <v>1917</v>
      </c>
      <c r="D231" s="59" t="s">
        <v>1918</v>
      </c>
      <c r="E231" s="59" t="s">
        <v>0</v>
      </c>
      <c r="F231" s="59" t="s">
        <v>1919</v>
      </c>
      <c r="G231" s="59" t="s">
        <v>340</v>
      </c>
      <c r="H231" s="59" t="s">
        <v>1501</v>
      </c>
      <c r="I231" s="59">
        <v>209</v>
      </c>
      <c r="J231" s="61">
        <v>3.1207175925925926E-2</v>
      </c>
      <c r="K231" s="61">
        <v>2.2743055555555555E-3</v>
      </c>
      <c r="L231" s="61">
        <v>5.2696759259259263E-2</v>
      </c>
      <c r="M231" s="61">
        <v>1.7650462962962962E-3</v>
      </c>
      <c r="N231" s="61">
        <v>4.2826388888888886E-2</v>
      </c>
      <c r="O231" s="61">
        <v>4.0393518518518521E-3</v>
      </c>
      <c r="P231" s="61">
        <v>0.13077314814814814</v>
      </c>
      <c r="Q231" s="59" t="s">
        <v>1920</v>
      </c>
      <c r="R231" s="8">
        <f t="shared" si="3"/>
        <v>648</v>
      </c>
    </row>
    <row r="232" spans="1:18" ht="14.45" customHeight="1">
      <c r="A232" s="59">
        <v>231</v>
      </c>
      <c r="B232" s="59">
        <v>219</v>
      </c>
      <c r="C232" s="60" t="s">
        <v>135</v>
      </c>
      <c r="D232" s="59" t="s">
        <v>1921</v>
      </c>
      <c r="E232" s="59" t="s">
        <v>0</v>
      </c>
      <c r="F232" s="59"/>
      <c r="G232" s="59" t="s">
        <v>340</v>
      </c>
      <c r="H232" s="59" t="s">
        <v>1501</v>
      </c>
      <c r="I232" s="59">
        <v>210</v>
      </c>
      <c r="J232" s="61">
        <v>3.1630787037037041E-2</v>
      </c>
      <c r="K232" s="61">
        <v>1.9224537037037036E-3</v>
      </c>
      <c r="L232" s="61">
        <v>5.4974537037037037E-2</v>
      </c>
      <c r="M232" s="61">
        <v>2.2962962962962963E-3</v>
      </c>
      <c r="N232" s="61">
        <v>4.0140046296296299E-2</v>
      </c>
      <c r="O232" s="61">
        <v>4.2187500000000003E-3</v>
      </c>
      <c r="P232" s="61">
        <v>0.13096643518518519</v>
      </c>
      <c r="Q232" s="59" t="s">
        <v>1922</v>
      </c>
      <c r="R232" s="8">
        <f t="shared" si="3"/>
        <v>647</v>
      </c>
    </row>
    <row r="233" spans="1:18" ht="14.45" customHeight="1">
      <c r="A233" s="59">
        <v>232</v>
      </c>
      <c r="B233" s="59">
        <v>326</v>
      </c>
      <c r="C233" s="60" t="s">
        <v>1736</v>
      </c>
      <c r="D233" s="59" t="s">
        <v>1923</v>
      </c>
      <c r="E233" s="59" t="s">
        <v>0</v>
      </c>
      <c r="F233" s="59"/>
      <c r="G233" s="59" t="s">
        <v>340</v>
      </c>
      <c r="H233" s="59" t="s">
        <v>1501</v>
      </c>
      <c r="I233" s="59">
        <v>211</v>
      </c>
      <c r="J233" s="61">
        <v>3.2525462962962957E-2</v>
      </c>
      <c r="K233" s="61">
        <v>2.1157407407407409E-3</v>
      </c>
      <c r="L233" s="61">
        <v>5.7126157407407403E-2</v>
      </c>
      <c r="M233" s="61">
        <v>1.5868055555555555E-3</v>
      </c>
      <c r="N233" s="61">
        <v>3.823611111111111E-2</v>
      </c>
      <c r="O233" s="61">
        <v>3.7025462962962962E-3</v>
      </c>
      <c r="P233" s="61">
        <v>0.13159259259259259</v>
      </c>
      <c r="Q233" s="59" t="s">
        <v>1924</v>
      </c>
      <c r="R233" s="8">
        <f t="shared" si="3"/>
        <v>644</v>
      </c>
    </row>
    <row r="234" spans="1:18" ht="14.45" customHeight="1">
      <c r="A234" s="59">
        <v>233</v>
      </c>
      <c r="B234" s="59">
        <v>177</v>
      </c>
      <c r="C234" s="60" t="s">
        <v>135</v>
      </c>
      <c r="D234" s="59" t="s">
        <v>1925</v>
      </c>
      <c r="E234" s="59" t="s">
        <v>0</v>
      </c>
      <c r="F234" s="59"/>
      <c r="G234" s="59" t="s">
        <v>340</v>
      </c>
      <c r="H234" s="59" t="s">
        <v>1501</v>
      </c>
      <c r="I234" s="59">
        <v>212</v>
      </c>
      <c r="J234" s="61">
        <v>2.8975694444444443E-2</v>
      </c>
      <c r="K234" s="61">
        <v>2.5879629629629629E-3</v>
      </c>
      <c r="L234" s="61">
        <v>5.8630787037037037E-2</v>
      </c>
      <c r="M234" s="61">
        <v>1.3148148148148147E-3</v>
      </c>
      <c r="N234" s="61">
        <v>4.0174768518518519E-2</v>
      </c>
      <c r="O234" s="61">
        <v>3.9027777777777776E-3</v>
      </c>
      <c r="P234" s="61">
        <v>0.13168749999999999</v>
      </c>
      <c r="Q234" s="59" t="s">
        <v>1926</v>
      </c>
      <c r="R234" s="8">
        <f t="shared" si="3"/>
        <v>643</v>
      </c>
    </row>
    <row r="235" spans="1:18" ht="14.45" customHeight="1">
      <c r="A235" s="59">
        <v>234</v>
      </c>
      <c r="B235" s="59">
        <v>229</v>
      </c>
      <c r="C235" s="60" t="s">
        <v>135</v>
      </c>
      <c r="D235" s="59" t="s">
        <v>1927</v>
      </c>
      <c r="E235" s="59" t="s">
        <v>0</v>
      </c>
      <c r="F235" s="59" t="s">
        <v>148</v>
      </c>
      <c r="G235" s="59" t="s">
        <v>340</v>
      </c>
      <c r="H235" s="59" t="s">
        <v>1501</v>
      </c>
      <c r="I235" s="59">
        <v>213</v>
      </c>
      <c r="J235" s="61">
        <v>2.8724537037037038E-2</v>
      </c>
      <c r="K235" s="61">
        <v>1.4641203703703704E-3</v>
      </c>
      <c r="L235" s="61">
        <v>5.5885416666666667E-2</v>
      </c>
      <c r="M235" s="61">
        <v>1.3125000000000001E-3</v>
      </c>
      <c r="N235" s="61">
        <v>4.4324074074074071E-2</v>
      </c>
      <c r="O235" s="61">
        <v>2.7766203703703703E-3</v>
      </c>
      <c r="P235" s="61">
        <v>0.13171180555555556</v>
      </c>
      <c r="Q235" s="59" t="s">
        <v>1928</v>
      </c>
      <c r="R235" s="8">
        <f t="shared" si="3"/>
        <v>643</v>
      </c>
    </row>
    <row r="236" spans="1:18" ht="14.45" customHeight="1">
      <c r="A236" s="59">
        <v>235</v>
      </c>
      <c r="B236" s="59">
        <v>317</v>
      </c>
      <c r="C236" s="60" t="s">
        <v>135</v>
      </c>
      <c r="D236" s="59" t="s">
        <v>1929</v>
      </c>
      <c r="E236" s="59" t="s">
        <v>0</v>
      </c>
      <c r="F236" s="59"/>
      <c r="G236" s="59" t="s">
        <v>340</v>
      </c>
      <c r="H236" s="59" t="s">
        <v>1501</v>
      </c>
      <c r="I236" s="59">
        <v>214</v>
      </c>
      <c r="J236" s="61">
        <v>2.9670138888888888E-2</v>
      </c>
      <c r="K236" s="61">
        <v>2.1562500000000002E-3</v>
      </c>
      <c r="L236" s="61">
        <v>5.5019675925925923E-2</v>
      </c>
      <c r="M236" s="61">
        <v>2.0960648148148149E-3</v>
      </c>
      <c r="N236" s="61">
        <v>4.3027777777777776E-2</v>
      </c>
      <c r="O236" s="61">
        <v>4.2523148148148147E-3</v>
      </c>
      <c r="P236" s="61">
        <v>0.13197222222222221</v>
      </c>
      <c r="Q236" s="59" t="s">
        <v>657</v>
      </c>
      <c r="R236" s="8">
        <f t="shared" si="3"/>
        <v>642</v>
      </c>
    </row>
    <row r="237" spans="1:18" ht="14.45" customHeight="1">
      <c r="A237" s="59">
        <v>236</v>
      </c>
      <c r="B237" s="59">
        <v>20</v>
      </c>
      <c r="C237" s="60" t="s">
        <v>135</v>
      </c>
      <c r="D237" s="59" t="s">
        <v>1930</v>
      </c>
      <c r="E237" s="59" t="s">
        <v>0</v>
      </c>
      <c r="F237" s="59" t="s">
        <v>1931</v>
      </c>
      <c r="G237" s="59" t="s">
        <v>340</v>
      </c>
      <c r="H237" s="59" t="s">
        <v>1501</v>
      </c>
      <c r="I237" s="59">
        <v>215</v>
      </c>
      <c r="J237" s="61">
        <v>3.2180555555555559E-2</v>
      </c>
      <c r="K237" s="61">
        <v>1.2812500000000001E-3</v>
      </c>
      <c r="L237" s="61">
        <v>5.7068287037037035E-2</v>
      </c>
      <c r="M237" s="61">
        <v>6.7013888888888885E-4</v>
      </c>
      <c r="N237" s="61">
        <v>4.0886574074074075E-2</v>
      </c>
      <c r="O237" s="61">
        <v>1.9513888888888888E-3</v>
      </c>
      <c r="P237" s="61">
        <v>0.13208912037037038</v>
      </c>
      <c r="Q237" s="59" t="s">
        <v>1932</v>
      </c>
      <c r="R237" s="8">
        <f t="shared" si="3"/>
        <v>641</v>
      </c>
    </row>
    <row r="238" spans="1:18" ht="14.45" customHeight="1">
      <c r="A238" s="59">
        <v>237</v>
      </c>
      <c r="B238" s="59">
        <v>263</v>
      </c>
      <c r="C238" s="60" t="s">
        <v>135</v>
      </c>
      <c r="D238" s="59" t="s">
        <v>1933</v>
      </c>
      <c r="E238" s="59" t="s">
        <v>0</v>
      </c>
      <c r="F238" s="59" t="s">
        <v>1889</v>
      </c>
      <c r="G238" s="59" t="s">
        <v>340</v>
      </c>
      <c r="H238" s="59" t="s">
        <v>1501</v>
      </c>
      <c r="I238" s="59">
        <v>216</v>
      </c>
      <c r="J238" s="61">
        <v>2.6373842592592591E-2</v>
      </c>
      <c r="K238" s="61">
        <v>1.7430555555555554E-3</v>
      </c>
      <c r="L238" s="61">
        <v>5.9340277777777777E-2</v>
      </c>
      <c r="M238" s="61">
        <v>2.0185185185185184E-3</v>
      </c>
      <c r="N238" s="61">
        <v>4.2636574074074077E-2</v>
      </c>
      <c r="O238" s="61">
        <v>3.7615740740740739E-3</v>
      </c>
      <c r="P238" s="61">
        <v>0.13211458333333334</v>
      </c>
      <c r="Q238" s="59" t="s">
        <v>1934</v>
      </c>
      <c r="R238" s="8">
        <f t="shared" si="3"/>
        <v>641</v>
      </c>
    </row>
    <row r="239" spans="1:18" ht="14.45" customHeight="1">
      <c r="A239" s="59">
        <v>238</v>
      </c>
      <c r="B239" s="59">
        <v>187</v>
      </c>
      <c r="C239" s="60" t="s">
        <v>135</v>
      </c>
      <c r="D239" s="59" t="s">
        <v>1935</v>
      </c>
      <c r="E239" s="59" t="s">
        <v>0</v>
      </c>
      <c r="F239" s="59"/>
      <c r="G239" s="59" t="s">
        <v>340</v>
      </c>
      <c r="H239" s="59" t="s">
        <v>1501</v>
      </c>
      <c r="I239" s="59">
        <v>217</v>
      </c>
      <c r="J239" s="61">
        <v>3.0662037037037036E-2</v>
      </c>
      <c r="K239" s="61">
        <v>2.1805555555555558E-3</v>
      </c>
      <c r="L239" s="61">
        <v>5.7420138888888896E-2</v>
      </c>
      <c r="M239" s="61">
        <v>1.2268518518518518E-3</v>
      </c>
      <c r="N239" s="61">
        <v>4.0866898148148152E-2</v>
      </c>
      <c r="O239" s="61">
        <v>3.4074074074074072E-3</v>
      </c>
      <c r="P239" s="61">
        <v>0.13235995370370371</v>
      </c>
      <c r="Q239" s="59" t="s">
        <v>1936</v>
      </c>
      <c r="R239" s="8">
        <f t="shared" si="3"/>
        <v>640</v>
      </c>
    </row>
    <row r="240" spans="1:18" ht="14.45" customHeight="1">
      <c r="A240" s="59">
        <v>239</v>
      </c>
      <c r="B240" s="59">
        <v>52</v>
      </c>
      <c r="C240" s="60" t="s">
        <v>135</v>
      </c>
      <c r="D240" s="59" t="s">
        <v>1937</v>
      </c>
      <c r="E240" s="59" t="s">
        <v>0</v>
      </c>
      <c r="F240" s="59"/>
      <c r="G240" s="59" t="s">
        <v>340</v>
      </c>
      <c r="H240" s="59" t="s">
        <v>1501</v>
      </c>
      <c r="I240" s="59">
        <v>218</v>
      </c>
      <c r="J240" s="61">
        <v>2.6646990740740742E-2</v>
      </c>
      <c r="K240" s="61">
        <v>2.4664351851851852E-3</v>
      </c>
      <c r="L240" s="61">
        <v>5.7584490740740742E-2</v>
      </c>
      <c r="M240" s="61">
        <v>1.1863425925925926E-3</v>
      </c>
      <c r="N240" s="61">
        <v>4.4502314814814814E-2</v>
      </c>
      <c r="O240" s="61">
        <v>3.6527777777777782E-3</v>
      </c>
      <c r="P240" s="61">
        <v>0.13238773148148147</v>
      </c>
      <c r="Q240" s="59" t="s">
        <v>1938</v>
      </c>
      <c r="R240" s="8">
        <f t="shared" si="3"/>
        <v>640</v>
      </c>
    </row>
    <row r="241" spans="1:18" ht="14.45" customHeight="1">
      <c r="A241" s="59">
        <v>240</v>
      </c>
      <c r="B241" s="59">
        <v>642</v>
      </c>
      <c r="C241" s="60" t="s">
        <v>135</v>
      </c>
      <c r="D241" s="59" t="s">
        <v>955</v>
      </c>
      <c r="E241" s="59" t="s">
        <v>956</v>
      </c>
      <c r="F241" s="59" t="s">
        <v>199</v>
      </c>
      <c r="G241" s="59" t="s">
        <v>319</v>
      </c>
      <c r="H241" s="59" t="s">
        <v>1520</v>
      </c>
      <c r="I241" s="59">
        <v>20</v>
      </c>
      <c r="J241" s="61">
        <v>2.2692129629629628E-2</v>
      </c>
      <c r="K241" s="61">
        <v>1.3518518518518519E-3</v>
      </c>
      <c r="L241" s="61">
        <v>6.2261574074074066E-2</v>
      </c>
      <c r="M241" s="61">
        <v>1.1284722222222221E-3</v>
      </c>
      <c r="N241" s="61">
        <v>4.4951388888888888E-2</v>
      </c>
      <c r="O241" s="61">
        <v>2.480324074074074E-3</v>
      </c>
      <c r="P241" s="61">
        <v>0.13238888888888889</v>
      </c>
      <c r="Q241" s="59" t="s">
        <v>1939</v>
      </c>
      <c r="R241" s="8">
        <f t="shared" si="3"/>
        <v>640</v>
      </c>
    </row>
    <row r="242" spans="1:18" ht="14.45" customHeight="1">
      <c r="A242" s="59">
        <v>241</v>
      </c>
      <c r="B242" s="59">
        <v>280</v>
      </c>
      <c r="C242" s="60" t="s">
        <v>135</v>
      </c>
      <c r="D242" s="59" t="s">
        <v>1940</v>
      </c>
      <c r="E242" s="59" t="s">
        <v>0</v>
      </c>
      <c r="F242" s="59" t="s">
        <v>1941</v>
      </c>
      <c r="G242" s="59" t="s">
        <v>340</v>
      </c>
      <c r="H242" s="59" t="s">
        <v>1501</v>
      </c>
      <c r="I242" s="59">
        <v>219</v>
      </c>
      <c r="J242" s="61">
        <v>3.6658564814814817E-2</v>
      </c>
      <c r="K242" s="61">
        <v>1.4780092592592592E-3</v>
      </c>
      <c r="L242" s="61">
        <v>5.7886574074074069E-2</v>
      </c>
      <c r="M242" s="61">
        <v>1.5752314814814815E-3</v>
      </c>
      <c r="N242" s="61">
        <v>3.4927083333333331E-2</v>
      </c>
      <c r="O242" s="61">
        <v>3.0532407407407409E-3</v>
      </c>
      <c r="P242" s="61">
        <v>0.13252893518518519</v>
      </c>
      <c r="Q242" s="59" t="s">
        <v>1942</v>
      </c>
      <c r="R242" s="8">
        <f t="shared" si="3"/>
        <v>639</v>
      </c>
    </row>
    <row r="243" spans="1:18" ht="14.45" customHeight="1">
      <c r="A243" s="59">
        <v>242</v>
      </c>
      <c r="B243" s="59">
        <v>618</v>
      </c>
      <c r="C243" s="60" t="s">
        <v>135</v>
      </c>
      <c r="D243" s="59" t="s">
        <v>1943</v>
      </c>
      <c r="E243" s="59" t="s">
        <v>0</v>
      </c>
      <c r="F243" s="59"/>
      <c r="G243" s="59" t="s">
        <v>319</v>
      </c>
      <c r="H243" s="59" t="s">
        <v>1520</v>
      </c>
      <c r="I243" s="59">
        <v>21</v>
      </c>
      <c r="J243" s="61">
        <v>2.8530092592592593E-2</v>
      </c>
      <c r="K243" s="61">
        <v>1.6423611111111111E-3</v>
      </c>
      <c r="L243" s="61">
        <v>6.3594907407407406E-2</v>
      </c>
      <c r="M243" s="61">
        <v>1.2951388888888889E-3</v>
      </c>
      <c r="N243" s="61">
        <v>3.7668981481481484E-2</v>
      </c>
      <c r="O243" s="61">
        <v>2.9375E-3</v>
      </c>
      <c r="P243" s="61">
        <v>0.13273379629629631</v>
      </c>
      <c r="Q243" s="59" t="s">
        <v>1944</v>
      </c>
      <c r="R243" s="8">
        <f t="shared" si="3"/>
        <v>638</v>
      </c>
    </row>
    <row r="244" spans="1:18" ht="14.45" customHeight="1">
      <c r="A244" s="59">
        <v>243</v>
      </c>
      <c r="B244" s="59">
        <v>323</v>
      </c>
      <c r="C244" s="60" t="s">
        <v>135</v>
      </c>
      <c r="D244" s="59" t="s">
        <v>1188</v>
      </c>
      <c r="E244" s="59" t="s">
        <v>1189</v>
      </c>
      <c r="F244" s="59"/>
      <c r="G244" s="59" t="s">
        <v>340</v>
      </c>
      <c r="H244" s="59" t="s">
        <v>1501</v>
      </c>
      <c r="I244" s="59">
        <v>220</v>
      </c>
      <c r="J244" s="61">
        <v>3.8795138888888893E-2</v>
      </c>
      <c r="K244" s="61">
        <v>1.6631944444444444E-3</v>
      </c>
      <c r="L244" s="61">
        <v>5.0866898148148147E-2</v>
      </c>
      <c r="M244" s="61">
        <v>1.1666666666666665E-3</v>
      </c>
      <c r="N244" s="61">
        <v>4.1193287037037035E-2</v>
      </c>
      <c r="O244" s="61">
        <v>2.8298611111111111E-3</v>
      </c>
      <c r="P244" s="61">
        <v>0.13368750000000001</v>
      </c>
      <c r="Q244" s="59" t="s">
        <v>1945</v>
      </c>
      <c r="R244" s="8">
        <f t="shared" si="3"/>
        <v>634</v>
      </c>
    </row>
    <row r="245" spans="1:18" ht="14.45" customHeight="1">
      <c r="A245" s="59">
        <v>244</v>
      </c>
      <c r="B245" s="59">
        <v>141</v>
      </c>
      <c r="C245" s="60" t="s">
        <v>135</v>
      </c>
      <c r="D245" s="59" t="s">
        <v>1946</v>
      </c>
      <c r="E245" s="59" t="s">
        <v>0</v>
      </c>
      <c r="F245" s="59"/>
      <c r="G245" s="59" t="s">
        <v>340</v>
      </c>
      <c r="H245" s="59" t="s">
        <v>1501</v>
      </c>
      <c r="I245" s="59">
        <v>221</v>
      </c>
      <c r="J245" s="61">
        <v>3.3832175925925925E-2</v>
      </c>
      <c r="K245" s="61">
        <v>3.0011574074074077E-3</v>
      </c>
      <c r="L245" s="61">
        <v>5.887152777777778E-2</v>
      </c>
      <c r="M245" s="61">
        <v>2.6990740740740738E-3</v>
      </c>
      <c r="N245" s="61">
        <v>3.5568287037037037E-2</v>
      </c>
      <c r="O245" s="61">
        <v>5.7002314814814815E-3</v>
      </c>
      <c r="P245" s="61">
        <v>0.13397453703703704</v>
      </c>
      <c r="Q245" s="59" t="s">
        <v>1947</v>
      </c>
      <c r="R245" s="8">
        <f t="shared" si="3"/>
        <v>632</v>
      </c>
    </row>
    <row r="246" spans="1:18" ht="14.45" customHeight="1">
      <c r="A246" s="59">
        <v>245</v>
      </c>
      <c r="B246" s="59">
        <v>145</v>
      </c>
      <c r="C246" s="60" t="s">
        <v>135</v>
      </c>
      <c r="D246" s="59" t="s">
        <v>958</v>
      </c>
      <c r="E246" s="59" t="s">
        <v>959</v>
      </c>
      <c r="F246" s="59"/>
      <c r="G246" s="59" t="s">
        <v>340</v>
      </c>
      <c r="H246" s="59" t="s">
        <v>1501</v>
      </c>
      <c r="I246" s="59">
        <v>222</v>
      </c>
      <c r="J246" s="61">
        <v>3.1128472222222221E-2</v>
      </c>
      <c r="K246" s="61">
        <v>1.4895833333333332E-3</v>
      </c>
      <c r="L246" s="61">
        <v>5.8899305555555552E-2</v>
      </c>
      <c r="M246" s="61">
        <v>1.3831018518518519E-3</v>
      </c>
      <c r="N246" s="61">
        <v>4.1123842592592594E-2</v>
      </c>
      <c r="O246" s="61">
        <v>2.8726851851851852E-3</v>
      </c>
      <c r="P246" s="61">
        <v>0.13402777777777777</v>
      </c>
      <c r="Q246" s="59" t="s">
        <v>1948</v>
      </c>
      <c r="R246" s="8">
        <f t="shared" si="3"/>
        <v>632</v>
      </c>
    </row>
    <row r="247" spans="1:18" ht="14.45" customHeight="1">
      <c r="A247" s="59">
        <v>246</v>
      </c>
      <c r="B247" s="59">
        <v>173</v>
      </c>
      <c r="C247" s="60" t="s">
        <v>135</v>
      </c>
      <c r="D247" s="59" t="s">
        <v>1949</v>
      </c>
      <c r="E247" s="59" t="s">
        <v>0</v>
      </c>
      <c r="F247" s="59"/>
      <c r="G247" s="59" t="s">
        <v>340</v>
      </c>
      <c r="H247" s="59" t="s">
        <v>1501</v>
      </c>
      <c r="I247" s="59">
        <v>223</v>
      </c>
      <c r="J247" s="61">
        <v>3.0592592592592591E-2</v>
      </c>
      <c r="K247" s="61">
        <v>1.9861111111111112E-3</v>
      </c>
      <c r="L247" s="61">
        <v>5.4864583333333335E-2</v>
      </c>
      <c r="M247" s="61">
        <v>1.8090277777777779E-3</v>
      </c>
      <c r="N247" s="61">
        <v>4.5037037037037035E-2</v>
      </c>
      <c r="O247" s="61">
        <v>3.7951388888888887E-3</v>
      </c>
      <c r="P247" s="61">
        <v>0.13429166666666667</v>
      </c>
      <c r="Q247" s="59" t="s">
        <v>1950</v>
      </c>
      <c r="R247" s="8">
        <f t="shared" si="3"/>
        <v>631</v>
      </c>
    </row>
    <row r="248" spans="1:18" ht="14.45" customHeight="1">
      <c r="A248" s="59">
        <v>247</v>
      </c>
      <c r="B248" s="59">
        <v>99</v>
      </c>
      <c r="C248" s="60" t="s">
        <v>135</v>
      </c>
      <c r="D248" s="59" t="s">
        <v>643</v>
      </c>
      <c r="E248" s="59" t="s">
        <v>644</v>
      </c>
      <c r="F248" s="59" t="s">
        <v>148</v>
      </c>
      <c r="G248" s="59" t="s">
        <v>340</v>
      </c>
      <c r="H248" s="59" t="s">
        <v>1501</v>
      </c>
      <c r="I248" s="59">
        <v>224</v>
      </c>
      <c r="J248" s="61">
        <v>3.0644675925925922E-2</v>
      </c>
      <c r="K248" s="61">
        <v>1.6388888888888887E-3</v>
      </c>
      <c r="L248" s="61">
        <v>5.6995370370370363E-2</v>
      </c>
      <c r="M248" s="61">
        <v>1.1226851851851851E-3</v>
      </c>
      <c r="N248" s="61">
        <v>4.3966435185185185E-2</v>
      </c>
      <c r="O248" s="61">
        <v>2.7615740740740738E-3</v>
      </c>
      <c r="P248" s="61">
        <v>0.13436921296296298</v>
      </c>
      <c r="Q248" s="59" t="s">
        <v>1951</v>
      </c>
      <c r="R248" s="8">
        <f t="shared" si="3"/>
        <v>631</v>
      </c>
    </row>
    <row r="249" spans="1:18" ht="14.45" customHeight="1">
      <c r="A249" s="59">
        <v>248</v>
      </c>
      <c r="B249" s="59">
        <v>213</v>
      </c>
      <c r="C249" s="60" t="s">
        <v>135</v>
      </c>
      <c r="D249" s="59" t="s">
        <v>1952</v>
      </c>
      <c r="E249" s="59" t="s">
        <v>0</v>
      </c>
      <c r="F249" s="59"/>
      <c r="G249" s="59" t="s">
        <v>340</v>
      </c>
      <c r="H249" s="59" t="s">
        <v>1501</v>
      </c>
      <c r="I249" s="59">
        <v>225</v>
      </c>
      <c r="J249" s="61">
        <v>2.8393518518518516E-2</v>
      </c>
      <c r="K249" s="61">
        <v>2.3495370370370371E-3</v>
      </c>
      <c r="L249" s="61">
        <v>5.9390046296296295E-2</v>
      </c>
      <c r="M249" s="61">
        <v>1.4988425925925926E-3</v>
      </c>
      <c r="N249" s="61">
        <v>4.2819444444444445E-2</v>
      </c>
      <c r="O249" s="61">
        <v>3.8483796296296295E-3</v>
      </c>
      <c r="P249" s="61">
        <v>0.13445370370370369</v>
      </c>
      <c r="Q249" s="59" t="s">
        <v>1953</v>
      </c>
      <c r="R249" s="8">
        <f t="shared" si="3"/>
        <v>630</v>
      </c>
    </row>
    <row r="250" spans="1:18" ht="14.45" customHeight="1">
      <c r="A250" s="59">
        <v>249</v>
      </c>
      <c r="B250" s="59">
        <v>640</v>
      </c>
      <c r="C250" s="60" t="s">
        <v>1883</v>
      </c>
      <c r="D250" s="59" t="s">
        <v>1954</v>
      </c>
      <c r="E250" s="59" t="s">
        <v>0</v>
      </c>
      <c r="F250" s="59"/>
      <c r="G250" s="59" t="s">
        <v>319</v>
      </c>
      <c r="H250" s="59" t="s">
        <v>1520</v>
      </c>
      <c r="I250" s="59">
        <v>22</v>
      </c>
      <c r="J250" s="61">
        <v>2.6959490740740742E-2</v>
      </c>
      <c r="K250" s="61">
        <v>2.1296296296296298E-3</v>
      </c>
      <c r="L250" s="61">
        <v>6.1479166666666668E-2</v>
      </c>
      <c r="M250" s="61">
        <v>1.4270833333333334E-3</v>
      </c>
      <c r="N250" s="61">
        <v>4.2988425925925923E-2</v>
      </c>
      <c r="O250" s="61">
        <v>3.5567129629629629E-3</v>
      </c>
      <c r="P250" s="61">
        <v>0.13498611111111111</v>
      </c>
      <c r="Q250" s="59" t="s">
        <v>1955</v>
      </c>
      <c r="R250" s="8">
        <f t="shared" si="3"/>
        <v>628</v>
      </c>
    </row>
    <row r="251" spans="1:18" ht="14.45" customHeight="1">
      <c r="A251" s="59">
        <v>250</v>
      </c>
      <c r="B251" s="59">
        <v>303</v>
      </c>
      <c r="C251" s="60" t="s">
        <v>135</v>
      </c>
      <c r="D251" s="59" t="s">
        <v>1956</v>
      </c>
      <c r="E251" s="59" t="s">
        <v>0</v>
      </c>
      <c r="F251" s="59"/>
      <c r="G251" s="59" t="s">
        <v>340</v>
      </c>
      <c r="H251" s="59" t="s">
        <v>1501</v>
      </c>
      <c r="I251" s="59">
        <v>226</v>
      </c>
      <c r="J251" s="61">
        <v>2.6858796296296294E-2</v>
      </c>
      <c r="K251" s="61">
        <v>3.0451388888888893E-3</v>
      </c>
      <c r="L251" s="61">
        <v>6.4247685185185185E-2</v>
      </c>
      <c r="M251" s="61">
        <v>2.1863425925925926E-3</v>
      </c>
      <c r="N251" s="61">
        <v>3.8953703703703706E-2</v>
      </c>
      <c r="O251" s="61">
        <v>5.2314814814814811E-3</v>
      </c>
      <c r="P251" s="61">
        <v>0.13529398148148147</v>
      </c>
      <c r="Q251" s="59" t="s">
        <v>1957</v>
      </c>
      <c r="R251" s="8">
        <f t="shared" si="3"/>
        <v>626</v>
      </c>
    </row>
    <row r="252" spans="1:18" ht="14.45" customHeight="1">
      <c r="A252" s="59">
        <v>251</v>
      </c>
      <c r="B252" s="59">
        <v>185</v>
      </c>
      <c r="C252" s="60" t="s">
        <v>135</v>
      </c>
      <c r="D252" s="59" t="s">
        <v>668</v>
      </c>
      <c r="E252" s="59" t="s">
        <v>669</v>
      </c>
      <c r="F252" s="59"/>
      <c r="G252" s="59" t="s">
        <v>340</v>
      </c>
      <c r="H252" s="59" t="s">
        <v>1501</v>
      </c>
      <c r="I252" s="59">
        <v>227</v>
      </c>
      <c r="J252" s="61">
        <v>3.0005787037037036E-2</v>
      </c>
      <c r="K252" s="61">
        <v>1.7175925925925926E-3</v>
      </c>
      <c r="L252" s="61">
        <v>6.0741898148148149E-2</v>
      </c>
      <c r="M252" s="61">
        <v>8.3449074074074068E-4</v>
      </c>
      <c r="N252" s="61">
        <v>4.3026620370370368E-2</v>
      </c>
      <c r="O252" s="61">
        <v>2.5520833333333333E-3</v>
      </c>
      <c r="P252" s="61">
        <v>0.1363287037037037</v>
      </c>
      <c r="Q252" s="59" t="s">
        <v>1958</v>
      </c>
      <c r="R252" s="8">
        <f t="shared" si="3"/>
        <v>621</v>
      </c>
    </row>
    <row r="253" spans="1:18" ht="14.45" customHeight="1">
      <c r="A253" s="59">
        <v>252</v>
      </c>
      <c r="B253" s="59">
        <v>231</v>
      </c>
      <c r="C253" s="60" t="s">
        <v>135</v>
      </c>
      <c r="D253" s="59" t="s">
        <v>1959</v>
      </c>
      <c r="E253" s="59" t="s">
        <v>1960</v>
      </c>
      <c r="F253" s="59" t="s">
        <v>1961</v>
      </c>
      <c r="G253" s="59" t="s">
        <v>340</v>
      </c>
      <c r="H253" s="59" t="s">
        <v>1501</v>
      </c>
      <c r="I253" s="59">
        <v>228</v>
      </c>
      <c r="J253" s="61">
        <v>3.253587962962963E-2</v>
      </c>
      <c r="K253" s="61">
        <v>2.1331018518518522E-3</v>
      </c>
      <c r="L253" s="61">
        <v>5.9219907407407409E-2</v>
      </c>
      <c r="M253" s="61">
        <v>2.1574074074074074E-3</v>
      </c>
      <c r="N253" s="61">
        <v>4.0390046296296292E-2</v>
      </c>
      <c r="O253" s="61">
        <v>4.2905092592592595E-3</v>
      </c>
      <c r="P253" s="61">
        <v>0.13643981481481482</v>
      </c>
      <c r="Q253" s="59" t="s">
        <v>1962</v>
      </c>
      <c r="R253" s="8">
        <f t="shared" si="3"/>
        <v>621</v>
      </c>
    </row>
    <row r="254" spans="1:18" ht="14.45" customHeight="1">
      <c r="A254" s="59">
        <v>253</v>
      </c>
      <c r="B254" s="59">
        <v>178</v>
      </c>
      <c r="C254" s="60" t="s">
        <v>135</v>
      </c>
      <c r="D254" s="59" t="s">
        <v>1963</v>
      </c>
      <c r="E254" s="59" t="s">
        <v>0</v>
      </c>
      <c r="F254" s="59"/>
      <c r="G254" s="59" t="s">
        <v>340</v>
      </c>
      <c r="H254" s="59" t="s">
        <v>1501</v>
      </c>
      <c r="I254" s="59">
        <v>229</v>
      </c>
      <c r="J254" s="61">
        <v>3.0048611111111109E-2</v>
      </c>
      <c r="K254" s="61">
        <v>2.0844907407407405E-3</v>
      </c>
      <c r="L254" s="61">
        <v>5.6290509259259262E-2</v>
      </c>
      <c r="M254" s="61">
        <v>1.7627314814814817E-3</v>
      </c>
      <c r="N254" s="61">
        <v>4.6299768518518518E-2</v>
      </c>
      <c r="O254" s="61">
        <v>3.8472222222222219E-3</v>
      </c>
      <c r="P254" s="61">
        <v>0.13648958333333333</v>
      </c>
      <c r="Q254" s="59" t="s">
        <v>1964</v>
      </c>
      <c r="R254" s="8">
        <f t="shared" si="3"/>
        <v>621</v>
      </c>
    </row>
    <row r="255" spans="1:18" ht="14.45" customHeight="1">
      <c r="A255" s="59">
        <v>254</v>
      </c>
      <c r="B255" s="59">
        <v>130</v>
      </c>
      <c r="C255" s="60" t="s">
        <v>135</v>
      </c>
      <c r="D255" s="59" t="s">
        <v>1965</v>
      </c>
      <c r="E255" s="59" t="s">
        <v>0</v>
      </c>
      <c r="F255" s="59"/>
      <c r="G255" s="59" t="s">
        <v>340</v>
      </c>
      <c r="H255" s="59" t="s">
        <v>1501</v>
      </c>
      <c r="I255" s="59">
        <v>230</v>
      </c>
      <c r="J255" s="61">
        <v>3.1579861111111114E-2</v>
      </c>
      <c r="K255" s="61">
        <v>1.4953703703703702E-3</v>
      </c>
      <c r="L255" s="61">
        <v>6.1469907407407411E-2</v>
      </c>
      <c r="M255" s="61">
        <v>1.0034722222222222E-3</v>
      </c>
      <c r="N255" s="61">
        <v>4.1218750000000005E-2</v>
      </c>
      <c r="O255" s="61">
        <v>2.4988425925925929E-3</v>
      </c>
      <c r="P255" s="61">
        <v>0.13676967592592593</v>
      </c>
      <c r="Q255" s="59" t="s">
        <v>1966</v>
      </c>
      <c r="R255" s="8">
        <f t="shared" si="3"/>
        <v>619</v>
      </c>
    </row>
    <row r="256" spans="1:18" ht="14.45" customHeight="1">
      <c r="A256" s="59">
        <v>255</v>
      </c>
      <c r="B256" s="59">
        <v>291</v>
      </c>
      <c r="C256" s="60" t="s">
        <v>135</v>
      </c>
      <c r="D256" s="59" t="s">
        <v>1967</v>
      </c>
      <c r="E256" s="59" t="s">
        <v>0</v>
      </c>
      <c r="F256" s="59"/>
      <c r="G256" s="59" t="s">
        <v>340</v>
      </c>
      <c r="H256" s="59" t="s">
        <v>1501</v>
      </c>
      <c r="I256" s="59">
        <v>231</v>
      </c>
      <c r="J256" s="61">
        <v>3.5881944444444445E-2</v>
      </c>
      <c r="K256" s="61">
        <v>1.6134259259259259E-3</v>
      </c>
      <c r="L256" s="61">
        <v>5.9416666666666673E-2</v>
      </c>
      <c r="M256" s="61">
        <v>1.6284722222222221E-3</v>
      </c>
      <c r="N256" s="61">
        <v>3.8494212962962966E-2</v>
      </c>
      <c r="O256" s="61">
        <v>3.2418981481481483E-3</v>
      </c>
      <c r="P256" s="61">
        <v>0.13703703703703704</v>
      </c>
      <c r="Q256" s="59" t="s">
        <v>1968</v>
      </c>
      <c r="R256" s="8">
        <f t="shared" si="3"/>
        <v>618</v>
      </c>
    </row>
    <row r="257" spans="1:18" ht="14.45" customHeight="1">
      <c r="A257" s="59">
        <v>256</v>
      </c>
      <c r="B257" s="59">
        <v>630</v>
      </c>
      <c r="C257" s="60" t="s">
        <v>135</v>
      </c>
      <c r="D257" s="59" t="s">
        <v>1969</v>
      </c>
      <c r="E257" s="59" t="s">
        <v>0</v>
      </c>
      <c r="F257" s="59" t="s">
        <v>1970</v>
      </c>
      <c r="G257" s="59" t="s">
        <v>319</v>
      </c>
      <c r="H257" s="59" t="s">
        <v>1520</v>
      </c>
      <c r="I257" s="59">
        <v>23</v>
      </c>
      <c r="J257" s="61">
        <v>3.1616898148148144E-2</v>
      </c>
      <c r="K257" s="61">
        <v>1.5439814814814815E-3</v>
      </c>
      <c r="L257" s="61">
        <v>6.1747685185185183E-2</v>
      </c>
      <c r="M257" s="61">
        <v>1.0740740740740741E-3</v>
      </c>
      <c r="N257" s="61">
        <v>4.1883101851851852E-2</v>
      </c>
      <c r="O257" s="61">
        <v>2.6180555555555553E-3</v>
      </c>
      <c r="P257" s="61">
        <v>0.13786805555555554</v>
      </c>
      <c r="Q257" s="59" t="s">
        <v>1971</v>
      </c>
      <c r="R257" s="8">
        <f t="shared" si="3"/>
        <v>615</v>
      </c>
    </row>
    <row r="258" spans="1:18" ht="14.45" customHeight="1">
      <c r="A258" s="59">
        <v>257</v>
      </c>
      <c r="B258" s="59">
        <v>68</v>
      </c>
      <c r="C258" s="60" t="s">
        <v>135</v>
      </c>
      <c r="D258" s="59" t="s">
        <v>1972</v>
      </c>
      <c r="E258" s="59" t="s">
        <v>0</v>
      </c>
      <c r="F258" s="59"/>
      <c r="G258" s="59" t="s">
        <v>340</v>
      </c>
      <c r="H258" s="59" t="s">
        <v>1501</v>
      </c>
      <c r="I258" s="59">
        <v>232</v>
      </c>
      <c r="J258" s="61">
        <v>2.9343750000000002E-2</v>
      </c>
      <c r="K258" s="61">
        <v>1.7164351851851854E-3</v>
      </c>
      <c r="L258" s="61">
        <v>6.5814814814814812E-2</v>
      </c>
      <c r="M258" s="61">
        <v>1.0115740740740742E-3</v>
      </c>
      <c r="N258" s="61">
        <v>4.0854166666666671E-2</v>
      </c>
      <c r="O258" s="61">
        <v>2.728009259259259E-3</v>
      </c>
      <c r="P258" s="61">
        <v>0.13874189814814814</v>
      </c>
      <c r="Q258" s="59" t="s">
        <v>1973</v>
      </c>
      <c r="R258" s="8">
        <f t="shared" si="3"/>
        <v>611</v>
      </c>
    </row>
    <row r="259" spans="1:18" ht="14.45" customHeight="1">
      <c r="A259" s="59">
        <v>258</v>
      </c>
      <c r="B259" s="59">
        <v>624</v>
      </c>
      <c r="C259" s="60" t="s">
        <v>135</v>
      </c>
      <c r="D259" s="59" t="s">
        <v>1017</v>
      </c>
      <c r="E259" s="59" t="s">
        <v>1018</v>
      </c>
      <c r="F259" s="59" t="s">
        <v>189</v>
      </c>
      <c r="G259" s="59" t="s">
        <v>319</v>
      </c>
      <c r="H259" s="59" t="s">
        <v>1520</v>
      </c>
      <c r="I259" s="59">
        <v>24</v>
      </c>
      <c r="J259" s="61">
        <v>3.2105324074074078E-2</v>
      </c>
      <c r="K259" s="61">
        <v>1.4699074074074074E-3</v>
      </c>
      <c r="L259" s="61">
        <v>6.2747685185185184E-2</v>
      </c>
      <c r="M259" s="61">
        <v>1.1863425925925926E-3</v>
      </c>
      <c r="N259" s="61">
        <v>4.1494212962962962E-2</v>
      </c>
      <c r="O259" s="61">
        <v>2.6562500000000002E-3</v>
      </c>
      <c r="P259" s="61">
        <v>0.13900694444444445</v>
      </c>
      <c r="Q259" s="59" t="s">
        <v>1974</v>
      </c>
      <c r="R259" s="8">
        <f t="shared" ref="R259:R301" si="4">IFERROR(ROUND($P$2/P259*1000,0),0)</f>
        <v>609</v>
      </c>
    </row>
    <row r="260" spans="1:18" ht="14.45" customHeight="1">
      <c r="A260" s="59">
        <v>259</v>
      </c>
      <c r="B260" s="59">
        <v>244</v>
      </c>
      <c r="C260" s="60" t="s">
        <v>135</v>
      </c>
      <c r="D260" s="59" t="s">
        <v>327</v>
      </c>
      <c r="E260" s="59" t="s">
        <v>328</v>
      </c>
      <c r="F260" s="59"/>
      <c r="G260" s="59" t="s">
        <v>340</v>
      </c>
      <c r="H260" s="59" t="s">
        <v>1501</v>
      </c>
      <c r="I260" s="59">
        <v>233</v>
      </c>
      <c r="J260" s="61">
        <v>2.8756944444444443E-2</v>
      </c>
      <c r="K260" s="61">
        <v>2.3298611111111111E-3</v>
      </c>
      <c r="L260" s="61">
        <v>6.1543981481481477E-2</v>
      </c>
      <c r="M260" s="61">
        <v>1.2037037037037038E-3</v>
      </c>
      <c r="N260" s="61">
        <v>4.5976851851851852E-2</v>
      </c>
      <c r="O260" s="61">
        <v>3.5335648148148149E-3</v>
      </c>
      <c r="P260" s="61">
        <v>0.13981365740740739</v>
      </c>
      <c r="Q260" s="59" t="s">
        <v>1975</v>
      </c>
      <c r="R260" s="8">
        <f t="shared" si="4"/>
        <v>606</v>
      </c>
    </row>
    <row r="261" spans="1:18" ht="14.45" customHeight="1">
      <c r="A261" s="59">
        <v>260</v>
      </c>
      <c r="B261" s="59">
        <v>202</v>
      </c>
      <c r="C261" s="60" t="s">
        <v>135</v>
      </c>
      <c r="D261" s="59" t="s">
        <v>1976</v>
      </c>
      <c r="E261" s="59" t="s">
        <v>0</v>
      </c>
      <c r="F261" s="59"/>
      <c r="G261" s="59" t="s">
        <v>340</v>
      </c>
      <c r="H261" s="59" t="s">
        <v>1501</v>
      </c>
      <c r="I261" s="59">
        <v>234</v>
      </c>
      <c r="J261" s="61">
        <v>2.9256944444444447E-2</v>
      </c>
      <c r="K261" s="61">
        <v>2.3113425925925923E-3</v>
      </c>
      <c r="L261" s="61">
        <v>6.569675925925926E-2</v>
      </c>
      <c r="M261" s="61">
        <v>1.4050925925925928E-3</v>
      </c>
      <c r="N261" s="61">
        <v>4.1615740740740738E-2</v>
      </c>
      <c r="O261" s="61">
        <v>3.7164351851851855E-3</v>
      </c>
      <c r="P261" s="61">
        <v>0.14028819444444443</v>
      </c>
      <c r="Q261" s="59" t="s">
        <v>1977</v>
      </c>
      <c r="R261" s="8">
        <f t="shared" si="4"/>
        <v>604</v>
      </c>
    </row>
    <row r="262" spans="1:18" ht="14.45" customHeight="1">
      <c r="A262" s="59">
        <v>261</v>
      </c>
      <c r="B262" s="59">
        <v>172</v>
      </c>
      <c r="C262" s="60" t="s">
        <v>135</v>
      </c>
      <c r="D262" s="59" t="s">
        <v>1978</v>
      </c>
      <c r="E262" s="59" t="s">
        <v>0</v>
      </c>
      <c r="F262" s="59"/>
      <c r="G262" s="59" t="s">
        <v>340</v>
      </c>
      <c r="H262" s="59" t="s">
        <v>1501</v>
      </c>
      <c r="I262" s="59">
        <v>235</v>
      </c>
      <c r="J262" s="61">
        <v>3.1650462962962964E-2</v>
      </c>
      <c r="K262" s="61">
        <v>3.150462962962963E-3</v>
      </c>
      <c r="L262" s="61">
        <v>6.146412037037037E-2</v>
      </c>
      <c r="M262" s="61">
        <v>2.0451388888888889E-3</v>
      </c>
      <c r="N262" s="61">
        <v>4.2043981481481481E-2</v>
      </c>
      <c r="O262" s="61">
        <v>5.1956018518518514E-3</v>
      </c>
      <c r="P262" s="61">
        <v>0.14035648148148147</v>
      </c>
      <c r="Q262" s="59" t="s">
        <v>1979</v>
      </c>
      <c r="R262" s="8">
        <f t="shared" si="4"/>
        <v>604</v>
      </c>
    </row>
    <row r="263" spans="1:18" ht="14.45" customHeight="1">
      <c r="A263" s="59">
        <v>262</v>
      </c>
      <c r="B263" s="59">
        <v>152</v>
      </c>
      <c r="C263" s="60" t="s">
        <v>135</v>
      </c>
      <c r="D263" s="59" t="s">
        <v>1980</v>
      </c>
      <c r="E263" s="59" t="s">
        <v>0</v>
      </c>
      <c r="F263" s="59"/>
      <c r="G263" s="59" t="s">
        <v>340</v>
      </c>
      <c r="H263" s="59" t="s">
        <v>1501</v>
      </c>
      <c r="I263" s="59">
        <v>236</v>
      </c>
      <c r="J263" s="61">
        <v>3.2052083333333335E-2</v>
      </c>
      <c r="K263" s="61">
        <v>3.3113425925925927E-3</v>
      </c>
      <c r="L263" s="61">
        <v>5.9108796296296298E-2</v>
      </c>
      <c r="M263" s="61">
        <v>1.9270833333333334E-3</v>
      </c>
      <c r="N263" s="61">
        <v>4.4677083333333333E-2</v>
      </c>
      <c r="O263" s="61">
        <v>5.2384259259259259E-3</v>
      </c>
      <c r="P263" s="61">
        <v>0.14107754629629629</v>
      </c>
      <c r="Q263" s="59" t="s">
        <v>1981</v>
      </c>
      <c r="R263" s="8">
        <f t="shared" si="4"/>
        <v>601</v>
      </c>
    </row>
    <row r="264" spans="1:18" ht="14.45" customHeight="1">
      <c r="A264" s="59">
        <v>263</v>
      </c>
      <c r="B264" s="59">
        <v>35</v>
      </c>
      <c r="C264" s="60" t="s">
        <v>135</v>
      </c>
      <c r="D264" s="59" t="s">
        <v>1982</v>
      </c>
      <c r="E264" s="59" t="s">
        <v>0</v>
      </c>
      <c r="F264" s="59" t="s">
        <v>1983</v>
      </c>
      <c r="G264" s="59" t="s">
        <v>340</v>
      </c>
      <c r="H264" s="59" t="s">
        <v>1501</v>
      </c>
      <c r="I264" s="59">
        <v>237</v>
      </c>
      <c r="J264" s="61">
        <v>3.090972222222222E-2</v>
      </c>
      <c r="K264" s="61">
        <v>1.7453703703703704E-3</v>
      </c>
      <c r="L264" s="61">
        <v>6.5768518518518518E-2</v>
      </c>
      <c r="M264" s="61">
        <v>1.4895833333333332E-3</v>
      </c>
      <c r="N264" s="61">
        <v>4.1599537037037032E-2</v>
      </c>
      <c r="O264" s="61">
        <v>3.2349537037037039E-3</v>
      </c>
      <c r="P264" s="61">
        <v>0.1415150462962963</v>
      </c>
      <c r="Q264" s="59" t="s">
        <v>1984</v>
      </c>
      <c r="R264" s="8">
        <f t="shared" si="4"/>
        <v>599</v>
      </c>
    </row>
    <row r="265" spans="1:18" ht="14.45" customHeight="1">
      <c r="A265" s="59">
        <v>264</v>
      </c>
      <c r="B265" s="59">
        <v>112</v>
      </c>
      <c r="C265" s="60" t="s">
        <v>135</v>
      </c>
      <c r="D265" s="59" t="s">
        <v>1985</v>
      </c>
      <c r="E265" s="59" t="s">
        <v>0</v>
      </c>
      <c r="F265" s="59"/>
      <c r="G265" s="59" t="s">
        <v>340</v>
      </c>
      <c r="H265" s="59" t="s">
        <v>1501</v>
      </c>
      <c r="I265" s="59">
        <v>238</v>
      </c>
      <c r="J265" s="61">
        <v>2.9378472222222226E-2</v>
      </c>
      <c r="K265" s="61">
        <v>2.7303240740740743E-3</v>
      </c>
      <c r="L265" s="61">
        <v>6.7307870370370365E-2</v>
      </c>
      <c r="M265" s="61">
        <v>2.0706018518518521E-3</v>
      </c>
      <c r="N265" s="61">
        <v>4.0380787037037041E-2</v>
      </c>
      <c r="O265" s="61">
        <v>4.8009259259259264E-3</v>
      </c>
      <c r="P265" s="61">
        <v>0.14187037037037037</v>
      </c>
      <c r="Q265" s="59" t="s">
        <v>1986</v>
      </c>
      <c r="R265" s="8">
        <f t="shared" si="4"/>
        <v>597</v>
      </c>
    </row>
    <row r="266" spans="1:18" ht="14.45" customHeight="1">
      <c r="A266" s="59">
        <v>265</v>
      </c>
      <c r="B266" s="59">
        <v>69</v>
      </c>
      <c r="C266" s="60" t="s">
        <v>135</v>
      </c>
      <c r="D266" s="59" t="s">
        <v>1987</v>
      </c>
      <c r="E266" s="59" t="s">
        <v>0</v>
      </c>
      <c r="F266" s="59"/>
      <c r="G266" s="59" t="s">
        <v>340</v>
      </c>
      <c r="H266" s="59" t="s">
        <v>1501</v>
      </c>
      <c r="I266" s="59">
        <v>239</v>
      </c>
      <c r="J266" s="61">
        <v>3.7120370370370366E-2</v>
      </c>
      <c r="K266" s="61">
        <v>3.6041666666666665E-3</v>
      </c>
      <c r="L266" s="61">
        <v>6.2679398148148144E-2</v>
      </c>
      <c r="M266" s="61">
        <v>1.4490740740740742E-3</v>
      </c>
      <c r="N266" s="61">
        <v>3.7935185185185183E-2</v>
      </c>
      <c r="O266" s="61">
        <v>5.053240740740741E-3</v>
      </c>
      <c r="P266" s="61">
        <v>0.14278935185185185</v>
      </c>
      <c r="Q266" s="59" t="s">
        <v>1988</v>
      </c>
      <c r="R266" s="8">
        <f t="shared" si="4"/>
        <v>593</v>
      </c>
    </row>
    <row r="267" spans="1:18" ht="14.45" customHeight="1">
      <c r="A267" s="59">
        <v>266</v>
      </c>
      <c r="B267" s="59">
        <v>115</v>
      </c>
      <c r="C267" s="60" t="s">
        <v>135</v>
      </c>
      <c r="D267" s="59" t="s">
        <v>1989</v>
      </c>
      <c r="E267" s="59" t="s">
        <v>0</v>
      </c>
      <c r="F267" s="59"/>
      <c r="G267" s="59" t="s">
        <v>340</v>
      </c>
      <c r="H267" s="59" t="s">
        <v>1501</v>
      </c>
      <c r="I267" s="59">
        <v>240</v>
      </c>
      <c r="J267" s="61">
        <v>4.0326388888888884E-2</v>
      </c>
      <c r="K267" s="61">
        <v>3.4930555555555557E-3</v>
      </c>
      <c r="L267" s="61">
        <v>6.4396990740740734E-2</v>
      </c>
      <c r="M267" s="61">
        <v>1.9513888888888888E-3</v>
      </c>
      <c r="N267" s="61">
        <v>3.2993055555555553E-2</v>
      </c>
      <c r="O267" s="61">
        <v>5.4444444444444445E-3</v>
      </c>
      <c r="P267" s="61">
        <v>0.14316550925925925</v>
      </c>
      <c r="Q267" s="59" t="s">
        <v>1990</v>
      </c>
      <c r="R267" s="8">
        <f t="shared" si="4"/>
        <v>592</v>
      </c>
    </row>
    <row r="268" spans="1:18" ht="14.45" customHeight="1">
      <c r="A268" s="59">
        <v>267</v>
      </c>
      <c r="B268" s="59">
        <v>217</v>
      </c>
      <c r="C268" s="60" t="s">
        <v>135</v>
      </c>
      <c r="D268" s="59" t="s">
        <v>1991</v>
      </c>
      <c r="E268" s="59" t="s">
        <v>0</v>
      </c>
      <c r="F268" s="59"/>
      <c r="G268" s="59" t="s">
        <v>340</v>
      </c>
      <c r="H268" s="59" t="s">
        <v>1501</v>
      </c>
      <c r="I268" s="59">
        <v>241</v>
      </c>
      <c r="J268" s="61">
        <v>3.5894675925925927E-2</v>
      </c>
      <c r="K268" s="61">
        <v>2.5405092592592593E-3</v>
      </c>
      <c r="L268" s="61">
        <v>5.8104166666666665E-2</v>
      </c>
      <c r="M268" s="61">
        <v>2.0057870370370373E-3</v>
      </c>
      <c r="N268" s="61">
        <v>4.5828703703703705E-2</v>
      </c>
      <c r="O268" s="61">
        <v>4.5462962962962965E-3</v>
      </c>
      <c r="P268" s="61">
        <v>0.14437615740740742</v>
      </c>
      <c r="Q268" s="59" t="s">
        <v>1992</v>
      </c>
      <c r="R268" s="8">
        <f t="shared" si="4"/>
        <v>587</v>
      </c>
    </row>
    <row r="269" spans="1:18">
      <c r="A269" s="59">
        <v>268</v>
      </c>
      <c r="B269" s="59">
        <v>174</v>
      </c>
      <c r="C269" s="60" t="s">
        <v>135</v>
      </c>
      <c r="D269" s="59" t="s">
        <v>1993</v>
      </c>
      <c r="E269" s="59" t="s">
        <v>0</v>
      </c>
      <c r="F269" s="59"/>
      <c r="G269" s="59" t="s">
        <v>340</v>
      </c>
      <c r="H269" s="59" t="s">
        <v>1501</v>
      </c>
      <c r="I269" s="59">
        <v>242</v>
      </c>
      <c r="J269" s="61">
        <v>3.681712962962963E-2</v>
      </c>
      <c r="K269" s="61">
        <v>3.1250000000000002E-3</v>
      </c>
      <c r="L269" s="61">
        <v>6.2502314814814816E-2</v>
      </c>
      <c r="M269" s="61">
        <v>2.1493055555555553E-3</v>
      </c>
      <c r="N269" s="61">
        <v>4.0039351851851854E-2</v>
      </c>
      <c r="O269" s="61">
        <v>5.2743055555555555E-3</v>
      </c>
      <c r="P269" s="61">
        <v>0.14463425925925927</v>
      </c>
      <c r="Q269" s="59" t="s">
        <v>1994</v>
      </c>
      <c r="R269" s="8">
        <f t="shared" si="4"/>
        <v>586</v>
      </c>
    </row>
    <row r="270" spans="1:18">
      <c r="A270" s="59">
        <v>269</v>
      </c>
      <c r="B270" s="59">
        <v>153</v>
      </c>
      <c r="C270" s="60" t="s">
        <v>1848</v>
      </c>
      <c r="D270" s="59" t="s">
        <v>1995</v>
      </c>
      <c r="E270" s="59" t="s">
        <v>0</v>
      </c>
      <c r="F270" s="59" t="s">
        <v>1996</v>
      </c>
      <c r="G270" s="59" t="s">
        <v>340</v>
      </c>
      <c r="H270" s="59" t="s">
        <v>1501</v>
      </c>
      <c r="I270" s="59">
        <v>243</v>
      </c>
      <c r="J270" s="61">
        <v>3.8711805555555555E-2</v>
      </c>
      <c r="K270" s="61">
        <v>2.0775462962962961E-3</v>
      </c>
      <c r="L270" s="61">
        <v>6.3449074074074074E-2</v>
      </c>
      <c r="M270" s="61">
        <v>1.7013888888888888E-3</v>
      </c>
      <c r="N270" s="61">
        <v>3.9516203703703699E-2</v>
      </c>
      <c r="O270" s="61">
        <v>3.7789351851851851E-3</v>
      </c>
      <c r="P270" s="61">
        <v>0.14545833333333333</v>
      </c>
      <c r="Q270" s="59" t="s">
        <v>1997</v>
      </c>
      <c r="R270" s="8">
        <f t="shared" si="4"/>
        <v>582</v>
      </c>
    </row>
    <row r="271" spans="1:18">
      <c r="A271" s="59">
        <v>270</v>
      </c>
      <c r="B271" s="59">
        <v>220</v>
      </c>
      <c r="C271" s="60" t="s">
        <v>1247</v>
      </c>
      <c r="D271" s="59" t="s">
        <v>1998</v>
      </c>
      <c r="E271" s="59" t="s">
        <v>0</v>
      </c>
      <c r="F271" s="59" t="s">
        <v>1999</v>
      </c>
      <c r="G271" s="59" t="s">
        <v>340</v>
      </c>
      <c r="H271" s="59" t="s">
        <v>1501</v>
      </c>
      <c r="I271" s="59">
        <v>244</v>
      </c>
      <c r="J271" s="61">
        <v>3.7082175925925928E-2</v>
      </c>
      <c r="K271" s="61">
        <v>2.40625E-3</v>
      </c>
      <c r="L271" s="61">
        <v>6.2739583333333335E-2</v>
      </c>
      <c r="M271" s="61">
        <v>1.4282407407407408E-3</v>
      </c>
      <c r="N271" s="61">
        <v>4.2348379629629632E-2</v>
      </c>
      <c r="O271" s="61">
        <v>3.8344907407407407E-3</v>
      </c>
      <c r="P271" s="61">
        <v>0.14600578703703704</v>
      </c>
      <c r="Q271" s="59" t="s">
        <v>2000</v>
      </c>
      <c r="R271" s="8">
        <f t="shared" si="4"/>
        <v>580</v>
      </c>
    </row>
    <row r="272" spans="1:18">
      <c r="A272" s="59">
        <v>271</v>
      </c>
      <c r="B272" s="59">
        <v>113</v>
      </c>
      <c r="C272" s="60" t="s">
        <v>1329</v>
      </c>
      <c r="D272" s="59" t="s">
        <v>2001</v>
      </c>
      <c r="E272" s="59" t="s">
        <v>0</v>
      </c>
      <c r="F272" s="59" t="s">
        <v>2002</v>
      </c>
      <c r="G272" s="59" t="s">
        <v>340</v>
      </c>
      <c r="H272" s="59" t="s">
        <v>1501</v>
      </c>
      <c r="I272" s="59">
        <v>245</v>
      </c>
      <c r="J272" s="61">
        <v>2.5872685185185186E-2</v>
      </c>
      <c r="K272" s="61">
        <v>2.0671296296296297E-3</v>
      </c>
      <c r="L272" s="61">
        <v>6.5400462962962966E-2</v>
      </c>
      <c r="M272" s="61">
        <v>2.2083333333333334E-3</v>
      </c>
      <c r="N272" s="61">
        <v>5.0918981481481475E-2</v>
      </c>
      <c r="O272" s="61">
        <v>4.2754629629629627E-3</v>
      </c>
      <c r="P272" s="61">
        <v>0.1464699074074074</v>
      </c>
      <c r="Q272" s="59" t="s">
        <v>2003</v>
      </c>
      <c r="R272" s="8">
        <f t="shared" si="4"/>
        <v>578</v>
      </c>
    </row>
    <row r="273" spans="1:18">
      <c r="A273" s="59">
        <v>272</v>
      </c>
      <c r="B273" s="59">
        <v>135</v>
      </c>
      <c r="C273" s="60" t="s">
        <v>135</v>
      </c>
      <c r="D273" s="59" t="s">
        <v>2004</v>
      </c>
      <c r="E273" s="59" t="s">
        <v>0</v>
      </c>
      <c r="F273" s="59"/>
      <c r="G273" s="59" t="s">
        <v>340</v>
      </c>
      <c r="H273" s="59" t="s">
        <v>1501</v>
      </c>
      <c r="I273" s="59">
        <v>246</v>
      </c>
      <c r="J273" s="61">
        <v>3.4814814814814812E-2</v>
      </c>
      <c r="K273" s="61">
        <v>1.8287037037037037E-3</v>
      </c>
      <c r="L273" s="61">
        <v>6.5918981481481481E-2</v>
      </c>
      <c r="M273" s="61">
        <v>9.0046296296296294E-4</v>
      </c>
      <c r="N273" s="61">
        <v>4.3387731481481479E-2</v>
      </c>
      <c r="O273" s="61">
        <v>2.7291666666666666E-3</v>
      </c>
      <c r="P273" s="61">
        <v>0.14685300925925926</v>
      </c>
      <c r="Q273" s="59" t="s">
        <v>2005</v>
      </c>
      <c r="R273" s="8">
        <f t="shared" si="4"/>
        <v>577</v>
      </c>
    </row>
    <row r="274" spans="1:18">
      <c r="A274" s="59">
        <v>273</v>
      </c>
      <c r="B274" s="59">
        <v>607</v>
      </c>
      <c r="C274" s="60" t="s">
        <v>135</v>
      </c>
      <c r="D274" s="59" t="s">
        <v>2006</v>
      </c>
      <c r="E274" s="59" t="s">
        <v>2007</v>
      </c>
      <c r="F274" s="59" t="s">
        <v>138</v>
      </c>
      <c r="G274" s="59" t="s">
        <v>319</v>
      </c>
      <c r="H274" s="59" t="s">
        <v>1520</v>
      </c>
      <c r="I274" s="59">
        <v>25</v>
      </c>
      <c r="J274" s="61">
        <v>3.6703703703703704E-2</v>
      </c>
      <c r="K274" s="61">
        <v>1.767361111111111E-3</v>
      </c>
      <c r="L274" s="61">
        <v>6.6553240740740732E-2</v>
      </c>
      <c r="M274" s="61">
        <v>1.6979166666666666E-3</v>
      </c>
      <c r="N274" s="61">
        <v>4.0185185185185185E-2</v>
      </c>
      <c r="O274" s="61">
        <v>3.4652777777777776E-3</v>
      </c>
      <c r="P274" s="61">
        <v>0.14691087962962962</v>
      </c>
      <c r="Q274" s="59" t="s">
        <v>2008</v>
      </c>
      <c r="R274" s="8">
        <f t="shared" si="4"/>
        <v>577</v>
      </c>
    </row>
    <row r="275" spans="1:18">
      <c r="A275" s="59">
        <v>274</v>
      </c>
      <c r="B275" s="59">
        <v>140</v>
      </c>
      <c r="C275" s="60" t="s">
        <v>135</v>
      </c>
      <c r="D275" s="59" t="s">
        <v>2009</v>
      </c>
      <c r="E275" s="59" t="s">
        <v>0</v>
      </c>
      <c r="F275" s="59" t="s">
        <v>2010</v>
      </c>
      <c r="G275" s="59" t="s">
        <v>340</v>
      </c>
      <c r="H275" s="59" t="s">
        <v>1501</v>
      </c>
      <c r="I275" s="59">
        <v>247</v>
      </c>
      <c r="J275" s="61">
        <v>3.2046296296296295E-2</v>
      </c>
      <c r="K275" s="61">
        <v>4.5694444444444446E-3</v>
      </c>
      <c r="L275" s="61">
        <v>6.3165509259259262E-2</v>
      </c>
      <c r="M275" s="61">
        <v>1.7002314814814816E-3</v>
      </c>
      <c r="N275" s="61">
        <v>4.5834490740740738E-2</v>
      </c>
      <c r="O275" s="61">
        <v>6.2696759259259268E-3</v>
      </c>
      <c r="P275" s="61">
        <v>0.14731828703703703</v>
      </c>
      <c r="Q275" s="59" t="s">
        <v>2011</v>
      </c>
      <c r="R275" s="8">
        <f t="shared" si="4"/>
        <v>575</v>
      </c>
    </row>
    <row r="276" spans="1:18">
      <c r="A276" s="59">
        <v>275</v>
      </c>
      <c r="B276" s="59">
        <v>71</v>
      </c>
      <c r="C276" s="60" t="s">
        <v>135</v>
      </c>
      <c r="D276" s="59" t="s">
        <v>2012</v>
      </c>
      <c r="E276" s="59" t="s">
        <v>0</v>
      </c>
      <c r="F276" s="59"/>
      <c r="G276" s="59" t="s">
        <v>340</v>
      </c>
      <c r="H276" s="59" t="s">
        <v>1501</v>
      </c>
      <c r="I276" s="59">
        <v>248</v>
      </c>
      <c r="J276" s="61">
        <v>3.526157407407407E-2</v>
      </c>
      <c r="K276" s="61">
        <v>1.9004629629629627E-3</v>
      </c>
      <c r="L276" s="61">
        <v>6.269328703703704E-2</v>
      </c>
      <c r="M276" s="61">
        <v>2.4317129629629628E-3</v>
      </c>
      <c r="N276" s="61">
        <v>4.5865740740740742E-2</v>
      </c>
      <c r="O276" s="61">
        <v>4.332175925925926E-3</v>
      </c>
      <c r="P276" s="61">
        <v>0.14815625000000002</v>
      </c>
      <c r="Q276" s="59" t="s">
        <v>2013</v>
      </c>
      <c r="R276" s="8">
        <f t="shared" si="4"/>
        <v>572</v>
      </c>
    </row>
    <row r="277" spans="1:18">
      <c r="A277" s="59">
        <v>276</v>
      </c>
      <c r="B277" s="59">
        <v>100</v>
      </c>
      <c r="C277" s="60" t="s">
        <v>135</v>
      </c>
      <c r="D277" s="59" t="s">
        <v>2014</v>
      </c>
      <c r="E277" s="59" t="s">
        <v>0</v>
      </c>
      <c r="F277" s="59" t="s">
        <v>1706</v>
      </c>
      <c r="G277" s="59" t="s">
        <v>340</v>
      </c>
      <c r="H277" s="59" t="s">
        <v>1501</v>
      </c>
      <c r="I277" s="59">
        <v>249</v>
      </c>
      <c r="J277" s="61">
        <v>3.9722222222222221E-2</v>
      </c>
      <c r="K277" s="61">
        <v>2.3912037037037035E-3</v>
      </c>
      <c r="L277" s="61">
        <v>5.9270833333333335E-2</v>
      </c>
      <c r="M277" s="61">
        <v>1.3564814814814815E-3</v>
      </c>
      <c r="N277" s="61">
        <v>4.6239583333333334E-2</v>
      </c>
      <c r="O277" s="61">
        <v>3.7476851851851855E-3</v>
      </c>
      <c r="P277" s="61">
        <v>0.14898263888888888</v>
      </c>
      <c r="Q277" s="59" t="s">
        <v>2015</v>
      </c>
      <c r="R277" s="8">
        <f t="shared" si="4"/>
        <v>569</v>
      </c>
    </row>
    <row r="278" spans="1:18">
      <c r="A278" s="59">
        <v>277</v>
      </c>
      <c r="B278" s="59">
        <v>55</v>
      </c>
      <c r="C278" s="60" t="s">
        <v>135</v>
      </c>
      <c r="D278" s="59" t="s">
        <v>2016</v>
      </c>
      <c r="E278" s="59" t="s">
        <v>0</v>
      </c>
      <c r="F278" s="59" t="s">
        <v>1905</v>
      </c>
      <c r="G278" s="59" t="s">
        <v>340</v>
      </c>
      <c r="H278" s="59" t="s">
        <v>1501</v>
      </c>
      <c r="I278" s="59">
        <v>250</v>
      </c>
      <c r="J278" s="61">
        <v>3.533796296296296E-2</v>
      </c>
      <c r="K278" s="61">
        <v>3.1793981481481482E-3</v>
      </c>
      <c r="L278" s="61">
        <v>6.2534722222222228E-2</v>
      </c>
      <c r="M278" s="61">
        <v>2.150462962962963E-3</v>
      </c>
      <c r="N278" s="61">
        <v>4.593518518518519E-2</v>
      </c>
      <c r="O278" s="61">
        <v>5.3298611111111107E-3</v>
      </c>
      <c r="P278" s="61">
        <v>0.14914004629629629</v>
      </c>
      <c r="Q278" s="59" t="s">
        <v>2017</v>
      </c>
      <c r="R278" s="8">
        <f t="shared" si="4"/>
        <v>568</v>
      </c>
    </row>
    <row r="279" spans="1:18">
      <c r="A279" s="59">
        <v>278</v>
      </c>
      <c r="B279" s="59">
        <v>645</v>
      </c>
      <c r="C279" s="60" t="s">
        <v>1917</v>
      </c>
      <c r="D279" s="59" t="s">
        <v>2018</v>
      </c>
      <c r="E279" s="59" t="s">
        <v>0</v>
      </c>
      <c r="F279" s="59"/>
      <c r="G279" s="59" t="s">
        <v>319</v>
      </c>
      <c r="H279" s="59" t="s">
        <v>1520</v>
      </c>
      <c r="I279" s="59">
        <v>26</v>
      </c>
      <c r="J279" s="61">
        <v>3.9060185185185184E-2</v>
      </c>
      <c r="K279" s="61">
        <v>1.4803240740740742E-3</v>
      </c>
      <c r="L279" s="61">
        <v>6.7952546296296296E-2</v>
      </c>
      <c r="M279" s="61">
        <v>1.2962962962962963E-3</v>
      </c>
      <c r="N279" s="61">
        <v>4.0248842592592593E-2</v>
      </c>
      <c r="O279" s="61">
        <v>2.7766203703703703E-3</v>
      </c>
      <c r="P279" s="61">
        <v>0.15004050925925927</v>
      </c>
      <c r="Q279" s="59" t="s">
        <v>2019</v>
      </c>
      <c r="R279" s="8">
        <f t="shared" si="4"/>
        <v>565</v>
      </c>
    </row>
    <row r="280" spans="1:18">
      <c r="A280" s="59">
        <v>279</v>
      </c>
      <c r="B280" s="59">
        <v>91</v>
      </c>
      <c r="C280" s="60" t="s">
        <v>135</v>
      </c>
      <c r="D280" s="59" t="s">
        <v>2020</v>
      </c>
      <c r="E280" s="59" t="s">
        <v>0</v>
      </c>
      <c r="F280" s="59"/>
      <c r="G280" s="59" t="s">
        <v>340</v>
      </c>
      <c r="H280" s="59" t="s">
        <v>1501</v>
      </c>
      <c r="I280" s="59">
        <v>251</v>
      </c>
      <c r="J280" s="61">
        <v>3.2770833333333332E-2</v>
      </c>
      <c r="K280" s="61">
        <v>2.5810185185185185E-3</v>
      </c>
      <c r="L280" s="61">
        <v>6.482175925925926E-2</v>
      </c>
      <c r="M280" s="61">
        <v>1.991898148148148E-3</v>
      </c>
      <c r="N280" s="61">
        <v>4.8619212962962961E-2</v>
      </c>
      <c r="O280" s="61">
        <v>4.572916666666667E-3</v>
      </c>
      <c r="P280" s="61">
        <v>0.15078703703703702</v>
      </c>
      <c r="Q280" s="59" t="s">
        <v>2021</v>
      </c>
      <c r="R280" s="8">
        <f t="shared" si="4"/>
        <v>562</v>
      </c>
    </row>
    <row r="281" spans="1:18">
      <c r="A281" s="59">
        <v>280</v>
      </c>
      <c r="B281" s="59">
        <v>150</v>
      </c>
      <c r="C281" s="60" t="s">
        <v>1121</v>
      </c>
      <c r="D281" s="59" t="s">
        <v>2022</v>
      </c>
      <c r="E281" s="59" t="s">
        <v>0</v>
      </c>
      <c r="F281" s="59" t="s">
        <v>1825</v>
      </c>
      <c r="G281" s="59" t="s">
        <v>340</v>
      </c>
      <c r="H281" s="59" t="s">
        <v>1501</v>
      </c>
      <c r="I281" s="59">
        <v>252</v>
      </c>
      <c r="J281" s="61">
        <v>2.5364583333333333E-2</v>
      </c>
      <c r="K281" s="61">
        <v>1.3495370370370369E-3</v>
      </c>
      <c r="L281" s="61">
        <v>6.2776620370370365E-2</v>
      </c>
      <c r="M281" s="61">
        <v>1.7754629629629631E-3</v>
      </c>
      <c r="N281" s="61">
        <v>5.9619212962962964E-2</v>
      </c>
      <c r="O281" s="61">
        <v>3.1250000000000002E-3</v>
      </c>
      <c r="P281" s="61">
        <v>0.15088773148148149</v>
      </c>
      <c r="Q281" s="59" t="s">
        <v>2023</v>
      </c>
      <c r="R281" s="8">
        <f t="shared" si="4"/>
        <v>561</v>
      </c>
    </row>
    <row r="282" spans="1:18">
      <c r="A282" s="59">
        <v>281</v>
      </c>
      <c r="B282" s="59">
        <v>611</v>
      </c>
      <c r="C282" s="60" t="s">
        <v>1917</v>
      </c>
      <c r="D282" s="59" t="s">
        <v>2024</v>
      </c>
      <c r="E282" s="59" t="s">
        <v>0</v>
      </c>
      <c r="F282" s="59"/>
      <c r="G282" s="59" t="s">
        <v>319</v>
      </c>
      <c r="H282" s="59" t="s">
        <v>1520</v>
      </c>
      <c r="I282" s="59">
        <v>27</v>
      </c>
      <c r="J282" s="61">
        <v>3.4685185185185187E-2</v>
      </c>
      <c r="K282" s="61">
        <v>2.0324074074074073E-3</v>
      </c>
      <c r="L282" s="61">
        <v>7.2167824074074072E-2</v>
      </c>
      <c r="M282" s="61">
        <v>1.2662037037037038E-3</v>
      </c>
      <c r="N282" s="61">
        <v>4.199537037037037E-2</v>
      </c>
      <c r="O282" s="61">
        <v>3.2986111111111111E-3</v>
      </c>
      <c r="P282" s="61">
        <v>0.15214930555555556</v>
      </c>
      <c r="Q282" s="59" t="s">
        <v>2025</v>
      </c>
      <c r="R282" s="8">
        <f t="shared" si="4"/>
        <v>557</v>
      </c>
    </row>
    <row r="283" spans="1:18">
      <c r="A283" s="59">
        <v>282</v>
      </c>
      <c r="B283" s="59">
        <v>259</v>
      </c>
      <c r="C283" s="60" t="s">
        <v>1917</v>
      </c>
      <c r="D283" s="59" t="s">
        <v>2026</v>
      </c>
      <c r="E283" s="59" t="s">
        <v>0</v>
      </c>
      <c r="F283" s="59"/>
      <c r="G283" s="59" t="s">
        <v>340</v>
      </c>
      <c r="H283" s="59" t="s">
        <v>1501</v>
      </c>
      <c r="I283" s="59">
        <v>253</v>
      </c>
      <c r="J283" s="61">
        <v>3.4670138888888889E-2</v>
      </c>
      <c r="K283" s="61">
        <v>2.8923611111111112E-3</v>
      </c>
      <c r="L283" s="61">
        <v>7.1356481481481479E-2</v>
      </c>
      <c r="M283" s="61">
        <v>1.244212962962963E-3</v>
      </c>
      <c r="N283" s="61">
        <v>4.2000000000000003E-2</v>
      </c>
      <c r="O283" s="61">
        <v>4.1365740740740738E-3</v>
      </c>
      <c r="P283" s="61">
        <v>0.15216666666666667</v>
      </c>
      <c r="Q283" s="59" t="s">
        <v>2027</v>
      </c>
      <c r="R283" s="8">
        <f t="shared" si="4"/>
        <v>557</v>
      </c>
    </row>
    <row r="284" spans="1:18">
      <c r="A284" s="59">
        <v>283</v>
      </c>
      <c r="B284" s="59">
        <v>60</v>
      </c>
      <c r="C284" s="60" t="s">
        <v>135</v>
      </c>
      <c r="D284" s="59" t="s">
        <v>2028</v>
      </c>
      <c r="E284" s="59" t="s">
        <v>0</v>
      </c>
      <c r="F284" s="59"/>
      <c r="G284" s="59" t="s">
        <v>340</v>
      </c>
      <c r="H284" s="59" t="s">
        <v>1501</v>
      </c>
      <c r="I284" s="59">
        <v>254</v>
      </c>
      <c r="J284" s="61">
        <v>4.0665509259259262E-2</v>
      </c>
      <c r="K284" s="61">
        <v>2.7222222222222222E-3</v>
      </c>
      <c r="L284" s="61">
        <v>6.2915509259259261E-2</v>
      </c>
      <c r="M284" s="61">
        <v>1.9328703703703704E-3</v>
      </c>
      <c r="N284" s="61">
        <v>4.4695601851851847E-2</v>
      </c>
      <c r="O284" s="61">
        <v>4.6550925925925926E-3</v>
      </c>
      <c r="P284" s="61">
        <v>0.1529351851851852</v>
      </c>
      <c r="Q284" s="59" t="s">
        <v>2029</v>
      </c>
      <c r="R284" s="8">
        <f t="shared" si="4"/>
        <v>554</v>
      </c>
    </row>
    <row r="285" spans="1:18">
      <c r="A285" s="59">
        <v>284</v>
      </c>
      <c r="B285" s="59">
        <v>131</v>
      </c>
      <c r="C285" s="60" t="s">
        <v>135</v>
      </c>
      <c r="D285" s="59" t="s">
        <v>2030</v>
      </c>
      <c r="E285" s="59" t="s">
        <v>0</v>
      </c>
      <c r="F285" s="59"/>
      <c r="G285" s="59" t="s">
        <v>340</v>
      </c>
      <c r="H285" s="59" t="s">
        <v>1501</v>
      </c>
      <c r="I285" s="59">
        <v>255</v>
      </c>
      <c r="J285" s="61">
        <v>3.1966435185185188E-2</v>
      </c>
      <c r="K285" s="61">
        <v>2.5057870370370368E-3</v>
      </c>
      <c r="L285" s="61">
        <v>6.4696759259259259E-2</v>
      </c>
      <c r="M285" s="61">
        <v>2.5625000000000001E-3</v>
      </c>
      <c r="N285" s="61">
        <v>5.1287037037037034E-2</v>
      </c>
      <c r="O285" s="61">
        <v>5.0682870370370369E-3</v>
      </c>
      <c r="P285" s="61">
        <v>0.15302083333333333</v>
      </c>
      <c r="Q285" s="59" t="s">
        <v>2031</v>
      </c>
      <c r="R285" s="8">
        <f t="shared" si="4"/>
        <v>554</v>
      </c>
    </row>
    <row r="286" spans="1:18">
      <c r="A286" s="59">
        <v>285</v>
      </c>
      <c r="B286" s="59">
        <v>631</v>
      </c>
      <c r="C286" s="60" t="s">
        <v>135</v>
      </c>
      <c r="D286" s="59" t="s">
        <v>1003</v>
      </c>
      <c r="E286" s="59" t="s">
        <v>1004</v>
      </c>
      <c r="F286" s="59" t="s">
        <v>1005</v>
      </c>
      <c r="G286" s="59" t="s">
        <v>319</v>
      </c>
      <c r="H286" s="59" t="s">
        <v>1520</v>
      </c>
      <c r="I286" s="59">
        <v>28</v>
      </c>
      <c r="J286" s="61">
        <v>2.8804398148148145E-2</v>
      </c>
      <c r="K286" s="61">
        <v>2.359953703703704E-3</v>
      </c>
      <c r="L286" s="61">
        <v>6.4309027777777777E-2</v>
      </c>
      <c r="M286" s="61">
        <v>2.3136574074074075E-3</v>
      </c>
      <c r="N286" s="61">
        <v>5.5311342592592586E-2</v>
      </c>
      <c r="O286" s="61">
        <v>4.673611111111111E-3</v>
      </c>
      <c r="P286" s="61">
        <v>0.15309953703703702</v>
      </c>
      <c r="Q286" s="59" t="s">
        <v>2032</v>
      </c>
      <c r="R286" s="8">
        <f t="shared" si="4"/>
        <v>553</v>
      </c>
    </row>
    <row r="287" spans="1:18">
      <c r="A287" s="59">
        <v>286</v>
      </c>
      <c r="B287" s="59">
        <v>136</v>
      </c>
      <c r="C287" s="60" t="s">
        <v>135</v>
      </c>
      <c r="D287" s="59" t="s">
        <v>2033</v>
      </c>
      <c r="E287" s="59" t="s">
        <v>0</v>
      </c>
      <c r="F287" s="59"/>
      <c r="G287" s="59" t="s">
        <v>340</v>
      </c>
      <c r="H287" s="59" t="s">
        <v>1501</v>
      </c>
      <c r="I287" s="59">
        <v>256</v>
      </c>
      <c r="J287" s="61">
        <v>3.3427083333333329E-2</v>
      </c>
      <c r="K287" s="61">
        <v>2.5231481481481481E-3</v>
      </c>
      <c r="L287" s="61">
        <v>7.0184027777777769E-2</v>
      </c>
      <c r="M287" s="61">
        <v>1.7407407407407408E-3</v>
      </c>
      <c r="N287" s="61">
        <v>4.5876157407407407E-2</v>
      </c>
      <c r="O287" s="61">
        <v>4.2638888888888882E-3</v>
      </c>
      <c r="P287" s="61">
        <v>0.15375347222222221</v>
      </c>
      <c r="Q287" s="59" t="s">
        <v>2034</v>
      </c>
      <c r="R287" s="8">
        <f t="shared" si="4"/>
        <v>551</v>
      </c>
    </row>
    <row r="288" spans="1:18">
      <c r="A288" s="59">
        <v>287</v>
      </c>
      <c r="B288" s="59">
        <v>608</v>
      </c>
      <c r="C288" s="60" t="s">
        <v>135</v>
      </c>
      <c r="D288" s="59" t="s">
        <v>671</v>
      </c>
      <c r="E288" s="59" t="s">
        <v>672</v>
      </c>
      <c r="F288" s="59" t="s">
        <v>199</v>
      </c>
      <c r="G288" s="59" t="s">
        <v>319</v>
      </c>
      <c r="H288" s="59" t="s">
        <v>1520</v>
      </c>
      <c r="I288" s="59">
        <v>29</v>
      </c>
      <c r="J288" s="61">
        <v>2.9395833333333336E-2</v>
      </c>
      <c r="K288" s="61">
        <v>2.6643518518518518E-3</v>
      </c>
      <c r="L288" s="61">
        <v>7.0637731481481489E-2</v>
      </c>
      <c r="M288" s="61">
        <v>1.5752314814814815E-3</v>
      </c>
      <c r="N288" s="61">
        <v>5.1381944444444438E-2</v>
      </c>
      <c r="O288" s="61">
        <v>4.2395833333333331E-3</v>
      </c>
      <c r="P288" s="61">
        <v>0.15565740740740741</v>
      </c>
      <c r="Q288" s="59" t="s">
        <v>2035</v>
      </c>
      <c r="R288" s="8">
        <f t="shared" si="4"/>
        <v>544</v>
      </c>
    </row>
    <row r="289" spans="1:18">
      <c r="A289" s="59">
        <v>288</v>
      </c>
      <c r="B289" s="59">
        <v>127</v>
      </c>
      <c r="C289" s="60" t="s">
        <v>135</v>
      </c>
      <c r="D289" s="59" t="s">
        <v>2036</v>
      </c>
      <c r="E289" s="59" t="s">
        <v>0</v>
      </c>
      <c r="F289" s="59" t="s">
        <v>2037</v>
      </c>
      <c r="G289" s="59" t="s">
        <v>340</v>
      </c>
      <c r="H289" s="59" t="s">
        <v>1501</v>
      </c>
      <c r="I289" s="59">
        <v>257</v>
      </c>
      <c r="J289" s="61">
        <v>3.6657407407407402E-2</v>
      </c>
      <c r="K289" s="61">
        <v>2.0335648148148149E-3</v>
      </c>
      <c r="L289" s="61">
        <v>7.0086805555555562E-2</v>
      </c>
      <c r="M289" s="61">
        <v>1.2199074074074074E-3</v>
      </c>
      <c r="N289" s="61">
        <v>4.7025462962962963E-2</v>
      </c>
      <c r="O289" s="61">
        <v>3.2534722222222223E-3</v>
      </c>
      <c r="P289" s="61">
        <v>0.15702430555555555</v>
      </c>
      <c r="Q289" s="59" t="s">
        <v>2038</v>
      </c>
      <c r="R289" s="8">
        <f t="shared" si="4"/>
        <v>540</v>
      </c>
    </row>
    <row r="290" spans="1:18">
      <c r="A290" s="59">
        <v>289</v>
      </c>
      <c r="B290" s="59">
        <v>601</v>
      </c>
      <c r="C290" s="60" t="s">
        <v>140</v>
      </c>
      <c r="D290" s="59" t="s">
        <v>2039</v>
      </c>
      <c r="E290" s="59" t="s">
        <v>0</v>
      </c>
      <c r="F290" s="59" t="s">
        <v>1568</v>
      </c>
      <c r="G290" s="59" t="s">
        <v>319</v>
      </c>
      <c r="H290" s="59" t="s">
        <v>1520</v>
      </c>
      <c r="I290" s="59">
        <v>30</v>
      </c>
      <c r="J290" s="61">
        <v>3.008564814814815E-2</v>
      </c>
      <c r="K290" s="61">
        <v>3.1944444444444446E-3</v>
      </c>
      <c r="L290" s="61">
        <v>7.3254629629629628E-2</v>
      </c>
      <c r="M290" s="61">
        <v>1.8148148148148149E-3</v>
      </c>
      <c r="N290" s="61">
        <v>4.9046296296296303E-2</v>
      </c>
      <c r="O290" s="61">
        <v>5.0092592592592593E-3</v>
      </c>
      <c r="P290" s="61">
        <v>0.15739814814814815</v>
      </c>
      <c r="Q290" s="59" t="s">
        <v>2040</v>
      </c>
      <c r="R290" s="8">
        <f t="shared" si="4"/>
        <v>538</v>
      </c>
    </row>
    <row r="291" spans="1:18">
      <c r="A291" s="59">
        <v>290</v>
      </c>
      <c r="B291" s="59">
        <v>647</v>
      </c>
      <c r="C291" s="60" t="s">
        <v>135</v>
      </c>
      <c r="D291" s="59" t="s">
        <v>2041</v>
      </c>
      <c r="E291" s="59" t="s">
        <v>0</v>
      </c>
      <c r="F291" s="59"/>
      <c r="G291" s="59" t="s">
        <v>319</v>
      </c>
      <c r="H291" s="59" t="s">
        <v>1520</v>
      </c>
      <c r="I291" s="59">
        <v>31</v>
      </c>
      <c r="J291" s="61">
        <v>3.1020833333333331E-2</v>
      </c>
      <c r="K291" s="61">
        <v>2.6574074074074074E-3</v>
      </c>
      <c r="L291" s="61">
        <v>7.4292824074074074E-2</v>
      </c>
      <c r="M291" s="61">
        <v>1.8078703703703703E-3</v>
      </c>
      <c r="N291" s="61">
        <v>4.8943287037037035E-2</v>
      </c>
      <c r="O291" s="61">
        <v>4.4652777777777781E-3</v>
      </c>
      <c r="P291" s="61">
        <v>0.15872569444444445</v>
      </c>
      <c r="Q291" s="59" t="s">
        <v>2042</v>
      </c>
      <c r="R291" s="8">
        <f t="shared" si="4"/>
        <v>534</v>
      </c>
    </row>
    <row r="292" spans="1:18">
      <c r="A292" s="59">
        <v>291</v>
      </c>
      <c r="B292" s="59">
        <v>114</v>
      </c>
      <c r="C292" s="60" t="s">
        <v>1848</v>
      </c>
      <c r="D292" s="59" t="s">
        <v>2043</v>
      </c>
      <c r="E292" s="59" t="s">
        <v>0</v>
      </c>
      <c r="F292" s="59" t="s">
        <v>2002</v>
      </c>
      <c r="G292" s="59" t="s">
        <v>340</v>
      </c>
      <c r="H292" s="59" t="s">
        <v>1501</v>
      </c>
      <c r="I292" s="59">
        <v>258</v>
      </c>
      <c r="J292" s="61">
        <v>2.435185185185185E-2</v>
      </c>
      <c r="K292" s="61">
        <v>2.7905092592592591E-3</v>
      </c>
      <c r="L292" s="61">
        <v>7.214351851851851E-2</v>
      </c>
      <c r="M292" s="61">
        <v>3.2256944444444442E-3</v>
      </c>
      <c r="N292" s="61">
        <v>5.8751157407407412E-2</v>
      </c>
      <c r="O292" s="61">
        <v>6.0162037037037033E-3</v>
      </c>
      <c r="P292" s="61">
        <v>0.16126504629629629</v>
      </c>
      <c r="Q292" s="59" t="s">
        <v>2044</v>
      </c>
      <c r="R292" s="8">
        <f t="shared" si="4"/>
        <v>525</v>
      </c>
    </row>
    <row r="293" spans="1:18">
      <c r="A293" s="59">
        <v>292</v>
      </c>
      <c r="B293" s="59">
        <v>266</v>
      </c>
      <c r="C293" s="60" t="s">
        <v>1247</v>
      </c>
      <c r="D293" s="59" t="s">
        <v>2045</v>
      </c>
      <c r="E293" s="59" t="s">
        <v>2046</v>
      </c>
      <c r="F293" s="59" t="s">
        <v>2047</v>
      </c>
      <c r="G293" s="59" t="s">
        <v>340</v>
      </c>
      <c r="H293" s="59" t="s">
        <v>1501</v>
      </c>
      <c r="I293" s="59">
        <v>259</v>
      </c>
      <c r="J293" s="61">
        <v>3.8782407407407411E-2</v>
      </c>
      <c r="K293" s="61">
        <v>2.8020833333333331E-3</v>
      </c>
      <c r="L293" s="61">
        <v>7.0690972222222218E-2</v>
      </c>
      <c r="M293" s="61">
        <v>2.2372685185185186E-3</v>
      </c>
      <c r="N293" s="61">
        <v>8.2341435185185191E-2</v>
      </c>
      <c r="O293" s="61">
        <v>5.0393518518518513E-3</v>
      </c>
      <c r="P293" s="61">
        <v>0.19685532407407408</v>
      </c>
      <c r="Q293" s="59" t="s">
        <v>2048</v>
      </c>
      <c r="R293" s="8">
        <f t="shared" si="4"/>
        <v>430</v>
      </c>
    </row>
    <row r="294" spans="1:18" ht="29.1">
      <c r="A294" s="59" t="s">
        <v>683</v>
      </c>
      <c r="B294" s="59">
        <v>313</v>
      </c>
      <c r="C294" s="60" t="s">
        <v>135</v>
      </c>
      <c r="D294" s="59" t="s">
        <v>477</v>
      </c>
      <c r="E294" s="59" t="s">
        <v>478</v>
      </c>
      <c r="F294" s="59"/>
      <c r="G294" s="59" t="s">
        <v>340</v>
      </c>
      <c r="H294" s="59" t="s">
        <v>1501</v>
      </c>
      <c r="I294" s="59"/>
      <c r="J294" s="61">
        <v>2.6465277777777775E-2</v>
      </c>
      <c r="K294" s="61">
        <v>9.6990740740740739E-4</v>
      </c>
      <c r="L294" s="59"/>
      <c r="M294" s="59"/>
      <c r="N294" s="59"/>
      <c r="O294" s="59"/>
      <c r="P294" s="59" t="s">
        <v>686</v>
      </c>
      <c r="Q294" s="59"/>
      <c r="R294" s="8">
        <f t="shared" si="4"/>
        <v>0</v>
      </c>
    </row>
    <row r="295" spans="1:18" ht="29.1">
      <c r="A295" s="59" t="s">
        <v>683</v>
      </c>
      <c r="B295" s="59">
        <v>148</v>
      </c>
      <c r="C295" s="60" t="s">
        <v>1121</v>
      </c>
      <c r="D295" s="59" t="s">
        <v>2049</v>
      </c>
      <c r="E295" s="59" t="s">
        <v>0</v>
      </c>
      <c r="F295" s="59" t="s">
        <v>1825</v>
      </c>
      <c r="G295" s="59" t="s">
        <v>340</v>
      </c>
      <c r="H295" s="59" t="s">
        <v>1501</v>
      </c>
      <c r="I295" s="59"/>
      <c r="J295" s="61">
        <v>3.0565972222222224E-2</v>
      </c>
      <c r="K295" s="61">
        <v>1.9780092592592592E-3</v>
      </c>
      <c r="L295" s="59"/>
      <c r="M295" s="59"/>
      <c r="N295" s="59"/>
      <c r="O295" s="59"/>
      <c r="P295" s="59" t="s">
        <v>686</v>
      </c>
      <c r="Q295" s="59"/>
      <c r="R295" s="8">
        <f t="shared" si="4"/>
        <v>0</v>
      </c>
    </row>
    <row r="296" spans="1:18" ht="29.1">
      <c r="A296" s="59" t="s">
        <v>683</v>
      </c>
      <c r="B296" s="59">
        <v>265</v>
      </c>
      <c r="C296" s="60" t="s">
        <v>135</v>
      </c>
      <c r="D296" s="59" t="s">
        <v>2050</v>
      </c>
      <c r="E296" s="59" t="s">
        <v>0</v>
      </c>
      <c r="F296" s="59" t="s">
        <v>2051</v>
      </c>
      <c r="G296" s="59" t="s">
        <v>340</v>
      </c>
      <c r="H296" s="59" t="s">
        <v>1501</v>
      </c>
      <c r="I296" s="59"/>
      <c r="J296" s="61">
        <v>3.2185185185185185E-2</v>
      </c>
      <c r="K296" s="59"/>
      <c r="L296" s="59"/>
      <c r="M296" s="59"/>
      <c r="N296" s="59"/>
      <c r="O296" s="59"/>
      <c r="P296" s="59" t="s">
        <v>686</v>
      </c>
      <c r="Q296" s="59"/>
      <c r="R296" s="8">
        <f t="shared" si="4"/>
        <v>0</v>
      </c>
    </row>
    <row r="297" spans="1:18" ht="29.1">
      <c r="A297" s="59" t="s">
        <v>683</v>
      </c>
      <c r="B297" s="59">
        <v>189</v>
      </c>
      <c r="C297" s="60" t="s">
        <v>135</v>
      </c>
      <c r="D297" s="59" t="s">
        <v>208</v>
      </c>
      <c r="E297" s="59" t="s">
        <v>209</v>
      </c>
      <c r="F297" s="59" t="s">
        <v>199</v>
      </c>
      <c r="G297" s="59" t="s">
        <v>340</v>
      </c>
      <c r="H297" s="59" t="s">
        <v>1501</v>
      </c>
      <c r="I297" s="59"/>
      <c r="J297" s="61">
        <v>2.3730324074074077E-2</v>
      </c>
      <c r="K297" s="61">
        <v>1.199074074074074E-3</v>
      </c>
      <c r="L297" s="59"/>
      <c r="M297" s="59"/>
      <c r="N297" s="59"/>
      <c r="O297" s="59"/>
      <c r="P297" s="59" t="s">
        <v>686</v>
      </c>
      <c r="Q297" s="59"/>
      <c r="R297" s="8">
        <f t="shared" si="4"/>
        <v>0</v>
      </c>
    </row>
    <row r="298" spans="1:18" ht="29.1">
      <c r="A298" s="59" t="s">
        <v>683</v>
      </c>
      <c r="B298" s="59">
        <v>626</v>
      </c>
      <c r="C298" s="60" t="s">
        <v>135</v>
      </c>
      <c r="D298" s="59" t="s">
        <v>2052</v>
      </c>
      <c r="E298" s="59" t="s">
        <v>0</v>
      </c>
      <c r="F298" s="59"/>
      <c r="G298" s="59" t="s">
        <v>319</v>
      </c>
      <c r="H298" s="59" t="s">
        <v>1520</v>
      </c>
      <c r="I298" s="59"/>
      <c r="J298" s="59"/>
      <c r="K298" s="59"/>
      <c r="L298" s="59"/>
      <c r="M298" s="59"/>
      <c r="N298" s="59"/>
      <c r="O298" s="59"/>
      <c r="P298" s="59" t="s">
        <v>1216</v>
      </c>
      <c r="Q298" s="59"/>
      <c r="R298" s="8">
        <f t="shared" si="4"/>
        <v>0</v>
      </c>
    </row>
    <row r="299" spans="1:18" ht="29.1">
      <c r="A299" s="59" t="s">
        <v>683</v>
      </c>
      <c r="B299" s="59">
        <v>109</v>
      </c>
      <c r="C299" s="60" t="s">
        <v>1883</v>
      </c>
      <c r="D299" s="59" t="s">
        <v>2053</v>
      </c>
      <c r="E299" s="59" t="s">
        <v>0</v>
      </c>
      <c r="F299" s="59"/>
      <c r="G299" s="59" t="s">
        <v>340</v>
      </c>
      <c r="H299" s="59" t="s">
        <v>1501</v>
      </c>
      <c r="I299" s="59"/>
      <c r="J299" s="59"/>
      <c r="K299" s="59"/>
      <c r="L299" s="59"/>
      <c r="M299" s="59"/>
      <c r="N299" s="59"/>
      <c r="O299" s="59"/>
      <c r="P299" s="59" t="s">
        <v>1216</v>
      </c>
      <c r="Q299" s="59"/>
      <c r="R299" s="8">
        <f t="shared" si="4"/>
        <v>0</v>
      </c>
    </row>
    <row r="300" spans="1:18" ht="29.1">
      <c r="A300" s="59" t="s">
        <v>683</v>
      </c>
      <c r="B300" s="59">
        <v>24</v>
      </c>
      <c r="C300" s="60" t="s">
        <v>135</v>
      </c>
      <c r="D300" s="59" t="s">
        <v>2054</v>
      </c>
      <c r="E300" s="59" t="s">
        <v>0</v>
      </c>
      <c r="F300" s="59" t="s">
        <v>1005</v>
      </c>
      <c r="G300" s="59" t="s">
        <v>340</v>
      </c>
      <c r="H300" s="59" t="s">
        <v>1501</v>
      </c>
      <c r="I300" s="59"/>
      <c r="J300" s="59"/>
      <c r="K300" s="59"/>
      <c r="L300" s="59"/>
      <c r="M300" s="59"/>
      <c r="N300" s="59"/>
      <c r="O300" s="59"/>
      <c r="P300" s="59" t="s">
        <v>1216</v>
      </c>
      <c r="Q300" s="59"/>
      <c r="R300" s="8">
        <f t="shared" si="4"/>
        <v>0</v>
      </c>
    </row>
    <row r="301" spans="1:18" ht="29.1">
      <c r="A301" s="59" t="s">
        <v>683</v>
      </c>
      <c r="B301" s="59">
        <v>171</v>
      </c>
      <c r="C301" s="60" t="s">
        <v>135</v>
      </c>
      <c r="D301" s="59" t="s">
        <v>2055</v>
      </c>
      <c r="E301" s="59" t="s">
        <v>0</v>
      </c>
      <c r="F301" s="59"/>
      <c r="G301" s="59" t="s">
        <v>340</v>
      </c>
      <c r="H301" s="59" t="s">
        <v>1501</v>
      </c>
      <c r="I301" s="59"/>
      <c r="J301" s="61">
        <v>3.5750000000000004E-2</v>
      </c>
      <c r="K301" s="61">
        <v>1.773148148148148E-3</v>
      </c>
      <c r="L301" s="59"/>
      <c r="M301" s="59"/>
      <c r="N301" s="59"/>
      <c r="O301" s="59"/>
      <c r="P301" s="59" t="s">
        <v>1216</v>
      </c>
      <c r="Q301" s="59"/>
      <c r="R301" s="8">
        <f t="shared" si="4"/>
        <v>0</v>
      </c>
    </row>
    <row r="302" spans="1:18">
      <c r="A302" s="59">
        <v>1</v>
      </c>
      <c r="B302" s="59">
        <v>2134</v>
      </c>
      <c r="C302" s="60" t="s">
        <v>135</v>
      </c>
      <c r="D302" s="59" t="s">
        <v>2056</v>
      </c>
      <c r="E302" s="59" t="s">
        <v>0</v>
      </c>
      <c r="F302" s="59" t="s">
        <v>2057</v>
      </c>
      <c r="G302" s="59" t="s">
        <v>340</v>
      </c>
      <c r="H302" s="59"/>
      <c r="I302" s="59"/>
      <c r="J302" s="61">
        <v>8.2905092592592579E-3</v>
      </c>
      <c r="K302" s="61">
        <v>6.8749999999999996E-4</v>
      </c>
      <c r="L302" s="61">
        <v>2.1971064814814815E-2</v>
      </c>
      <c r="M302" s="61">
        <v>5.2662037037037033E-4</v>
      </c>
      <c r="N302" s="61">
        <v>1.2844907407407407E-2</v>
      </c>
      <c r="O302" s="61">
        <v>1.2141203703703704E-3</v>
      </c>
      <c r="P302" s="61">
        <v>4.4324074074074071E-2</v>
      </c>
      <c r="Q302" s="59"/>
      <c r="R302" s="8">
        <f>IFERROR(ROUND($P$302/P302*900,0),0)</f>
        <v>900</v>
      </c>
    </row>
    <row r="303" spans="1:18">
      <c r="A303" s="59">
        <v>2</v>
      </c>
      <c r="B303" s="59">
        <v>2115</v>
      </c>
      <c r="C303" s="60" t="s">
        <v>140</v>
      </c>
      <c r="D303" s="59" t="s">
        <v>2058</v>
      </c>
      <c r="E303" s="59" t="s">
        <v>0</v>
      </c>
      <c r="F303" s="59" t="s">
        <v>2059</v>
      </c>
      <c r="G303" s="59" t="s">
        <v>340</v>
      </c>
      <c r="H303" s="59"/>
      <c r="I303" s="59"/>
      <c r="J303" s="61">
        <v>7.6666666666666662E-3</v>
      </c>
      <c r="K303" s="61">
        <v>6.122685185185185E-4</v>
      </c>
      <c r="L303" s="61">
        <v>2.2200231481481481E-2</v>
      </c>
      <c r="M303" s="61">
        <v>5.0925925925925921E-4</v>
      </c>
      <c r="N303" s="61">
        <v>1.4577546296296297E-2</v>
      </c>
      <c r="O303" s="61">
        <v>1.1215277777777779E-3</v>
      </c>
      <c r="P303" s="61">
        <v>4.5568287037037039E-2</v>
      </c>
      <c r="Q303" s="59" t="s">
        <v>2060</v>
      </c>
      <c r="R303" s="8">
        <f t="shared" ref="R303:R366" si="5">IFERROR(ROUND($P$302/P303*900,0),0)</f>
        <v>875</v>
      </c>
    </row>
    <row r="304" spans="1:18">
      <c r="A304" s="59">
        <v>3</v>
      </c>
      <c r="B304" s="59">
        <v>2069</v>
      </c>
      <c r="C304" s="60" t="s">
        <v>135</v>
      </c>
      <c r="D304" s="59" t="s">
        <v>2061</v>
      </c>
      <c r="E304" s="59" t="s">
        <v>2062</v>
      </c>
      <c r="F304" s="59" t="s">
        <v>2063</v>
      </c>
      <c r="G304" s="59" t="s">
        <v>340</v>
      </c>
      <c r="H304" s="59"/>
      <c r="I304" s="59"/>
      <c r="J304" s="61">
        <v>7.9236111111111122E-3</v>
      </c>
      <c r="K304" s="61">
        <v>7.4305555555555561E-4</v>
      </c>
      <c r="L304" s="61">
        <v>2.2295138888888889E-2</v>
      </c>
      <c r="M304" s="61">
        <v>7.1064814814814819E-4</v>
      </c>
      <c r="N304" s="61">
        <v>1.5258101851851851E-2</v>
      </c>
      <c r="O304" s="61">
        <v>1.4537037037037036E-3</v>
      </c>
      <c r="P304" s="61">
        <v>4.6932870370370368E-2</v>
      </c>
      <c r="Q304" s="59" t="s">
        <v>2064</v>
      </c>
      <c r="R304" s="8">
        <f t="shared" si="5"/>
        <v>850</v>
      </c>
    </row>
    <row r="305" spans="1:18">
      <c r="A305" s="59">
        <v>4</v>
      </c>
      <c r="B305" s="59">
        <v>2110</v>
      </c>
      <c r="C305" s="60" t="s">
        <v>135</v>
      </c>
      <c r="D305" s="59" t="s">
        <v>2065</v>
      </c>
      <c r="E305" s="59" t="s">
        <v>0</v>
      </c>
      <c r="F305" s="59" t="s">
        <v>2066</v>
      </c>
      <c r="G305" s="59" t="s">
        <v>340</v>
      </c>
      <c r="H305" s="59"/>
      <c r="I305" s="59"/>
      <c r="J305" s="61">
        <v>7.9328703703703696E-3</v>
      </c>
      <c r="K305" s="61">
        <v>6.3541666666666662E-4</v>
      </c>
      <c r="L305" s="61">
        <v>2.4096064814814817E-2</v>
      </c>
      <c r="M305" s="61">
        <v>5.4166666666666664E-4</v>
      </c>
      <c r="N305" s="61">
        <v>1.4166666666666666E-2</v>
      </c>
      <c r="O305" s="61">
        <v>1.1770833333333334E-3</v>
      </c>
      <c r="P305" s="61">
        <v>4.7375E-2</v>
      </c>
      <c r="Q305" s="59" t="s">
        <v>2067</v>
      </c>
      <c r="R305" s="8">
        <f t="shared" si="5"/>
        <v>842</v>
      </c>
    </row>
    <row r="306" spans="1:18">
      <c r="A306" s="59">
        <v>5</v>
      </c>
      <c r="B306" s="59">
        <v>2052</v>
      </c>
      <c r="C306" s="60" t="s">
        <v>135</v>
      </c>
      <c r="D306" s="59" t="s">
        <v>704</v>
      </c>
      <c r="E306" s="59" t="s">
        <v>705</v>
      </c>
      <c r="F306" s="59" t="s">
        <v>706</v>
      </c>
      <c r="G306" s="59" t="s">
        <v>340</v>
      </c>
      <c r="H306" s="59"/>
      <c r="I306" s="59"/>
      <c r="J306" s="61">
        <v>1.027662037037037E-2</v>
      </c>
      <c r="K306" s="61">
        <v>7.8240740740740734E-4</v>
      </c>
      <c r="L306" s="61">
        <v>2.2908564814814816E-2</v>
      </c>
      <c r="M306" s="61">
        <v>6.7939814814814816E-4</v>
      </c>
      <c r="N306" s="61">
        <v>1.2856481481481481E-2</v>
      </c>
      <c r="O306" s="61">
        <v>1.4618055555555556E-3</v>
      </c>
      <c r="P306" s="61">
        <v>4.7504629629629626E-2</v>
      </c>
      <c r="Q306" s="59" t="s">
        <v>2068</v>
      </c>
      <c r="R306" s="8">
        <f t="shared" si="5"/>
        <v>840</v>
      </c>
    </row>
    <row r="307" spans="1:18">
      <c r="A307" s="59">
        <v>6</v>
      </c>
      <c r="B307" s="59">
        <v>2133</v>
      </c>
      <c r="C307" s="60" t="s">
        <v>135</v>
      </c>
      <c r="D307" s="59" t="s">
        <v>2069</v>
      </c>
      <c r="E307" s="59" t="s">
        <v>0</v>
      </c>
      <c r="F307" s="59" t="s">
        <v>148</v>
      </c>
      <c r="G307" s="59" t="s">
        <v>340</v>
      </c>
      <c r="H307" s="59"/>
      <c r="I307" s="59"/>
      <c r="J307" s="61">
        <v>9.2418981481481484E-3</v>
      </c>
      <c r="K307" s="61">
        <v>1.2453703703703702E-3</v>
      </c>
      <c r="L307" s="61">
        <v>2.3050925925925926E-2</v>
      </c>
      <c r="M307" s="61">
        <v>1.0902777777777779E-3</v>
      </c>
      <c r="N307" s="61">
        <v>1.4275462962962964E-2</v>
      </c>
      <c r="O307" s="61">
        <v>2.3356481481481483E-3</v>
      </c>
      <c r="P307" s="61">
        <v>4.890509259259259E-2</v>
      </c>
      <c r="Q307" s="59" t="s">
        <v>2070</v>
      </c>
      <c r="R307" s="8">
        <f t="shared" si="5"/>
        <v>816</v>
      </c>
    </row>
    <row r="308" spans="1:18">
      <c r="A308" s="59">
        <v>7</v>
      </c>
      <c r="B308" s="59">
        <v>2532</v>
      </c>
      <c r="C308" s="60" t="s">
        <v>135</v>
      </c>
      <c r="D308" s="59" t="s">
        <v>2071</v>
      </c>
      <c r="E308" s="59" t="s">
        <v>0</v>
      </c>
      <c r="F308" s="59" t="s">
        <v>2057</v>
      </c>
      <c r="G308" s="59" t="s">
        <v>319</v>
      </c>
      <c r="H308" s="59"/>
      <c r="I308" s="59"/>
      <c r="J308" s="61">
        <v>7.9699074074074082E-3</v>
      </c>
      <c r="K308" s="61">
        <v>6.6203703703703704E-4</v>
      </c>
      <c r="L308" s="61">
        <v>2.4578703703703703E-2</v>
      </c>
      <c r="M308" s="61">
        <v>5.9374999999999999E-4</v>
      </c>
      <c r="N308" s="61">
        <v>1.5378472222222222E-2</v>
      </c>
      <c r="O308" s="61">
        <v>1.255787037037037E-3</v>
      </c>
      <c r="P308" s="61">
        <v>4.9185185185185186E-2</v>
      </c>
      <c r="Q308" s="59" t="s">
        <v>2072</v>
      </c>
      <c r="R308" s="8">
        <f t="shared" si="5"/>
        <v>811</v>
      </c>
    </row>
    <row r="309" spans="1:18">
      <c r="A309" s="59">
        <v>8</v>
      </c>
      <c r="B309" s="59">
        <v>2079</v>
      </c>
      <c r="C309" s="60" t="s">
        <v>135</v>
      </c>
      <c r="D309" s="59" t="s">
        <v>708</v>
      </c>
      <c r="E309" s="59" t="s">
        <v>709</v>
      </c>
      <c r="F309" s="59" t="s">
        <v>138</v>
      </c>
      <c r="G309" s="59" t="s">
        <v>340</v>
      </c>
      <c r="H309" s="59"/>
      <c r="I309" s="59"/>
      <c r="J309" s="61">
        <v>9.4699074074074078E-3</v>
      </c>
      <c r="K309" s="61">
        <v>9.9652777777777782E-4</v>
      </c>
      <c r="L309" s="61">
        <v>2.3350694444444445E-2</v>
      </c>
      <c r="M309" s="61">
        <v>7.418981481481481E-4</v>
      </c>
      <c r="N309" s="61">
        <v>1.4743055555555554E-2</v>
      </c>
      <c r="O309" s="61">
        <v>1.7384259259259258E-3</v>
      </c>
      <c r="P309" s="61">
        <v>4.9305555555555554E-2</v>
      </c>
      <c r="Q309" s="59" t="s">
        <v>2073</v>
      </c>
      <c r="R309" s="8">
        <f t="shared" si="5"/>
        <v>809</v>
      </c>
    </row>
    <row r="310" spans="1:18">
      <c r="A310" s="59">
        <v>9</v>
      </c>
      <c r="B310" s="59">
        <v>2002</v>
      </c>
      <c r="C310" s="60" t="s">
        <v>135</v>
      </c>
      <c r="D310" s="59" t="s">
        <v>2074</v>
      </c>
      <c r="E310" s="59" t="s">
        <v>2075</v>
      </c>
      <c r="F310" s="59" t="s">
        <v>199</v>
      </c>
      <c r="G310" s="59" t="s">
        <v>340</v>
      </c>
      <c r="H310" s="59"/>
      <c r="I310" s="59"/>
      <c r="J310" s="61">
        <v>9.8391203703703713E-3</v>
      </c>
      <c r="K310" s="61">
        <v>7.256944444444445E-4</v>
      </c>
      <c r="L310" s="61">
        <v>2.2987268518518518E-2</v>
      </c>
      <c r="M310" s="61">
        <v>9.8611111111111122E-4</v>
      </c>
      <c r="N310" s="61">
        <v>1.5192129629629628E-2</v>
      </c>
      <c r="O310" s="61">
        <v>1.7118055555555556E-3</v>
      </c>
      <c r="P310" s="61">
        <v>4.9732638888888882E-2</v>
      </c>
      <c r="Q310" s="59" t="s">
        <v>2076</v>
      </c>
      <c r="R310" s="8">
        <f t="shared" si="5"/>
        <v>802</v>
      </c>
    </row>
    <row r="311" spans="1:18">
      <c r="A311" s="59">
        <v>10</v>
      </c>
      <c r="B311" s="59">
        <v>2027</v>
      </c>
      <c r="C311" s="60" t="s">
        <v>135</v>
      </c>
      <c r="D311" s="59" t="s">
        <v>197</v>
      </c>
      <c r="E311" s="59" t="s">
        <v>198</v>
      </c>
      <c r="F311" s="59" t="s">
        <v>199</v>
      </c>
      <c r="G311" s="59" t="s">
        <v>340</v>
      </c>
      <c r="H311" s="59"/>
      <c r="I311" s="59"/>
      <c r="J311" s="61">
        <v>1.1408564814814816E-2</v>
      </c>
      <c r="K311" s="61">
        <v>1.1168981481481481E-3</v>
      </c>
      <c r="L311" s="61">
        <v>2.2826388888888889E-2</v>
      </c>
      <c r="M311" s="61">
        <v>1.0706018518518519E-3</v>
      </c>
      <c r="N311" s="61">
        <v>1.4631944444444446E-2</v>
      </c>
      <c r="O311" s="61">
        <v>2.1875000000000002E-3</v>
      </c>
      <c r="P311" s="61">
        <v>5.1056712962962963E-2</v>
      </c>
      <c r="Q311" s="59" t="s">
        <v>2077</v>
      </c>
      <c r="R311" s="8">
        <f t="shared" si="5"/>
        <v>781</v>
      </c>
    </row>
    <row r="312" spans="1:18">
      <c r="A312" s="59">
        <v>11</v>
      </c>
      <c r="B312" s="59">
        <v>2130</v>
      </c>
      <c r="C312" s="60" t="s">
        <v>135</v>
      </c>
      <c r="D312" s="59" t="s">
        <v>171</v>
      </c>
      <c r="E312" s="59" t="s">
        <v>172</v>
      </c>
      <c r="F312" s="59" t="s">
        <v>173</v>
      </c>
      <c r="G312" s="59" t="s">
        <v>340</v>
      </c>
      <c r="H312" s="59"/>
      <c r="I312" s="59"/>
      <c r="J312" s="61">
        <v>8.789351851851852E-3</v>
      </c>
      <c r="K312" s="61">
        <v>5.8564814814814818E-4</v>
      </c>
      <c r="L312" s="61">
        <v>2.415046296296296E-2</v>
      </c>
      <c r="M312" s="61">
        <v>5.4166666666666664E-4</v>
      </c>
      <c r="N312" s="61">
        <v>1.7185185185185185E-2</v>
      </c>
      <c r="O312" s="61">
        <v>1.1273148148148149E-3</v>
      </c>
      <c r="P312" s="61">
        <v>5.1254629629629622E-2</v>
      </c>
      <c r="Q312" s="59" t="s">
        <v>2078</v>
      </c>
      <c r="R312" s="8">
        <f t="shared" si="5"/>
        <v>778</v>
      </c>
    </row>
    <row r="313" spans="1:18">
      <c r="A313" s="59">
        <v>12</v>
      </c>
      <c r="B313" s="59">
        <v>2136</v>
      </c>
      <c r="C313" s="60" t="s">
        <v>135</v>
      </c>
      <c r="D313" s="59" t="s">
        <v>2079</v>
      </c>
      <c r="E313" s="59" t="s">
        <v>0</v>
      </c>
      <c r="F313" s="59"/>
      <c r="G313" s="59" t="s">
        <v>340</v>
      </c>
      <c r="H313" s="59"/>
      <c r="I313" s="59"/>
      <c r="J313" s="61">
        <v>1.2787037037037036E-2</v>
      </c>
      <c r="K313" s="61">
        <v>1.4039351851851851E-3</v>
      </c>
      <c r="L313" s="61">
        <v>2.2486111111111109E-2</v>
      </c>
      <c r="M313" s="61">
        <v>8.7847222222222233E-4</v>
      </c>
      <c r="N313" s="61">
        <v>1.4843749999999999E-2</v>
      </c>
      <c r="O313" s="61">
        <v>2.2824074074074075E-3</v>
      </c>
      <c r="P313" s="61">
        <v>5.2400462962962961E-2</v>
      </c>
      <c r="Q313" s="59" t="s">
        <v>2080</v>
      </c>
      <c r="R313" s="8">
        <f t="shared" si="5"/>
        <v>761</v>
      </c>
    </row>
    <row r="314" spans="1:18">
      <c r="A314" s="59">
        <v>13</v>
      </c>
      <c r="B314" s="59">
        <v>2102</v>
      </c>
      <c r="C314" s="60" t="s">
        <v>135</v>
      </c>
      <c r="D314" s="59" t="s">
        <v>797</v>
      </c>
      <c r="E314" s="59" t="s">
        <v>798</v>
      </c>
      <c r="F314" s="59" t="s">
        <v>799</v>
      </c>
      <c r="G314" s="59" t="s">
        <v>340</v>
      </c>
      <c r="H314" s="59"/>
      <c r="I314" s="59"/>
      <c r="J314" s="61">
        <v>9.5381944444444446E-3</v>
      </c>
      <c r="K314" s="61">
        <v>1.0972222222222221E-3</v>
      </c>
      <c r="L314" s="61">
        <v>2.5792824074074076E-2</v>
      </c>
      <c r="M314" s="61">
        <v>7.9745370370370376E-4</v>
      </c>
      <c r="N314" s="61">
        <v>1.5355324074074075E-2</v>
      </c>
      <c r="O314" s="61">
        <v>1.8946759259259257E-3</v>
      </c>
      <c r="P314" s="61">
        <v>5.2583333333333329E-2</v>
      </c>
      <c r="Q314" s="59" t="s">
        <v>2081</v>
      </c>
      <c r="R314" s="8">
        <f t="shared" si="5"/>
        <v>759</v>
      </c>
    </row>
    <row r="315" spans="1:18" ht="29.1">
      <c r="A315" s="59">
        <v>14</v>
      </c>
      <c r="B315" s="59">
        <v>2009</v>
      </c>
      <c r="C315" s="60" t="s">
        <v>135</v>
      </c>
      <c r="D315" s="59" t="s">
        <v>780</v>
      </c>
      <c r="E315" s="59" t="s">
        <v>781</v>
      </c>
      <c r="F315" s="59" t="s">
        <v>782</v>
      </c>
      <c r="G315" s="59" t="s">
        <v>340</v>
      </c>
      <c r="H315" s="59"/>
      <c r="I315" s="59"/>
      <c r="J315" s="61">
        <v>8.8645833333333337E-3</v>
      </c>
      <c r="K315" s="61">
        <v>1.1712962962962964E-3</v>
      </c>
      <c r="L315" s="61">
        <v>2.5502314814814814E-2</v>
      </c>
      <c r="M315" s="61">
        <v>9.7337962962962959E-4</v>
      </c>
      <c r="N315" s="61">
        <v>1.6105324074074074E-2</v>
      </c>
      <c r="O315" s="61">
        <v>2.1446759259259262E-3</v>
      </c>
      <c r="P315" s="61">
        <v>5.2618055555555557E-2</v>
      </c>
      <c r="Q315" s="59" t="s">
        <v>2082</v>
      </c>
      <c r="R315" s="8">
        <f t="shared" si="5"/>
        <v>758</v>
      </c>
    </row>
    <row r="316" spans="1:18">
      <c r="A316" s="59">
        <v>15</v>
      </c>
      <c r="B316" s="59">
        <v>2104</v>
      </c>
      <c r="C316" s="60" t="s">
        <v>135</v>
      </c>
      <c r="D316" s="59" t="s">
        <v>746</v>
      </c>
      <c r="E316" s="59" t="s">
        <v>747</v>
      </c>
      <c r="F316" s="59" t="s">
        <v>2083</v>
      </c>
      <c r="G316" s="59" t="s">
        <v>340</v>
      </c>
      <c r="H316" s="59"/>
      <c r="I316" s="59"/>
      <c r="J316" s="61">
        <v>1.1180555555555555E-2</v>
      </c>
      <c r="K316" s="61">
        <v>9.1782407407407405E-4</v>
      </c>
      <c r="L316" s="61">
        <v>2.3322916666666665E-2</v>
      </c>
      <c r="M316" s="61">
        <v>8.1712962962962956E-4</v>
      </c>
      <c r="N316" s="61">
        <v>1.6572916666666666E-2</v>
      </c>
      <c r="O316" s="61">
        <v>1.7349537037037038E-3</v>
      </c>
      <c r="P316" s="61">
        <v>5.2813657407407413E-2</v>
      </c>
      <c r="Q316" s="59" t="s">
        <v>2084</v>
      </c>
      <c r="R316" s="8">
        <f t="shared" si="5"/>
        <v>755</v>
      </c>
    </row>
    <row r="317" spans="1:18">
      <c r="A317" s="59">
        <v>16</v>
      </c>
      <c r="B317" s="59">
        <v>2126</v>
      </c>
      <c r="C317" s="60" t="s">
        <v>135</v>
      </c>
      <c r="D317" s="59" t="s">
        <v>711</v>
      </c>
      <c r="E317" s="59" t="s">
        <v>712</v>
      </c>
      <c r="F317" s="59" t="s">
        <v>2085</v>
      </c>
      <c r="G317" s="59" t="s">
        <v>340</v>
      </c>
      <c r="H317" s="59"/>
      <c r="I317" s="59"/>
      <c r="J317" s="61">
        <v>1.1133101851851852E-2</v>
      </c>
      <c r="K317" s="61">
        <v>8.3217592592592599E-4</v>
      </c>
      <c r="L317" s="61">
        <v>2.2706018518518518E-2</v>
      </c>
      <c r="M317" s="61">
        <v>7.9398148148148145E-4</v>
      </c>
      <c r="N317" s="61">
        <v>1.7346064814814814E-2</v>
      </c>
      <c r="O317" s="61">
        <v>1.6261574074074073E-3</v>
      </c>
      <c r="P317" s="61">
        <v>5.2813657407407413E-2</v>
      </c>
      <c r="Q317" s="59" t="s">
        <v>2084</v>
      </c>
      <c r="R317" s="8">
        <f t="shared" si="5"/>
        <v>755</v>
      </c>
    </row>
    <row r="318" spans="1:18">
      <c r="A318" s="59">
        <v>17</v>
      </c>
      <c r="B318" s="59">
        <v>2503</v>
      </c>
      <c r="C318" s="60" t="s">
        <v>135</v>
      </c>
      <c r="D318" s="59" t="s">
        <v>777</v>
      </c>
      <c r="E318" s="59" t="s">
        <v>778</v>
      </c>
      <c r="F318" s="59" t="s">
        <v>173</v>
      </c>
      <c r="G318" s="59" t="s">
        <v>319</v>
      </c>
      <c r="H318" s="59"/>
      <c r="I318" s="59"/>
      <c r="J318" s="61">
        <v>1.2418981481481482E-2</v>
      </c>
      <c r="K318" s="61">
        <v>9.5949074074074079E-4</v>
      </c>
      <c r="L318" s="61">
        <v>2.5228009259259256E-2</v>
      </c>
      <c r="M318" s="61">
        <v>6.9328703703703707E-4</v>
      </c>
      <c r="N318" s="61">
        <v>1.3900462962962963E-2</v>
      </c>
      <c r="O318" s="61">
        <v>1.652777777777778E-3</v>
      </c>
      <c r="P318" s="61">
        <v>5.3202546296296296E-2</v>
      </c>
      <c r="Q318" s="59" t="s">
        <v>2086</v>
      </c>
      <c r="R318" s="8">
        <f t="shared" si="5"/>
        <v>750</v>
      </c>
    </row>
    <row r="319" spans="1:18">
      <c r="A319" s="59">
        <v>18</v>
      </c>
      <c r="B319" s="59">
        <v>2012</v>
      </c>
      <c r="C319" s="60" t="s">
        <v>135</v>
      </c>
      <c r="D319" s="59" t="s">
        <v>2087</v>
      </c>
      <c r="E319" s="59" t="s">
        <v>2088</v>
      </c>
      <c r="F319" s="59" t="s">
        <v>138</v>
      </c>
      <c r="G319" s="59" t="s">
        <v>340</v>
      </c>
      <c r="H319" s="59"/>
      <c r="I319" s="59"/>
      <c r="J319" s="61">
        <v>9.6782407407407407E-3</v>
      </c>
      <c r="K319" s="61">
        <v>1.1747685185185186E-3</v>
      </c>
      <c r="L319" s="61">
        <v>2.4587962962962964E-2</v>
      </c>
      <c r="M319" s="61">
        <v>8.2175925925925927E-4</v>
      </c>
      <c r="N319" s="61">
        <v>1.697337962962963E-2</v>
      </c>
      <c r="O319" s="61">
        <v>1.9965277777777776E-3</v>
      </c>
      <c r="P319" s="61">
        <v>5.3237268518518517E-2</v>
      </c>
      <c r="Q319" s="59" t="s">
        <v>2089</v>
      </c>
      <c r="R319" s="8">
        <f t="shared" si="5"/>
        <v>749</v>
      </c>
    </row>
    <row r="320" spans="1:18">
      <c r="A320" s="59">
        <v>19</v>
      </c>
      <c r="B320" s="59">
        <v>2128</v>
      </c>
      <c r="C320" s="60" t="s">
        <v>135</v>
      </c>
      <c r="D320" s="59" t="s">
        <v>474</v>
      </c>
      <c r="E320" s="59" t="s">
        <v>475</v>
      </c>
      <c r="F320" s="59" t="s">
        <v>148</v>
      </c>
      <c r="G320" s="59" t="s">
        <v>340</v>
      </c>
      <c r="H320" s="59"/>
      <c r="I320" s="59"/>
      <c r="J320" s="61">
        <v>1.0342592592592592E-2</v>
      </c>
      <c r="K320" s="61">
        <v>1.0324074074074074E-3</v>
      </c>
      <c r="L320" s="61">
        <v>2.5025462962962961E-2</v>
      </c>
      <c r="M320" s="61">
        <v>8.2060185185185187E-4</v>
      </c>
      <c r="N320" s="61">
        <v>1.61875E-2</v>
      </c>
      <c r="O320" s="61">
        <v>1.8530092592592591E-3</v>
      </c>
      <c r="P320" s="61">
        <v>5.3410879629629628E-2</v>
      </c>
      <c r="Q320" s="59" t="s">
        <v>2090</v>
      </c>
      <c r="R320" s="8">
        <f t="shared" si="5"/>
        <v>747</v>
      </c>
    </row>
    <row r="321" spans="1:18">
      <c r="A321" s="59">
        <v>20</v>
      </c>
      <c r="B321" s="59">
        <v>2087</v>
      </c>
      <c r="C321" s="60" t="s">
        <v>135</v>
      </c>
      <c r="D321" s="59" t="s">
        <v>1242</v>
      </c>
      <c r="E321" s="59" t="s">
        <v>1243</v>
      </c>
      <c r="F321" s="59" t="s">
        <v>1415</v>
      </c>
      <c r="G321" s="59" t="s">
        <v>340</v>
      </c>
      <c r="H321" s="59"/>
      <c r="I321" s="59"/>
      <c r="J321" s="61">
        <v>1.2434027777777776E-2</v>
      </c>
      <c r="K321" s="61">
        <v>1.4305555555555556E-3</v>
      </c>
      <c r="L321" s="61">
        <v>2.4998842592592593E-2</v>
      </c>
      <c r="M321" s="61">
        <v>8.6921296296296291E-4</v>
      </c>
      <c r="N321" s="61">
        <v>1.4451388888888889E-2</v>
      </c>
      <c r="O321" s="61">
        <v>2.2997685185185183E-3</v>
      </c>
      <c r="P321" s="61">
        <v>5.4186342592592592E-2</v>
      </c>
      <c r="Q321" s="59" t="s">
        <v>2091</v>
      </c>
      <c r="R321" s="8">
        <f t="shared" si="5"/>
        <v>736</v>
      </c>
    </row>
    <row r="322" spans="1:18">
      <c r="A322" s="59">
        <v>21</v>
      </c>
      <c r="B322" s="59">
        <v>2051</v>
      </c>
      <c r="C322" s="60" t="s">
        <v>135</v>
      </c>
      <c r="D322" s="59" t="s">
        <v>749</v>
      </c>
      <c r="E322" s="59" t="s">
        <v>750</v>
      </c>
      <c r="F322" s="59"/>
      <c r="G322" s="59" t="s">
        <v>340</v>
      </c>
      <c r="H322" s="59"/>
      <c r="I322" s="59"/>
      <c r="J322" s="61">
        <v>1.0002314814814815E-2</v>
      </c>
      <c r="K322" s="61">
        <v>1.0497685185185185E-3</v>
      </c>
      <c r="L322" s="61">
        <v>2.5446759259259259E-2</v>
      </c>
      <c r="M322" s="61">
        <v>1.0011574074074074E-3</v>
      </c>
      <c r="N322" s="61">
        <v>1.6781250000000001E-2</v>
      </c>
      <c r="O322" s="61">
        <v>2.0509259259259257E-3</v>
      </c>
      <c r="P322" s="61">
        <v>5.428472222222222E-2</v>
      </c>
      <c r="Q322" s="59" t="s">
        <v>829</v>
      </c>
      <c r="R322" s="8">
        <f t="shared" si="5"/>
        <v>735</v>
      </c>
    </row>
    <row r="323" spans="1:18">
      <c r="A323" s="59">
        <v>22</v>
      </c>
      <c r="B323" s="59">
        <v>2049</v>
      </c>
      <c r="C323" s="60" t="s">
        <v>135</v>
      </c>
      <c r="D323" s="59" t="s">
        <v>2092</v>
      </c>
      <c r="E323" s="59" t="s">
        <v>0</v>
      </c>
      <c r="F323" s="59"/>
      <c r="G323" s="59" t="s">
        <v>340</v>
      </c>
      <c r="H323" s="59"/>
      <c r="I323" s="59"/>
      <c r="J323" s="61">
        <v>1.1199074074074075E-2</v>
      </c>
      <c r="K323" s="61">
        <v>1.0046296296296296E-3</v>
      </c>
      <c r="L323" s="61">
        <v>2.4393518518518516E-2</v>
      </c>
      <c r="M323" s="61">
        <v>1.1585648148148147E-3</v>
      </c>
      <c r="N323" s="61">
        <v>1.6844907407407409E-2</v>
      </c>
      <c r="O323" s="61">
        <v>2.1631944444444446E-3</v>
      </c>
      <c r="P323" s="61">
        <v>5.4601851851851853E-2</v>
      </c>
      <c r="Q323" s="59" t="s">
        <v>2093</v>
      </c>
      <c r="R323" s="8">
        <f t="shared" si="5"/>
        <v>731</v>
      </c>
    </row>
    <row r="324" spans="1:18">
      <c r="A324" s="59">
        <v>23</v>
      </c>
      <c r="B324" s="59">
        <v>2083</v>
      </c>
      <c r="C324" s="60" t="s">
        <v>135</v>
      </c>
      <c r="D324" s="59" t="s">
        <v>2094</v>
      </c>
      <c r="E324" s="59" t="s">
        <v>0</v>
      </c>
      <c r="F324" s="59" t="s">
        <v>252</v>
      </c>
      <c r="G324" s="59" t="s">
        <v>340</v>
      </c>
      <c r="H324" s="59"/>
      <c r="I324" s="59"/>
      <c r="J324" s="61">
        <v>1.2945601851851852E-2</v>
      </c>
      <c r="K324" s="61">
        <v>1.1608796296296295E-3</v>
      </c>
      <c r="L324" s="61">
        <v>2.4180555555555552E-2</v>
      </c>
      <c r="M324" s="61">
        <v>7.8819444444444434E-4</v>
      </c>
      <c r="N324" s="61">
        <v>1.5751157407407408E-2</v>
      </c>
      <c r="O324" s="61">
        <v>1.9490740740740742E-3</v>
      </c>
      <c r="P324" s="61">
        <v>5.4828703703703699E-2</v>
      </c>
      <c r="Q324" s="59" t="s">
        <v>842</v>
      </c>
      <c r="R324" s="8">
        <f t="shared" si="5"/>
        <v>728</v>
      </c>
    </row>
    <row r="325" spans="1:18">
      <c r="A325" s="59">
        <v>24</v>
      </c>
      <c r="B325" s="59">
        <v>2084</v>
      </c>
      <c r="C325" s="60" t="s">
        <v>135</v>
      </c>
      <c r="D325" s="59" t="s">
        <v>805</v>
      </c>
      <c r="E325" s="59" t="s">
        <v>806</v>
      </c>
      <c r="F325" s="59"/>
      <c r="G325" s="59" t="s">
        <v>340</v>
      </c>
      <c r="H325" s="59"/>
      <c r="I325" s="59"/>
      <c r="J325" s="61">
        <v>1.1222222222222222E-2</v>
      </c>
      <c r="K325" s="61">
        <v>1.0891203703703703E-3</v>
      </c>
      <c r="L325" s="61">
        <v>2.554398148148148E-2</v>
      </c>
      <c r="M325" s="61">
        <v>9.6874999999999999E-4</v>
      </c>
      <c r="N325" s="61">
        <v>1.6354166666666666E-2</v>
      </c>
      <c r="O325" s="61">
        <v>2.0578703703703705E-3</v>
      </c>
      <c r="P325" s="61">
        <v>5.5179398148148151E-2</v>
      </c>
      <c r="Q325" s="59" t="s">
        <v>2095</v>
      </c>
      <c r="R325" s="8">
        <f t="shared" si="5"/>
        <v>723</v>
      </c>
    </row>
    <row r="326" spans="1:18">
      <c r="A326" s="59">
        <v>25</v>
      </c>
      <c r="B326" s="59">
        <v>2054</v>
      </c>
      <c r="C326" s="60" t="s">
        <v>135</v>
      </c>
      <c r="D326" s="59" t="s">
        <v>756</v>
      </c>
      <c r="E326" s="59" t="s">
        <v>757</v>
      </c>
      <c r="F326" s="59"/>
      <c r="G326" s="59" t="s">
        <v>340</v>
      </c>
      <c r="H326" s="59"/>
      <c r="I326" s="59"/>
      <c r="J326" s="61">
        <v>1.4339120370370372E-2</v>
      </c>
      <c r="K326" s="61">
        <v>9.3402777777777776E-4</v>
      </c>
      <c r="L326" s="61">
        <v>2.3497685185185187E-2</v>
      </c>
      <c r="M326" s="61">
        <v>8.9236111111111102E-4</v>
      </c>
      <c r="N326" s="61">
        <v>1.5657407407407408E-2</v>
      </c>
      <c r="O326" s="61">
        <v>1.8263888888888891E-3</v>
      </c>
      <c r="P326" s="61">
        <v>5.5208333333333331E-2</v>
      </c>
      <c r="Q326" s="59" t="s">
        <v>2096</v>
      </c>
      <c r="R326" s="8">
        <f t="shared" si="5"/>
        <v>723</v>
      </c>
    </row>
    <row r="327" spans="1:18">
      <c r="A327" s="59">
        <v>26</v>
      </c>
      <c r="B327" s="59">
        <v>2524</v>
      </c>
      <c r="C327" s="60" t="s">
        <v>2097</v>
      </c>
      <c r="D327" s="59" t="s">
        <v>2098</v>
      </c>
      <c r="E327" s="59" t="s">
        <v>0</v>
      </c>
      <c r="F327" s="59" t="s">
        <v>148</v>
      </c>
      <c r="G327" s="59" t="s">
        <v>319</v>
      </c>
      <c r="H327" s="59"/>
      <c r="I327" s="59"/>
      <c r="J327" s="61">
        <v>1.0038194444444443E-2</v>
      </c>
      <c r="K327" s="61">
        <v>8.5185185185185179E-4</v>
      </c>
      <c r="L327" s="61">
        <v>2.7015046296296294E-2</v>
      </c>
      <c r="M327" s="61">
        <v>6.111111111111111E-4</v>
      </c>
      <c r="N327" s="61">
        <v>1.6711805555555556E-2</v>
      </c>
      <c r="O327" s="61">
        <v>1.462962962962963E-3</v>
      </c>
      <c r="P327" s="61">
        <v>5.5231481481481479E-2</v>
      </c>
      <c r="Q327" s="59" t="s">
        <v>2099</v>
      </c>
      <c r="R327" s="8">
        <f t="shared" si="5"/>
        <v>722</v>
      </c>
    </row>
    <row r="328" spans="1:18">
      <c r="A328" s="59">
        <v>27</v>
      </c>
      <c r="B328" s="59">
        <v>2019</v>
      </c>
      <c r="C328" s="60" t="s">
        <v>135</v>
      </c>
      <c r="D328" s="59" t="s">
        <v>784</v>
      </c>
      <c r="E328" s="59" t="s">
        <v>785</v>
      </c>
      <c r="F328" s="59"/>
      <c r="G328" s="59" t="s">
        <v>340</v>
      </c>
      <c r="H328" s="59"/>
      <c r="I328" s="59"/>
      <c r="J328" s="61">
        <v>1.2E-2</v>
      </c>
      <c r="K328" s="61">
        <v>9.5370370370370379E-4</v>
      </c>
      <c r="L328" s="61">
        <v>2.5065972222222219E-2</v>
      </c>
      <c r="M328" s="61">
        <v>6.6319444444444444E-4</v>
      </c>
      <c r="N328" s="61">
        <v>1.6853009259259259E-2</v>
      </c>
      <c r="O328" s="61">
        <v>1.6168981481481481E-3</v>
      </c>
      <c r="P328" s="61">
        <v>5.5539351851851854E-2</v>
      </c>
      <c r="Q328" s="59" t="s">
        <v>2100</v>
      </c>
      <c r="R328" s="8">
        <f t="shared" si="5"/>
        <v>718</v>
      </c>
    </row>
    <row r="329" spans="1:18">
      <c r="A329" s="59">
        <v>28</v>
      </c>
      <c r="B329" s="59">
        <v>2117</v>
      </c>
      <c r="C329" s="60" t="s">
        <v>135</v>
      </c>
      <c r="D329" s="59" t="s">
        <v>793</v>
      </c>
      <c r="E329" s="59" t="s">
        <v>794</v>
      </c>
      <c r="F329" s="59" t="s">
        <v>795</v>
      </c>
      <c r="G329" s="59" t="s">
        <v>340</v>
      </c>
      <c r="H329" s="59"/>
      <c r="I329" s="59"/>
      <c r="J329" s="61">
        <v>9.3298611111111117E-3</v>
      </c>
      <c r="K329" s="61">
        <v>1.1701388888888887E-3</v>
      </c>
      <c r="L329" s="61">
        <v>2.5006944444444443E-2</v>
      </c>
      <c r="M329" s="61">
        <v>6.6782407407407415E-4</v>
      </c>
      <c r="N329" s="61">
        <v>1.9631944444444445E-2</v>
      </c>
      <c r="O329" s="61">
        <v>1.8379629629629631E-3</v>
      </c>
      <c r="P329" s="61">
        <v>5.5810185185185185E-2</v>
      </c>
      <c r="Q329" s="59" t="s">
        <v>2101</v>
      </c>
      <c r="R329" s="8">
        <f t="shared" si="5"/>
        <v>715</v>
      </c>
    </row>
    <row r="330" spans="1:18">
      <c r="A330" s="59">
        <v>29</v>
      </c>
      <c r="B330" s="59">
        <v>2108</v>
      </c>
      <c r="C330" s="60" t="s">
        <v>135</v>
      </c>
      <c r="D330" s="59" t="s">
        <v>250</v>
      </c>
      <c r="E330" s="59" t="s">
        <v>251</v>
      </c>
      <c r="F330" s="59" t="s">
        <v>252</v>
      </c>
      <c r="G330" s="59" t="s">
        <v>340</v>
      </c>
      <c r="H330" s="59"/>
      <c r="I330" s="59"/>
      <c r="J330" s="61">
        <v>1.619560185185185E-2</v>
      </c>
      <c r="K330" s="61">
        <v>1.005787037037037E-3</v>
      </c>
      <c r="L330" s="61">
        <v>2.4704861111111111E-2</v>
      </c>
      <c r="M330" s="61">
        <v>7.1643518518518519E-4</v>
      </c>
      <c r="N330" s="61">
        <v>1.3432870370370369E-2</v>
      </c>
      <c r="O330" s="61">
        <v>1.7222222222222224E-3</v>
      </c>
      <c r="P330" s="61">
        <v>5.6056712962962968E-2</v>
      </c>
      <c r="Q330" s="59" t="s">
        <v>2102</v>
      </c>
      <c r="R330" s="8">
        <f t="shared" si="5"/>
        <v>712</v>
      </c>
    </row>
    <row r="331" spans="1:18">
      <c r="A331" s="59">
        <v>30</v>
      </c>
      <c r="B331" s="59">
        <v>2048</v>
      </c>
      <c r="C331" s="60" t="s">
        <v>135</v>
      </c>
      <c r="D331" s="59" t="s">
        <v>2103</v>
      </c>
      <c r="E331" s="59" t="s">
        <v>0</v>
      </c>
      <c r="F331" s="59"/>
      <c r="G331" s="59" t="s">
        <v>340</v>
      </c>
      <c r="H331" s="59"/>
      <c r="I331" s="59"/>
      <c r="J331" s="61">
        <v>1.146875E-2</v>
      </c>
      <c r="K331" s="61">
        <v>1.5972222222222223E-3</v>
      </c>
      <c r="L331" s="61">
        <v>2.5805555555555554E-2</v>
      </c>
      <c r="M331" s="61">
        <v>1.0358796296296297E-3</v>
      </c>
      <c r="N331" s="61">
        <v>1.6443287037037038E-2</v>
      </c>
      <c r="O331" s="61">
        <v>2.6331018518518517E-3</v>
      </c>
      <c r="P331" s="61">
        <v>5.6353009259259255E-2</v>
      </c>
      <c r="Q331" s="59" t="s">
        <v>2104</v>
      </c>
      <c r="R331" s="8">
        <f t="shared" si="5"/>
        <v>708</v>
      </c>
    </row>
    <row r="332" spans="1:18">
      <c r="A332" s="59">
        <v>31</v>
      </c>
      <c r="B332" s="59">
        <v>2065</v>
      </c>
      <c r="C332" s="60" t="s">
        <v>135</v>
      </c>
      <c r="D332" s="59" t="s">
        <v>2105</v>
      </c>
      <c r="E332" s="59" t="s">
        <v>2106</v>
      </c>
      <c r="F332" s="59" t="s">
        <v>1808</v>
      </c>
      <c r="G332" s="59" t="s">
        <v>340</v>
      </c>
      <c r="H332" s="59"/>
      <c r="I332" s="59"/>
      <c r="J332" s="61">
        <v>1.4512731481481482E-2</v>
      </c>
      <c r="K332" s="61">
        <v>1.8645833333333333E-3</v>
      </c>
      <c r="L332" s="61">
        <v>2.4145833333333332E-2</v>
      </c>
      <c r="M332" s="61">
        <v>1.0324074074074074E-3</v>
      </c>
      <c r="N332" s="61">
        <v>1.4866898148148148E-2</v>
      </c>
      <c r="O332" s="61">
        <v>2.8969907407407408E-3</v>
      </c>
      <c r="P332" s="61">
        <v>5.642476851851852E-2</v>
      </c>
      <c r="Q332" s="59" t="s">
        <v>2107</v>
      </c>
      <c r="R332" s="8">
        <f t="shared" si="5"/>
        <v>707</v>
      </c>
    </row>
    <row r="333" spans="1:18" ht="29.1">
      <c r="A333" s="59">
        <v>32</v>
      </c>
      <c r="B333" s="59">
        <v>2094</v>
      </c>
      <c r="C333" s="60" t="s">
        <v>135</v>
      </c>
      <c r="D333" s="59" t="s">
        <v>811</v>
      </c>
      <c r="E333" s="59" t="s">
        <v>812</v>
      </c>
      <c r="F333" s="59" t="s">
        <v>2108</v>
      </c>
      <c r="G333" s="59" t="s">
        <v>340</v>
      </c>
      <c r="H333" s="59"/>
      <c r="I333" s="59"/>
      <c r="J333" s="61">
        <v>1.0136574074074074E-2</v>
      </c>
      <c r="K333" s="61">
        <v>1.0115740740740742E-3</v>
      </c>
      <c r="L333" s="61">
        <v>2.828935185185185E-2</v>
      </c>
      <c r="M333" s="61">
        <v>8.2638888888888898E-4</v>
      </c>
      <c r="N333" s="61">
        <v>1.6321759259259258E-2</v>
      </c>
      <c r="O333" s="61">
        <v>1.8379629629629631E-3</v>
      </c>
      <c r="P333" s="61">
        <v>5.6586805555555557E-2</v>
      </c>
      <c r="Q333" s="59" t="s">
        <v>2109</v>
      </c>
      <c r="R333" s="8">
        <f t="shared" si="5"/>
        <v>705</v>
      </c>
    </row>
    <row r="334" spans="1:18">
      <c r="A334" s="59">
        <v>33</v>
      </c>
      <c r="B334" s="59">
        <v>2142</v>
      </c>
      <c r="C334" s="60" t="s">
        <v>135</v>
      </c>
      <c r="D334" s="59" t="s">
        <v>2110</v>
      </c>
      <c r="E334" s="59" t="s">
        <v>0</v>
      </c>
      <c r="F334" s="59" t="s">
        <v>2111</v>
      </c>
      <c r="G334" s="59" t="s">
        <v>340</v>
      </c>
      <c r="H334" s="59"/>
      <c r="I334" s="59"/>
      <c r="J334" s="61">
        <v>1.4157407407407408E-2</v>
      </c>
      <c r="K334" s="61">
        <v>1.5509259259259259E-3</v>
      </c>
      <c r="L334" s="61">
        <v>2.3037037037037036E-2</v>
      </c>
      <c r="M334" s="61">
        <v>1.1284722222222221E-3</v>
      </c>
      <c r="N334" s="61">
        <v>1.6819444444444446E-2</v>
      </c>
      <c r="O334" s="61">
        <v>2.6793981481481482E-3</v>
      </c>
      <c r="P334" s="61">
        <v>5.6695601851851851E-2</v>
      </c>
      <c r="Q334" s="59" t="s">
        <v>2112</v>
      </c>
      <c r="R334" s="8">
        <f t="shared" si="5"/>
        <v>704</v>
      </c>
    </row>
    <row r="335" spans="1:18">
      <c r="A335" s="59">
        <v>34</v>
      </c>
      <c r="B335" s="59">
        <v>2107</v>
      </c>
      <c r="C335" s="60" t="s">
        <v>135</v>
      </c>
      <c r="D335" s="59" t="s">
        <v>970</v>
      </c>
      <c r="E335" s="59" t="s">
        <v>971</v>
      </c>
      <c r="F335" s="59"/>
      <c r="G335" s="59" t="s">
        <v>340</v>
      </c>
      <c r="H335" s="59"/>
      <c r="I335" s="59"/>
      <c r="J335" s="61">
        <v>1.3701388888888888E-2</v>
      </c>
      <c r="K335" s="61">
        <v>1.2002314814814816E-3</v>
      </c>
      <c r="L335" s="61">
        <v>2.5136574074074075E-2</v>
      </c>
      <c r="M335" s="61">
        <v>7.1296296296296299E-4</v>
      </c>
      <c r="N335" s="61">
        <v>1.643402777777778E-2</v>
      </c>
      <c r="O335" s="61">
        <v>1.9131944444444446E-3</v>
      </c>
      <c r="P335" s="61">
        <v>5.7187500000000002E-2</v>
      </c>
      <c r="Q335" s="59" t="s">
        <v>2113</v>
      </c>
      <c r="R335" s="8">
        <f t="shared" si="5"/>
        <v>698</v>
      </c>
    </row>
    <row r="336" spans="1:18">
      <c r="A336" s="59">
        <v>35</v>
      </c>
      <c r="B336" s="59">
        <v>2143</v>
      </c>
      <c r="C336" s="60" t="s">
        <v>135</v>
      </c>
      <c r="D336" s="59" t="s">
        <v>2114</v>
      </c>
      <c r="E336" s="59" t="s">
        <v>2115</v>
      </c>
      <c r="F336" s="59" t="s">
        <v>138</v>
      </c>
      <c r="G336" s="59" t="s">
        <v>340</v>
      </c>
      <c r="H336" s="59"/>
      <c r="I336" s="59"/>
      <c r="J336" s="61">
        <v>1.1087962962962963E-2</v>
      </c>
      <c r="K336" s="61">
        <v>1.2731481481481483E-3</v>
      </c>
      <c r="L336" s="61">
        <v>2.563773148148148E-2</v>
      </c>
      <c r="M336" s="61">
        <v>1.0682870370370371E-3</v>
      </c>
      <c r="N336" s="61">
        <v>1.8622685185185187E-2</v>
      </c>
      <c r="O336" s="61">
        <v>2.3414351851851851E-3</v>
      </c>
      <c r="P336" s="61">
        <v>5.7692129629629635E-2</v>
      </c>
      <c r="Q336" s="59" t="s">
        <v>2116</v>
      </c>
      <c r="R336" s="8">
        <f t="shared" si="5"/>
        <v>691</v>
      </c>
    </row>
    <row r="337" spans="1:18">
      <c r="A337" s="59">
        <v>36</v>
      </c>
      <c r="B337" s="59">
        <v>2086</v>
      </c>
      <c r="C337" s="60" t="s">
        <v>135</v>
      </c>
      <c r="D337" s="59" t="s">
        <v>2117</v>
      </c>
      <c r="E337" s="59" t="s">
        <v>0</v>
      </c>
      <c r="F337" s="59" t="s">
        <v>504</v>
      </c>
      <c r="G337" s="59" t="s">
        <v>340</v>
      </c>
      <c r="H337" s="59"/>
      <c r="I337" s="59"/>
      <c r="J337" s="61">
        <v>1.4237268518518517E-2</v>
      </c>
      <c r="K337" s="61">
        <v>1.1331018518518519E-3</v>
      </c>
      <c r="L337" s="61">
        <v>2.4658564814814814E-2</v>
      </c>
      <c r="M337" s="61">
        <v>9.3287037037037026E-4</v>
      </c>
      <c r="N337" s="61">
        <v>1.7061342592592593E-2</v>
      </c>
      <c r="O337" s="61">
        <v>2.0659722222222221E-3</v>
      </c>
      <c r="P337" s="61">
        <v>5.8026620370370367E-2</v>
      </c>
      <c r="Q337" s="59" t="s">
        <v>897</v>
      </c>
      <c r="R337" s="8">
        <f t="shared" si="5"/>
        <v>687</v>
      </c>
    </row>
    <row r="338" spans="1:18">
      <c r="A338" s="59">
        <v>37</v>
      </c>
      <c r="B338" s="59">
        <v>2099</v>
      </c>
      <c r="C338" s="60" t="s">
        <v>135</v>
      </c>
      <c r="D338" s="59" t="s">
        <v>833</v>
      </c>
      <c r="E338" s="59" t="s">
        <v>834</v>
      </c>
      <c r="F338" s="59" t="s">
        <v>173</v>
      </c>
      <c r="G338" s="59" t="s">
        <v>340</v>
      </c>
      <c r="H338" s="59"/>
      <c r="I338" s="59"/>
      <c r="J338" s="61">
        <v>1.3630787037037037E-2</v>
      </c>
      <c r="K338" s="61">
        <v>1.0821759259259259E-3</v>
      </c>
      <c r="L338" s="61">
        <v>2.5405092592592594E-2</v>
      </c>
      <c r="M338" s="61">
        <v>8.576388888888888E-4</v>
      </c>
      <c r="N338" s="61">
        <v>1.7319444444444446E-2</v>
      </c>
      <c r="O338" s="61">
        <v>1.9398148148148148E-3</v>
      </c>
      <c r="P338" s="61">
        <v>5.8297453703703699E-2</v>
      </c>
      <c r="Q338" s="59" t="s">
        <v>2118</v>
      </c>
      <c r="R338" s="8">
        <f t="shared" si="5"/>
        <v>684</v>
      </c>
    </row>
    <row r="339" spans="1:18">
      <c r="A339" s="59">
        <v>38</v>
      </c>
      <c r="B339" s="59">
        <v>2506</v>
      </c>
      <c r="C339" s="60" t="s">
        <v>135</v>
      </c>
      <c r="D339" s="59" t="s">
        <v>2119</v>
      </c>
      <c r="E339" s="59" t="s">
        <v>0</v>
      </c>
      <c r="F339" s="59" t="s">
        <v>173</v>
      </c>
      <c r="G339" s="59" t="s">
        <v>319</v>
      </c>
      <c r="H339" s="59"/>
      <c r="I339" s="59"/>
      <c r="J339" s="61">
        <v>1.2965277777777779E-2</v>
      </c>
      <c r="K339" s="61">
        <v>7.337962962962963E-4</v>
      </c>
      <c r="L339" s="61">
        <v>2.709375E-2</v>
      </c>
      <c r="M339" s="61">
        <v>9.8263888888888901E-4</v>
      </c>
      <c r="N339" s="61">
        <v>1.6608796296296295E-2</v>
      </c>
      <c r="O339" s="61">
        <v>1.7164351851851854E-3</v>
      </c>
      <c r="P339" s="61">
        <v>5.8386574074074077E-2</v>
      </c>
      <c r="Q339" s="59" t="s">
        <v>2120</v>
      </c>
      <c r="R339" s="8">
        <f t="shared" si="5"/>
        <v>683</v>
      </c>
    </row>
    <row r="340" spans="1:18">
      <c r="A340" s="59">
        <v>39</v>
      </c>
      <c r="B340" s="59">
        <v>2028</v>
      </c>
      <c r="C340" s="60" t="s">
        <v>135</v>
      </c>
      <c r="D340" s="59" t="s">
        <v>2121</v>
      </c>
      <c r="E340" s="59" t="s">
        <v>0</v>
      </c>
      <c r="F340" s="59" t="s">
        <v>2066</v>
      </c>
      <c r="G340" s="59" t="s">
        <v>340</v>
      </c>
      <c r="H340" s="59"/>
      <c r="I340" s="59"/>
      <c r="J340" s="61">
        <v>1.3197916666666667E-2</v>
      </c>
      <c r="K340" s="61">
        <v>1.0370370370370371E-3</v>
      </c>
      <c r="L340" s="61">
        <v>2.586458333333333E-2</v>
      </c>
      <c r="M340" s="61">
        <v>9.849537037037036E-4</v>
      </c>
      <c r="N340" s="61">
        <v>1.7303240740740741E-2</v>
      </c>
      <c r="O340" s="61">
        <v>2.0219907407407404E-3</v>
      </c>
      <c r="P340" s="61">
        <v>5.8390046296296294E-2</v>
      </c>
      <c r="Q340" s="59" t="s">
        <v>2122</v>
      </c>
      <c r="R340" s="8">
        <f t="shared" si="5"/>
        <v>683</v>
      </c>
    </row>
    <row r="341" spans="1:18">
      <c r="A341" s="59">
        <v>40</v>
      </c>
      <c r="B341" s="59">
        <v>2010</v>
      </c>
      <c r="C341" s="60" t="s">
        <v>135</v>
      </c>
      <c r="D341" s="59" t="s">
        <v>820</v>
      </c>
      <c r="E341" s="59" t="s">
        <v>821</v>
      </c>
      <c r="F341" s="59" t="s">
        <v>2123</v>
      </c>
      <c r="G341" s="59" t="s">
        <v>340</v>
      </c>
      <c r="H341" s="59"/>
      <c r="I341" s="59"/>
      <c r="J341" s="61">
        <v>1.1822916666666667E-2</v>
      </c>
      <c r="K341" s="61">
        <v>1.0914351851851851E-3</v>
      </c>
      <c r="L341" s="61">
        <v>2.5748842592592591E-2</v>
      </c>
      <c r="M341" s="61">
        <v>9.0162037037037044E-4</v>
      </c>
      <c r="N341" s="61">
        <v>1.8859953703703705E-2</v>
      </c>
      <c r="O341" s="61">
        <v>1.9930555555555556E-3</v>
      </c>
      <c r="P341" s="61">
        <v>5.8428240740740739E-2</v>
      </c>
      <c r="Q341" s="59" t="s">
        <v>2124</v>
      </c>
      <c r="R341" s="8">
        <f t="shared" si="5"/>
        <v>683</v>
      </c>
    </row>
    <row r="342" spans="1:18">
      <c r="A342" s="59">
        <v>41</v>
      </c>
      <c r="B342" s="59">
        <v>2022</v>
      </c>
      <c r="C342" s="60" t="s">
        <v>135</v>
      </c>
      <c r="D342" s="59" t="s">
        <v>2125</v>
      </c>
      <c r="E342" s="59" t="s">
        <v>2126</v>
      </c>
      <c r="F342" s="59"/>
      <c r="G342" s="59" t="s">
        <v>340</v>
      </c>
      <c r="H342" s="59"/>
      <c r="I342" s="59"/>
      <c r="J342" s="61">
        <v>1.2568287037037038E-2</v>
      </c>
      <c r="K342" s="61">
        <v>1.0393518518518519E-3</v>
      </c>
      <c r="L342" s="61">
        <v>2.6444444444444448E-2</v>
      </c>
      <c r="M342" s="61">
        <v>8.2407407407407408E-4</v>
      </c>
      <c r="N342" s="61">
        <v>1.9127314814814812E-2</v>
      </c>
      <c r="O342" s="61">
        <v>1.8634259259259259E-3</v>
      </c>
      <c r="P342" s="61">
        <v>6.0005787037037038E-2</v>
      </c>
      <c r="Q342" s="59" t="s">
        <v>2127</v>
      </c>
      <c r="R342" s="8">
        <f t="shared" si="5"/>
        <v>665</v>
      </c>
    </row>
    <row r="343" spans="1:18">
      <c r="A343" s="59">
        <v>42</v>
      </c>
      <c r="B343" s="59">
        <v>2514</v>
      </c>
      <c r="C343" s="60" t="s">
        <v>1247</v>
      </c>
      <c r="D343" s="59" t="s">
        <v>2128</v>
      </c>
      <c r="E343" s="59" t="s">
        <v>0</v>
      </c>
      <c r="F343" s="59" t="s">
        <v>203</v>
      </c>
      <c r="G343" s="59" t="s">
        <v>319</v>
      </c>
      <c r="H343" s="59"/>
      <c r="I343" s="59"/>
      <c r="J343" s="61">
        <v>1.3511574074074075E-2</v>
      </c>
      <c r="K343" s="61">
        <v>1.7002314814814816E-3</v>
      </c>
      <c r="L343" s="61">
        <v>2.7715277777777776E-2</v>
      </c>
      <c r="M343" s="61">
        <v>1.5937499999999999E-3</v>
      </c>
      <c r="N343" s="61">
        <v>1.5553240740740741E-2</v>
      </c>
      <c r="O343" s="61">
        <v>3.2939814814814819E-3</v>
      </c>
      <c r="P343" s="61">
        <v>6.0076388888888894E-2</v>
      </c>
      <c r="Q343" s="59" t="s">
        <v>2129</v>
      </c>
      <c r="R343" s="8">
        <f t="shared" si="5"/>
        <v>664</v>
      </c>
    </row>
    <row r="344" spans="1:18">
      <c r="A344" s="59">
        <v>43</v>
      </c>
      <c r="B344" s="59">
        <v>2077</v>
      </c>
      <c r="C344" s="60" t="s">
        <v>135</v>
      </c>
      <c r="D344" s="59" t="s">
        <v>905</v>
      </c>
      <c r="E344" s="59" t="s">
        <v>906</v>
      </c>
      <c r="F344" s="59"/>
      <c r="G344" s="59" t="s">
        <v>340</v>
      </c>
      <c r="H344" s="59"/>
      <c r="I344" s="59"/>
      <c r="J344" s="61">
        <v>1.4626157407407407E-2</v>
      </c>
      <c r="K344" s="61">
        <v>1.3287037037037037E-3</v>
      </c>
      <c r="L344" s="61">
        <v>2.5532407407407406E-2</v>
      </c>
      <c r="M344" s="61">
        <v>1.1122685185185185E-3</v>
      </c>
      <c r="N344" s="61">
        <v>1.7635416666666667E-2</v>
      </c>
      <c r="O344" s="61">
        <v>2.4409722222222224E-3</v>
      </c>
      <c r="P344" s="61">
        <v>6.0237268518518516E-2</v>
      </c>
      <c r="Q344" s="59" t="s">
        <v>405</v>
      </c>
      <c r="R344" s="8">
        <f t="shared" si="5"/>
        <v>662</v>
      </c>
    </row>
    <row r="345" spans="1:18">
      <c r="A345" s="59">
        <v>44</v>
      </c>
      <c r="B345" s="59">
        <v>2132</v>
      </c>
      <c r="C345" s="60" t="s">
        <v>135</v>
      </c>
      <c r="D345" s="59" t="s">
        <v>2130</v>
      </c>
      <c r="E345" s="59" t="s">
        <v>0</v>
      </c>
      <c r="F345" s="59" t="s">
        <v>2131</v>
      </c>
      <c r="G345" s="59" t="s">
        <v>340</v>
      </c>
      <c r="H345" s="59"/>
      <c r="I345" s="59"/>
      <c r="J345" s="61">
        <v>1.2964120370370369E-2</v>
      </c>
      <c r="K345" s="61">
        <v>1.5208333333333335E-3</v>
      </c>
      <c r="L345" s="61">
        <v>2.6942129629629632E-2</v>
      </c>
      <c r="M345" s="61">
        <v>1.2199074074074074E-3</v>
      </c>
      <c r="N345" s="61">
        <v>1.7836805555555554E-2</v>
      </c>
      <c r="O345" s="61">
        <v>2.7407407407407411E-3</v>
      </c>
      <c r="P345" s="61">
        <v>6.0487268518518524E-2</v>
      </c>
      <c r="Q345" s="59" t="s">
        <v>2132</v>
      </c>
      <c r="R345" s="8">
        <f t="shared" si="5"/>
        <v>660</v>
      </c>
    </row>
    <row r="346" spans="1:18">
      <c r="A346" s="59">
        <v>45</v>
      </c>
      <c r="B346" s="59">
        <v>2529</v>
      </c>
      <c r="C346" s="60" t="s">
        <v>135</v>
      </c>
      <c r="D346" s="59" t="s">
        <v>2133</v>
      </c>
      <c r="E346" s="59" t="s">
        <v>2134</v>
      </c>
      <c r="F346" s="59" t="s">
        <v>148</v>
      </c>
      <c r="G346" s="59" t="s">
        <v>319</v>
      </c>
      <c r="H346" s="59"/>
      <c r="I346" s="59"/>
      <c r="J346" s="61">
        <v>1.4163194444444445E-2</v>
      </c>
      <c r="K346" s="61">
        <v>9.1782407407407405E-4</v>
      </c>
      <c r="L346" s="61">
        <v>2.6624999999999999E-2</v>
      </c>
      <c r="M346" s="61">
        <v>8.6574074074074071E-4</v>
      </c>
      <c r="N346" s="61">
        <v>1.7947916666666668E-2</v>
      </c>
      <c r="O346" s="61">
        <v>1.7835648148148146E-3</v>
      </c>
      <c r="P346" s="61">
        <v>6.0521990740740744E-2</v>
      </c>
      <c r="Q346" s="59" t="s">
        <v>2135</v>
      </c>
      <c r="R346" s="8">
        <f t="shared" si="5"/>
        <v>659</v>
      </c>
    </row>
    <row r="347" spans="1:18">
      <c r="A347" s="59">
        <v>46</v>
      </c>
      <c r="B347" s="59">
        <v>2101</v>
      </c>
      <c r="C347" s="60" t="s">
        <v>135</v>
      </c>
      <c r="D347" s="59" t="s">
        <v>855</v>
      </c>
      <c r="E347" s="59" t="s">
        <v>856</v>
      </c>
      <c r="F347" s="59"/>
      <c r="G347" s="59" t="s">
        <v>340</v>
      </c>
      <c r="H347" s="59"/>
      <c r="I347" s="59"/>
      <c r="J347" s="61">
        <v>1.2224537037037037E-2</v>
      </c>
      <c r="K347" s="61">
        <v>1.2743055555555554E-3</v>
      </c>
      <c r="L347" s="61">
        <v>2.7339120370370368E-2</v>
      </c>
      <c r="M347" s="61">
        <v>1.1944444444444444E-3</v>
      </c>
      <c r="N347" s="61">
        <v>1.8535879629629631E-2</v>
      </c>
      <c r="O347" s="61">
        <v>2.46875E-3</v>
      </c>
      <c r="P347" s="61">
        <v>6.0571759259259256E-2</v>
      </c>
      <c r="Q347" s="59" t="s">
        <v>2136</v>
      </c>
      <c r="R347" s="8">
        <f t="shared" si="5"/>
        <v>659</v>
      </c>
    </row>
    <row r="348" spans="1:18">
      <c r="A348" s="59">
        <v>47</v>
      </c>
      <c r="B348" s="59">
        <v>2089</v>
      </c>
      <c r="C348" s="60" t="s">
        <v>135</v>
      </c>
      <c r="D348" s="59" t="s">
        <v>2137</v>
      </c>
      <c r="E348" s="59" t="s">
        <v>2138</v>
      </c>
      <c r="F348" s="59" t="s">
        <v>2139</v>
      </c>
      <c r="G348" s="59" t="s">
        <v>340</v>
      </c>
      <c r="H348" s="59"/>
      <c r="I348" s="59"/>
      <c r="J348" s="61">
        <v>1.6583333333333332E-2</v>
      </c>
      <c r="K348" s="61">
        <v>1.511574074074074E-3</v>
      </c>
      <c r="L348" s="61">
        <v>2.5284722222222222E-2</v>
      </c>
      <c r="M348" s="61">
        <v>1.3043981481481483E-3</v>
      </c>
      <c r="N348" s="61">
        <v>1.5950231481481482E-2</v>
      </c>
      <c r="O348" s="61">
        <v>2.8159722222222223E-3</v>
      </c>
      <c r="P348" s="61">
        <v>6.0634259259259263E-2</v>
      </c>
      <c r="Q348" s="59" t="s">
        <v>2140</v>
      </c>
      <c r="R348" s="8">
        <f t="shared" si="5"/>
        <v>658</v>
      </c>
    </row>
    <row r="349" spans="1:18">
      <c r="A349" s="59">
        <v>48</v>
      </c>
      <c r="B349" s="59">
        <v>2505</v>
      </c>
      <c r="C349" s="60" t="s">
        <v>135</v>
      </c>
      <c r="D349" s="59" t="s">
        <v>920</v>
      </c>
      <c r="E349" s="59" t="s">
        <v>921</v>
      </c>
      <c r="F349" s="59" t="s">
        <v>203</v>
      </c>
      <c r="G349" s="59" t="s">
        <v>319</v>
      </c>
      <c r="H349" s="59"/>
      <c r="I349" s="59"/>
      <c r="J349" s="61">
        <v>1.3336805555555555E-2</v>
      </c>
      <c r="K349" s="61">
        <v>1.3263888888888889E-3</v>
      </c>
      <c r="L349" s="61">
        <v>2.7056712962962959E-2</v>
      </c>
      <c r="M349" s="61">
        <v>9.6759259259259248E-4</v>
      </c>
      <c r="N349" s="61">
        <v>1.818287037037037E-2</v>
      </c>
      <c r="O349" s="61">
        <v>2.2939814814814815E-3</v>
      </c>
      <c r="P349" s="61">
        <v>6.0872685185185182E-2</v>
      </c>
      <c r="Q349" s="59" t="s">
        <v>2141</v>
      </c>
      <c r="R349" s="8">
        <f t="shared" si="5"/>
        <v>655</v>
      </c>
    </row>
    <row r="350" spans="1:18">
      <c r="A350" s="59">
        <v>49</v>
      </c>
      <c r="B350" s="59">
        <v>2093</v>
      </c>
      <c r="C350" s="60" t="s">
        <v>135</v>
      </c>
      <c r="D350" s="59" t="s">
        <v>2142</v>
      </c>
      <c r="E350" s="59" t="s">
        <v>2143</v>
      </c>
      <c r="F350" s="59" t="s">
        <v>138</v>
      </c>
      <c r="G350" s="59" t="s">
        <v>340</v>
      </c>
      <c r="H350" s="59"/>
      <c r="I350" s="59"/>
      <c r="J350" s="61">
        <v>1.2190972222222221E-2</v>
      </c>
      <c r="K350" s="61">
        <v>1.6331018518518517E-3</v>
      </c>
      <c r="L350" s="61">
        <v>2.7074074074074073E-2</v>
      </c>
      <c r="M350" s="61">
        <v>1.0752314814814815E-3</v>
      </c>
      <c r="N350" s="61">
        <v>1.8943287037037036E-2</v>
      </c>
      <c r="O350" s="61">
        <v>2.7083333333333334E-3</v>
      </c>
      <c r="P350" s="61">
        <v>6.0920138888888892E-2</v>
      </c>
      <c r="Q350" s="59" t="s">
        <v>2144</v>
      </c>
      <c r="R350" s="8">
        <f t="shared" si="5"/>
        <v>655</v>
      </c>
    </row>
    <row r="351" spans="1:18">
      <c r="A351" s="59">
        <v>50</v>
      </c>
      <c r="B351" s="59">
        <v>2531</v>
      </c>
      <c r="C351" s="60" t="s">
        <v>135</v>
      </c>
      <c r="D351" s="59" t="s">
        <v>2145</v>
      </c>
      <c r="E351" s="59" t="s">
        <v>0</v>
      </c>
      <c r="F351" s="59" t="s">
        <v>2146</v>
      </c>
      <c r="G351" s="59" t="s">
        <v>319</v>
      </c>
      <c r="H351" s="59"/>
      <c r="I351" s="59"/>
      <c r="J351" s="61">
        <v>9.4999999999999998E-3</v>
      </c>
      <c r="K351" s="61">
        <v>1.3425925925925925E-3</v>
      </c>
      <c r="L351" s="61">
        <v>3.0166666666666668E-2</v>
      </c>
      <c r="M351" s="61">
        <v>1.1018518518518519E-3</v>
      </c>
      <c r="N351" s="61">
        <v>1.8950231481481481E-2</v>
      </c>
      <c r="O351" s="61">
        <v>2.4444444444444444E-3</v>
      </c>
      <c r="P351" s="61">
        <v>6.10636574074074E-2</v>
      </c>
      <c r="Q351" s="59" t="s">
        <v>2147</v>
      </c>
      <c r="R351" s="8">
        <f t="shared" si="5"/>
        <v>653</v>
      </c>
    </row>
    <row r="352" spans="1:18">
      <c r="A352" s="59">
        <v>51</v>
      </c>
      <c r="B352" s="59">
        <v>2127</v>
      </c>
      <c r="C352" s="60" t="s">
        <v>135</v>
      </c>
      <c r="D352" s="59" t="s">
        <v>2148</v>
      </c>
      <c r="E352" s="59" t="s">
        <v>0</v>
      </c>
      <c r="F352" s="59" t="s">
        <v>2146</v>
      </c>
      <c r="G352" s="59" t="s">
        <v>340</v>
      </c>
      <c r="H352" s="59"/>
      <c r="I352" s="59"/>
      <c r="J352" s="61">
        <v>9.7256944444444431E-3</v>
      </c>
      <c r="K352" s="61">
        <v>1.3587962962962963E-3</v>
      </c>
      <c r="L352" s="61">
        <v>2.8590277777777777E-2</v>
      </c>
      <c r="M352" s="61">
        <v>2.3090277777777779E-3</v>
      </c>
      <c r="N352" s="61">
        <v>1.907986111111111E-2</v>
      </c>
      <c r="O352" s="61">
        <v>3.6678240740740738E-3</v>
      </c>
      <c r="P352" s="61">
        <v>6.1064814814814815E-2</v>
      </c>
      <c r="Q352" s="59" t="s">
        <v>2149</v>
      </c>
      <c r="R352" s="8">
        <f t="shared" si="5"/>
        <v>653</v>
      </c>
    </row>
    <row r="353" spans="1:18">
      <c r="A353" s="59">
        <v>52</v>
      </c>
      <c r="B353" s="59">
        <v>2063</v>
      </c>
      <c r="C353" s="60" t="s">
        <v>135</v>
      </c>
      <c r="D353" s="59" t="s">
        <v>872</v>
      </c>
      <c r="E353" s="59" t="s">
        <v>873</v>
      </c>
      <c r="F353" s="59"/>
      <c r="G353" s="59" t="s">
        <v>340</v>
      </c>
      <c r="H353" s="59"/>
      <c r="I353" s="59"/>
      <c r="J353" s="61">
        <v>1.4736111111111111E-2</v>
      </c>
      <c r="K353" s="61">
        <v>1.3935185185185185E-3</v>
      </c>
      <c r="L353" s="61">
        <v>2.5385416666666667E-2</v>
      </c>
      <c r="M353" s="61">
        <v>1.1967592592592594E-3</v>
      </c>
      <c r="N353" s="61">
        <v>1.858912037037037E-2</v>
      </c>
      <c r="O353" s="61">
        <v>2.5902777777777777E-3</v>
      </c>
      <c r="P353" s="61">
        <v>6.1304398148148143E-2</v>
      </c>
      <c r="Q353" s="59" t="s">
        <v>2150</v>
      </c>
      <c r="R353" s="8">
        <f t="shared" si="5"/>
        <v>651</v>
      </c>
    </row>
    <row r="354" spans="1:18">
      <c r="A354" s="59">
        <v>53</v>
      </c>
      <c r="B354" s="59">
        <v>2078</v>
      </c>
      <c r="C354" s="60" t="s">
        <v>135</v>
      </c>
      <c r="D354" s="59" t="s">
        <v>2151</v>
      </c>
      <c r="E354" s="59" t="s">
        <v>0</v>
      </c>
      <c r="F354" s="59" t="s">
        <v>2152</v>
      </c>
      <c r="G354" s="59" t="s">
        <v>340</v>
      </c>
      <c r="H354" s="59"/>
      <c r="I354" s="59"/>
      <c r="J354" s="61">
        <v>1.421412037037037E-2</v>
      </c>
      <c r="K354" s="61">
        <v>1.7858796296296297E-3</v>
      </c>
      <c r="L354" s="61">
        <v>2.5290509259259259E-2</v>
      </c>
      <c r="M354" s="61">
        <v>1.0486111111111111E-3</v>
      </c>
      <c r="N354" s="61">
        <v>1.9344907407407408E-2</v>
      </c>
      <c r="O354" s="61">
        <v>2.8344907407407407E-3</v>
      </c>
      <c r="P354" s="61">
        <v>6.1687499999999999E-2</v>
      </c>
      <c r="Q354" s="59" t="s">
        <v>2153</v>
      </c>
      <c r="R354" s="8">
        <f t="shared" si="5"/>
        <v>647</v>
      </c>
    </row>
    <row r="355" spans="1:18">
      <c r="A355" s="59">
        <v>54</v>
      </c>
      <c r="B355" s="59">
        <v>2106</v>
      </c>
      <c r="C355" s="60" t="s">
        <v>135</v>
      </c>
      <c r="D355" s="59" t="s">
        <v>2154</v>
      </c>
      <c r="E355" s="59" t="s">
        <v>0</v>
      </c>
      <c r="F355" s="59" t="s">
        <v>148</v>
      </c>
      <c r="G355" s="59" t="s">
        <v>340</v>
      </c>
      <c r="H355" s="59"/>
      <c r="I355" s="59"/>
      <c r="J355" s="61">
        <v>1.3356481481481481E-2</v>
      </c>
      <c r="K355" s="61">
        <v>9.5254629629629628E-4</v>
      </c>
      <c r="L355" s="61">
        <v>2.7334490740740739E-2</v>
      </c>
      <c r="M355" s="61">
        <v>1.0173611111111112E-3</v>
      </c>
      <c r="N355" s="61">
        <v>1.9167824074074073E-2</v>
      </c>
      <c r="O355" s="61">
        <v>1.9699074074074072E-3</v>
      </c>
      <c r="P355" s="61">
        <v>6.1831018518518514E-2</v>
      </c>
      <c r="Q355" s="59" t="s">
        <v>2155</v>
      </c>
      <c r="R355" s="8">
        <f t="shared" si="5"/>
        <v>645</v>
      </c>
    </row>
    <row r="356" spans="1:18">
      <c r="A356" s="59">
        <v>55</v>
      </c>
      <c r="B356" s="59">
        <v>2534</v>
      </c>
      <c r="C356" s="60" t="s">
        <v>135</v>
      </c>
      <c r="D356" s="59" t="s">
        <v>1261</v>
      </c>
      <c r="E356" s="59" t="s">
        <v>1262</v>
      </c>
      <c r="F356" s="59" t="s">
        <v>158</v>
      </c>
      <c r="G356" s="59" t="s">
        <v>319</v>
      </c>
      <c r="H356" s="59"/>
      <c r="I356" s="59"/>
      <c r="J356" s="61">
        <v>1.2959490740740742E-2</v>
      </c>
      <c r="K356" s="61">
        <v>6.2384259259259261E-4</v>
      </c>
      <c r="L356" s="61">
        <v>2.7199074074074073E-2</v>
      </c>
      <c r="M356" s="61">
        <v>4.9768518518518521E-4</v>
      </c>
      <c r="N356" s="61">
        <v>2.0586805555555556E-2</v>
      </c>
      <c r="O356" s="61">
        <v>1.1215277777777779E-3</v>
      </c>
      <c r="P356" s="61">
        <v>6.1869212962962966E-2</v>
      </c>
      <c r="Q356" s="59" t="s">
        <v>2156</v>
      </c>
      <c r="R356" s="8">
        <f t="shared" si="5"/>
        <v>645</v>
      </c>
    </row>
    <row r="357" spans="1:18">
      <c r="A357" s="59">
        <v>56</v>
      </c>
      <c r="B357" s="59">
        <v>2088</v>
      </c>
      <c r="C357" s="60" t="s">
        <v>135</v>
      </c>
      <c r="D357" s="59" t="s">
        <v>2157</v>
      </c>
      <c r="E357" s="59" t="s">
        <v>0</v>
      </c>
      <c r="F357" s="59" t="s">
        <v>173</v>
      </c>
      <c r="G357" s="59" t="s">
        <v>340</v>
      </c>
      <c r="H357" s="59"/>
      <c r="I357" s="59"/>
      <c r="J357" s="61">
        <v>1.4518518518518519E-2</v>
      </c>
      <c r="K357" s="61">
        <v>1.7812500000000001E-3</v>
      </c>
      <c r="L357" s="61">
        <v>2.7758101851851853E-2</v>
      </c>
      <c r="M357" s="61">
        <v>1.4270833333333334E-3</v>
      </c>
      <c r="N357" s="61">
        <v>1.664699074074074E-2</v>
      </c>
      <c r="O357" s="61">
        <v>3.208333333333333E-3</v>
      </c>
      <c r="P357" s="61">
        <v>6.2134259259259257E-2</v>
      </c>
      <c r="Q357" s="59" t="s">
        <v>2158</v>
      </c>
      <c r="R357" s="8">
        <f t="shared" si="5"/>
        <v>642</v>
      </c>
    </row>
    <row r="358" spans="1:18">
      <c r="A358" s="59">
        <v>57</v>
      </c>
      <c r="B358" s="59">
        <v>2519</v>
      </c>
      <c r="C358" s="60" t="s">
        <v>135</v>
      </c>
      <c r="D358" s="59" t="s">
        <v>2159</v>
      </c>
      <c r="E358" s="59" t="s">
        <v>0</v>
      </c>
      <c r="F358" s="59" t="s">
        <v>199</v>
      </c>
      <c r="G358" s="59" t="s">
        <v>319</v>
      </c>
      <c r="H358" s="59"/>
      <c r="I358" s="59"/>
      <c r="J358" s="61">
        <v>1.4353009259259258E-2</v>
      </c>
      <c r="K358" s="61">
        <v>1.4363425925925926E-3</v>
      </c>
      <c r="L358" s="61">
        <v>2.8292824074074074E-2</v>
      </c>
      <c r="M358" s="61">
        <v>9.6990740740740739E-4</v>
      </c>
      <c r="N358" s="61">
        <v>1.7130787037037035E-2</v>
      </c>
      <c r="O358" s="61">
        <v>2.40625E-3</v>
      </c>
      <c r="P358" s="61">
        <v>6.2186342592592592E-2</v>
      </c>
      <c r="Q358" s="59" t="s">
        <v>2160</v>
      </c>
      <c r="R358" s="8">
        <f t="shared" si="5"/>
        <v>641</v>
      </c>
    </row>
    <row r="359" spans="1:18">
      <c r="A359" s="59">
        <v>58</v>
      </c>
      <c r="B359" s="59">
        <v>2011</v>
      </c>
      <c r="C359" s="60" t="s">
        <v>135</v>
      </c>
      <c r="D359" s="59" t="s">
        <v>602</v>
      </c>
      <c r="E359" s="59" t="s">
        <v>603</v>
      </c>
      <c r="F359" s="59" t="s">
        <v>148</v>
      </c>
      <c r="G359" s="59" t="s">
        <v>340</v>
      </c>
      <c r="H359" s="59"/>
      <c r="I359" s="59"/>
      <c r="J359" s="61">
        <v>1.5178240740740742E-2</v>
      </c>
      <c r="K359" s="61">
        <v>1.6145833333333333E-3</v>
      </c>
      <c r="L359" s="61">
        <v>2.7156250000000003E-2</v>
      </c>
      <c r="M359" s="61">
        <v>9.0624999999999994E-4</v>
      </c>
      <c r="N359" s="61">
        <v>1.7358796296296296E-2</v>
      </c>
      <c r="O359" s="61">
        <v>2.5208333333333333E-3</v>
      </c>
      <c r="P359" s="61">
        <v>6.2217592592592595E-2</v>
      </c>
      <c r="Q359" s="59" t="s">
        <v>2161</v>
      </c>
      <c r="R359" s="8">
        <f t="shared" si="5"/>
        <v>641</v>
      </c>
    </row>
    <row r="360" spans="1:18">
      <c r="A360" s="59">
        <v>59</v>
      </c>
      <c r="B360" s="59">
        <v>2038</v>
      </c>
      <c r="C360" s="60" t="s">
        <v>1736</v>
      </c>
      <c r="D360" s="59" t="s">
        <v>2162</v>
      </c>
      <c r="E360" s="59" t="s">
        <v>2163</v>
      </c>
      <c r="F360" s="59"/>
      <c r="G360" s="59" t="s">
        <v>340</v>
      </c>
      <c r="H360" s="59"/>
      <c r="I360" s="59"/>
      <c r="J360" s="61">
        <v>1.4434027777777777E-2</v>
      </c>
      <c r="K360" s="61">
        <v>1.7152777777777776E-3</v>
      </c>
      <c r="L360" s="61">
        <v>2.5328703703703704E-2</v>
      </c>
      <c r="M360" s="61">
        <v>1.3634259259259259E-3</v>
      </c>
      <c r="N360" s="61">
        <v>1.9453703703703702E-2</v>
      </c>
      <c r="O360" s="61">
        <v>3.0787037037037037E-3</v>
      </c>
      <c r="P360" s="61">
        <v>6.2297453703703702E-2</v>
      </c>
      <c r="Q360" s="59" t="s">
        <v>2164</v>
      </c>
      <c r="R360" s="8">
        <f t="shared" si="5"/>
        <v>640</v>
      </c>
    </row>
    <row r="361" spans="1:18">
      <c r="A361" s="59">
        <v>60</v>
      </c>
      <c r="B361" s="59">
        <v>2071</v>
      </c>
      <c r="C361" s="60" t="s">
        <v>135</v>
      </c>
      <c r="D361" s="59" t="s">
        <v>2165</v>
      </c>
      <c r="E361" s="59" t="s">
        <v>2166</v>
      </c>
      <c r="F361" s="59" t="s">
        <v>148</v>
      </c>
      <c r="G361" s="59" t="s">
        <v>340</v>
      </c>
      <c r="H361" s="59"/>
      <c r="I361" s="59"/>
      <c r="J361" s="61">
        <v>1.3159722222222222E-2</v>
      </c>
      <c r="K361" s="61">
        <v>1.6307870370370371E-3</v>
      </c>
      <c r="L361" s="61">
        <v>2.7672453703703706E-2</v>
      </c>
      <c r="M361" s="61">
        <v>1.3506944444444445E-3</v>
      </c>
      <c r="N361" s="61">
        <v>1.8530092592592591E-2</v>
      </c>
      <c r="O361" s="61">
        <v>2.9814814814814817E-3</v>
      </c>
      <c r="P361" s="61">
        <v>6.2344907407407411E-2</v>
      </c>
      <c r="Q361" s="59" t="s">
        <v>2167</v>
      </c>
      <c r="R361" s="8">
        <f t="shared" si="5"/>
        <v>640</v>
      </c>
    </row>
    <row r="362" spans="1:18">
      <c r="A362" s="59">
        <v>61</v>
      </c>
      <c r="B362" s="59">
        <v>2138</v>
      </c>
      <c r="C362" s="60" t="s">
        <v>135</v>
      </c>
      <c r="D362" s="59" t="s">
        <v>2168</v>
      </c>
      <c r="E362" s="59" t="s">
        <v>0</v>
      </c>
      <c r="F362" s="59" t="s">
        <v>148</v>
      </c>
      <c r="G362" s="59" t="s">
        <v>340</v>
      </c>
      <c r="H362" s="59"/>
      <c r="I362" s="59"/>
      <c r="J362" s="61">
        <v>1.2871527777777777E-2</v>
      </c>
      <c r="K362" s="61">
        <v>8.8425925925925933E-4</v>
      </c>
      <c r="L362" s="61">
        <v>2.8003472222222221E-2</v>
      </c>
      <c r="M362" s="61">
        <v>1.3009259259259261E-3</v>
      </c>
      <c r="N362" s="61">
        <v>1.9400462962962963E-2</v>
      </c>
      <c r="O362" s="61">
        <v>2.1851851851851854E-3</v>
      </c>
      <c r="P362" s="61">
        <v>6.2462962962962963E-2</v>
      </c>
      <c r="Q362" s="59" t="s">
        <v>2169</v>
      </c>
      <c r="R362" s="8">
        <f t="shared" si="5"/>
        <v>639</v>
      </c>
    </row>
    <row r="363" spans="1:18">
      <c r="A363" s="59">
        <v>62</v>
      </c>
      <c r="B363" s="59">
        <v>2518</v>
      </c>
      <c r="C363" s="60" t="s">
        <v>135</v>
      </c>
      <c r="D363" s="59" t="s">
        <v>2170</v>
      </c>
      <c r="E363" s="59" t="s">
        <v>2171</v>
      </c>
      <c r="F363" s="59"/>
      <c r="G363" s="59" t="s">
        <v>319</v>
      </c>
      <c r="H363" s="59"/>
      <c r="I363" s="59"/>
      <c r="J363" s="61">
        <v>1.5012731481481481E-2</v>
      </c>
      <c r="K363" s="61">
        <v>1.6006944444444445E-3</v>
      </c>
      <c r="L363" s="61">
        <v>2.831712962962963E-2</v>
      </c>
      <c r="M363" s="61">
        <v>9.4675925925925928E-4</v>
      </c>
      <c r="N363" s="61">
        <v>1.6814814814814814E-2</v>
      </c>
      <c r="O363" s="61">
        <v>2.5474537037037037E-3</v>
      </c>
      <c r="P363" s="61">
        <v>6.269328703703704E-2</v>
      </c>
      <c r="Q363" s="59" t="s">
        <v>2172</v>
      </c>
      <c r="R363" s="8">
        <f t="shared" si="5"/>
        <v>636</v>
      </c>
    </row>
    <row r="364" spans="1:18">
      <c r="A364" s="59">
        <v>63</v>
      </c>
      <c r="B364" s="59">
        <v>2140</v>
      </c>
      <c r="C364" s="60" t="s">
        <v>135</v>
      </c>
      <c r="D364" s="59" t="s">
        <v>2173</v>
      </c>
      <c r="E364" s="59" t="s">
        <v>0</v>
      </c>
      <c r="F364" s="59" t="s">
        <v>2174</v>
      </c>
      <c r="G364" s="59" t="s">
        <v>340</v>
      </c>
      <c r="H364" s="59"/>
      <c r="I364" s="59"/>
      <c r="J364" s="61">
        <v>1.324074074074074E-2</v>
      </c>
      <c r="K364" s="61">
        <v>1.1747685185185186E-3</v>
      </c>
      <c r="L364" s="61">
        <v>2.9050925925925924E-2</v>
      </c>
      <c r="M364" s="61">
        <v>1.2326388888888888E-3</v>
      </c>
      <c r="N364" s="61">
        <v>1.8121527777777778E-2</v>
      </c>
      <c r="O364" s="61">
        <v>2.4074074074074076E-3</v>
      </c>
      <c r="P364" s="61">
        <v>6.2822916666666659E-2</v>
      </c>
      <c r="Q364" s="59" t="s">
        <v>2175</v>
      </c>
      <c r="R364" s="8">
        <f t="shared" si="5"/>
        <v>635</v>
      </c>
    </row>
    <row r="365" spans="1:18">
      <c r="A365" s="59">
        <v>64</v>
      </c>
      <c r="B365" s="59">
        <v>2116</v>
      </c>
      <c r="C365" s="60" t="s">
        <v>135</v>
      </c>
      <c r="D365" s="59" t="s">
        <v>862</v>
      </c>
      <c r="E365" s="59" t="s">
        <v>863</v>
      </c>
      <c r="F365" s="59" t="s">
        <v>538</v>
      </c>
      <c r="G365" s="59" t="s">
        <v>340</v>
      </c>
      <c r="H365" s="59"/>
      <c r="I365" s="59"/>
      <c r="J365" s="61">
        <v>1.2996527777777779E-2</v>
      </c>
      <c r="K365" s="61">
        <v>1.5451388888888889E-3</v>
      </c>
      <c r="L365" s="61">
        <v>2.627314814814815E-2</v>
      </c>
      <c r="M365" s="61">
        <v>1.3171296296296297E-3</v>
      </c>
      <c r="N365" s="61">
        <v>2.0701388888888887E-2</v>
      </c>
      <c r="O365" s="61">
        <v>2.8622685185185188E-3</v>
      </c>
      <c r="P365" s="61">
        <v>6.2836805555555555E-2</v>
      </c>
      <c r="Q365" s="59" t="s">
        <v>2176</v>
      </c>
      <c r="R365" s="8">
        <f t="shared" si="5"/>
        <v>635</v>
      </c>
    </row>
    <row r="366" spans="1:18">
      <c r="A366" s="59">
        <v>65</v>
      </c>
      <c r="B366" s="59">
        <v>2114</v>
      </c>
      <c r="C366" s="60" t="s">
        <v>135</v>
      </c>
      <c r="D366" s="59" t="s">
        <v>2177</v>
      </c>
      <c r="E366" s="59" t="s">
        <v>0</v>
      </c>
      <c r="F366" s="59"/>
      <c r="G366" s="59" t="s">
        <v>340</v>
      </c>
      <c r="H366" s="59"/>
      <c r="I366" s="59"/>
      <c r="J366" s="61">
        <v>1.56875E-2</v>
      </c>
      <c r="K366" s="61">
        <v>1.707175925925926E-3</v>
      </c>
      <c r="L366" s="61">
        <v>2.508101851851852E-2</v>
      </c>
      <c r="M366" s="61">
        <v>1.224537037037037E-3</v>
      </c>
      <c r="N366" s="61">
        <v>1.9212962962962963E-2</v>
      </c>
      <c r="O366" s="61">
        <v>2.9317129629629632E-3</v>
      </c>
      <c r="P366" s="61">
        <v>6.2915509259259261E-2</v>
      </c>
      <c r="Q366" s="59" t="s">
        <v>2178</v>
      </c>
      <c r="R366" s="8">
        <f t="shared" si="5"/>
        <v>634</v>
      </c>
    </row>
    <row r="367" spans="1:18">
      <c r="A367" s="59">
        <v>66</v>
      </c>
      <c r="B367" s="59">
        <v>2023</v>
      </c>
      <c r="C367" s="60" t="s">
        <v>135</v>
      </c>
      <c r="D367" s="59" t="s">
        <v>926</v>
      </c>
      <c r="E367" s="59" t="s">
        <v>927</v>
      </c>
      <c r="F367" s="59"/>
      <c r="G367" s="59" t="s">
        <v>340</v>
      </c>
      <c r="H367" s="59"/>
      <c r="I367" s="59"/>
      <c r="J367" s="61">
        <v>1.4410879629629629E-2</v>
      </c>
      <c r="K367" s="61">
        <v>1.5532407407407407E-3</v>
      </c>
      <c r="L367" s="61">
        <v>2.759375E-2</v>
      </c>
      <c r="M367" s="61">
        <v>1.3865740740740741E-3</v>
      </c>
      <c r="N367" s="61">
        <v>1.8142361111111113E-2</v>
      </c>
      <c r="O367" s="61">
        <v>2.9398148148148148E-3</v>
      </c>
      <c r="P367" s="61">
        <v>6.3089120370370372E-2</v>
      </c>
      <c r="Q367" s="59" t="s">
        <v>2179</v>
      </c>
      <c r="R367" s="8">
        <f t="shared" ref="R367:R430" si="6">IFERROR(ROUND($P$302/P367*900,0),0)</f>
        <v>632</v>
      </c>
    </row>
    <row r="368" spans="1:18">
      <c r="A368" s="59">
        <v>67</v>
      </c>
      <c r="B368" s="59">
        <v>2119</v>
      </c>
      <c r="C368" s="60" t="s">
        <v>135</v>
      </c>
      <c r="D368" s="59" t="s">
        <v>879</v>
      </c>
      <c r="E368" s="59" t="s">
        <v>880</v>
      </c>
      <c r="F368" s="59" t="s">
        <v>173</v>
      </c>
      <c r="G368" s="59" t="s">
        <v>340</v>
      </c>
      <c r="H368" s="59"/>
      <c r="I368" s="59"/>
      <c r="J368" s="61">
        <v>1.3600694444444443E-2</v>
      </c>
      <c r="K368" s="61">
        <v>1.2581018518518518E-3</v>
      </c>
      <c r="L368" s="61">
        <v>2.6328703703703705E-2</v>
      </c>
      <c r="M368" s="61">
        <v>1.1620370370370372E-3</v>
      </c>
      <c r="N368" s="61">
        <v>2.0881944444444446E-2</v>
      </c>
      <c r="O368" s="61">
        <v>2.4201388888888888E-3</v>
      </c>
      <c r="P368" s="61">
        <v>6.3233796296296288E-2</v>
      </c>
      <c r="Q368" s="59" t="s">
        <v>2180</v>
      </c>
      <c r="R368" s="8">
        <f t="shared" si="6"/>
        <v>631</v>
      </c>
    </row>
    <row r="369" spans="1:18">
      <c r="A369" s="59">
        <v>68</v>
      </c>
      <c r="B369" s="59">
        <v>2509</v>
      </c>
      <c r="C369" s="60" t="s">
        <v>135</v>
      </c>
      <c r="D369" s="59" t="s">
        <v>923</v>
      </c>
      <c r="E369" s="59" t="s">
        <v>924</v>
      </c>
      <c r="F369" s="59" t="s">
        <v>199</v>
      </c>
      <c r="G369" s="59" t="s">
        <v>319</v>
      </c>
      <c r="H369" s="59"/>
      <c r="I369" s="59"/>
      <c r="J369" s="61">
        <v>1.1758101851851851E-2</v>
      </c>
      <c r="K369" s="61">
        <v>1.3796296296296297E-3</v>
      </c>
      <c r="L369" s="61">
        <v>2.8300925925925924E-2</v>
      </c>
      <c r="M369" s="61">
        <v>1.5868055555555555E-3</v>
      </c>
      <c r="N369" s="61">
        <v>2.0210648148148148E-2</v>
      </c>
      <c r="O369" s="61">
        <v>2.9664351851851852E-3</v>
      </c>
      <c r="P369" s="61">
        <v>6.3237268518518519E-2</v>
      </c>
      <c r="Q369" s="59" t="s">
        <v>2181</v>
      </c>
      <c r="R369" s="8">
        <f t="shared" si="6"/>
        <v>631</v>
      </c>
    </row>
    <row r="370" spans="1:18">
      <c r="A370" s="59">
        <v>69</v>
      </c>
      <c r="B370" s="59">
        <v>2103</v>
      </c>
      <c r="C370" s="60" t="s">
        <v>135</v>
      </c>
      <c r="D370" s="59" t="s">
        <v>2182</v>
      </c>
      <c r="E370" s="59" t="s">
        <v>0</v>
      </c>
      <c r="F370" s="59"/>
      <c r="G370" s="59" t="s">
        <v>340</v>
      </c>
      <c r="H370" s="59"/>
      <c r="I370" s="59"/>
      <c r="J370" s="61">
        <v>1.6642361111111111E-2</v>
      </c>
      <c r="K370" s="61">
        <v>2.1493055555555553E-3</v>
      </c>
      <c r="L370" s="61">
        <v>2.7307870370370371E-2</v>
      </c>
      <c r="M370" s="61">
        <v>1.457175925925926E-3</v>
      </c>
      <c r="N370" s="61">
        <v>1.5700231481481482E-2</v>
      </c>
      <c r="O370" s="61">
        <v>3.6064814814814818E-3</v>
      </c>
      <c r="P370" s="61">
        <v>6.325810185185185E-2</v>
      </c>
      <c r="Q370" s="59" t="s">
        <v>2183</v>
      </c>
      <c r="R370" s="8">
        <f t="shared" si="6"/>
        <v>631</v>
      </c>
    </row>
    <row r="371" spans="1:18">
      <c r="A371" s="59">
        <v>70</v>
      </c>
      <c r="B371" s="59">
        <v>2075</v>
      </c>
      <c r="C371" s="60" t="s">
        <v>135</v>
      </c>
      <c r="D371" s="59" t="s">
        <v>2184</v>
      </c>
      <c r="E371" s="59" t="s">
        <v>0</v>
      </c>
      <c r="F371" s="59"/>
      <c r="G371" s="59" t="s">
        <v>340</v>
      </c>
      <c r="H371" s="59"/>
      <c r="I371" s="59"/>
      <c r="J371" s="61">
        <v>1.2842592592592591E-2</v>
      </c>
      <c r="K371" s="61">
        <v>1.953703703703704E-3</v>
      </c>
      <c r="L371" s="61">
        <v>2.8312499999999997E-2</v>
      </c>
      <c r="M371" s="61">
        <v>1.4976851851851852E-3</v>
      </c>
      <c r="N371" s="61">
        <v>1.8733796296296294E-2</v>
      </c>
      <c r="O371" s="61">
        <v>3.4513888888888888E-3</v>
      </c>
      <c r="P371" s="61">
        <v>6.3342592592592589E-2</v>
      </c>
      <c r="Q371" s="59" t="s">
        <v>2185</v>
      </c>
      <c r="R371" s="8">
        <f t="shared" si="6"/>
        <v>630</v>
      </c>
    </row>
    <row r="372" spans="1:18">
      <c r="A372" s="59">
        <v>71</v>
      </c>
      <c r="B372" s="59">
        <v>2082</v>
      </c>
      <c r="C372" s="60" t="s">
        <v>135</v>
      </c>
      <c r="D372" s="59" t="s">
        <v>2186</v>
      </c>
      <c r="E372" s="59" t="s">
        <v>0</v>
      </c>
      <c r="F372" s="59"/>
      <c r="G372" s="59" t="s">
        <v>340</v>
      </c>
      <c r="H372" s="59"/>
      <c r="I372" s="59"/>
      <c r="J372" s="61">
        <v>1.2657407407407407E-2</v>
      </c>
      <c r="K372" s="61">
        <v>1.8703703703703703E-3</v>
      </c>
      <c r="L372" s="61">
        <v>2.7049768518518518E-2</v>
      </c>
      <c r="M372" s="61">
        <v>9.8842592592592602E-4</v>
      </c>
      <c r="N372" s="61">
        <v>2.0898148148148148E-2</v>
      </c>
      <c r="O372" s="61">
        <v>2.8587962962962963E-3</v>
      </c>
      <c r="P372" s="61">
        <v>6.3466435185185188E-2</v>
      </c>
      <c r="Q372" s="59" t="s">
        <v>2187</v>
      </c>
      <c r="R372" s="8">
        <f t="shared" si="6"/>
        <v>629</v>
      </c>
    </row>
    <row r="373" spans="1:18">
      <c r="A373" s="59">
        <v>72</v>
      </c>
      <c r="B373" s="59">
        <v>2122</v>
      </c>
      <c r="C373" s="60" t="s">
        <v>135</v>
      </c>
      <c r="D373" s="59" t="s">
        <v>2188</v>
      </c>
      <c r="E373" s="59" t="s">
        <v>2189</v>
      </c>
      <c r="F373" s="59"/>
      <c r="G373" s="59" t="s">
        <v>340</v>
      </c>
      <c r="H373" s="59"/>
      <c r="I373" s="59"/>
      <c r="J373" s="61">
        <v>1.3440972222222222E-2</v>
      </c>
      <c r="K373" s="61">
        <v>1.3055555555555555E-3</v>
      </c>
      <c r="L373" s="61">
        <v>2.7042824074074073E-2</v>
      </c>
      <c r="M373" s="61">
        <v>1.3356481481481483E-3</v>
      </c>
      <c r="N373" s="61">
        <v>2.0371527777777777E-2</v>
      </c>
      <c r="O373" s="61">
        <v>2.6412037037037038E-3</v>
      </c>
      <c r="P373" s="61">
        <v>6.3500000000000001E-2</v>
      </c>
      <c r="Q373" s="59" t="s">
        <v>2190</v>
      </c>
      <c r="R373" s="8">
        <f t="shared" si="6"/>
        <v>628</v>
      </c>
    </row>
    <row r="374" spans="1:18">
      <c r="A374" s="59">
        <v>73</v>
      </c>
      <c r="B374" s="59">
        <v>2526</v>
      </c>
      <c r="C374" s="60" t="s">
        <v>135</v>
      </c>
      <c r="D374" s="59" t="s">
        <v>911</v>
      </c>
      <c r="E374" s="59" t="s">
        <v>912</v>
      </c>
      <c r="F374" s="59" t="s">
        <v>199</v>
      </c>
      <c r="G374" s="59" t="s">
        <v>319</v>
      </c>
      <c r="H374" s="59"/>
      <c r="I374" s="59"/>
      <c r="J374" s="61">
        <v>1.1850694444444445E-2</v>
      </c>
      <c r="K374" s="61">
        <v>1.2430555555555556E-3</v>
      </c>
      <c r="L374" s="61">
        <v>2.8770833333333336E-2</v>
      </c>
      <c r="M374" s="61">
        <v>1.3090277777777777E-3</v>
      </c>
      <c r="N374" s="61">
        <v>2.0413194444444446E-2</v>
      </c>
      <c r="O374" s="61">
        <v>2.5520833333333333E-3</v>
      </c>
      <c r="P374" s="61">
        <v>6.3589120370370372E-2</v>
      </c>
      <c r="Q374" s="59" t="s">
        <v>2191</v>
      </c>
      <c r="R374" s="8">
        <f t="shared" si="6"/>
        <v>627</v>
      </c>
    </row>
    <row r="375" spans="1:18">
      <c r="A375" s="59">
        <v>74</v>
      </c>
      <c r="B375" s="59">
        <v>2057</v>
      </c>
      <c r="C375" s="60" t="s">
        <v>135</v>
      </c>
      <c r="D375" s="59" t="s">
        <v>2192</v>
      </c>
      <c r="E375" s="59" t="s">
        <v>0</v>
      </c>
      <c r="F375" s="59" t="s">
        <v>2193</v>
      </c>
      <c r="G375" s="59" t="s">
        <v>340</v>
      </c>
      <c r="H375" s="59"/>
      <c r="I375" s="59"/>
      <c r="J375" s="61">
        <v>1.4932870370370371E-2</v>
      </c>
      <c r="K375" s="61">
        <v>1.4837962962962962E-3</v>
      </c>
      <c r="L375" s="61">
        <v>2.8783564814814817E-2</v>
      </c>
      <c r="M375" s="61">
        <v>1.0960648148148149E-3</v>
      </c>
      <c r="N375" s="61">
        <v>1.7531250000000002E-2</v>
      </c>
      <c r="O375" s="61">
        <v>2.5798611111111113E-3</v>
      </c>
      <c r="P375" s="61">
        <v>6.3828703703703707E-2</v>
      </c>
      <c r="Q375" s="59" t="s">
        <v>2194</v>
      </c>
      <c r="R375" s="8">
        <f t="shared" si="6"/>
        <v>625</v>
      </c>
    </row>
    <row r="376" spans="1:18">
      <c r="A376" s="59">
        <v>75</v>
      </c>
      <c r="B376" s="59">
        <v>2147</v>
      </c>
      <c r="C376" s="60" t="s">
        <v>135</v>
      </c>
      <c r="D376" s="59" t="s">
        <v>2195</v>
      </c>
      <c r="E376" s="59" t="s">
        <v>0</v>
      </c>
      <c r="F376" s="59"/>
      <c r="G376" s="59" t="s">
        <v>340</v>
      </c>
      <c r="H376" s="59"/>
      <c r="I376" s="59"/>
      <c r="J376" s="61">
        <v>1.4373842592592594E-2</v>
      </c>
      <c r="K376" s="61">
        <v>1.8078703703703703E-3</v>
      </c>
      <c r="L376" s="61">
        <v>2.8719907407407409E-2</v>
      </c>
      <c r="M376" s="61">
        <v>1.0324074074074074E-3</v>
      </c>
      <c r="N376" s="61">
        <v>1.7988425925925925E-2</v>
      </c>
      <c r="O376" s="61">
        <v>2.8402777777777779E-3</v>
      </c>
      <c r="P376" s="61">
        <v>6.3923611111111112E-2</v>
      </c>
      <c r="Q376" s="59" t="s">
        <v>2196</v>
      </c>
      <c r="R376" s="8">
        <f t="shared" si="6"/>
        <v>624</v>
      </c>
    </row>
    <row r="377" spans="1:18">
      <c r="A377" s="59">
        <v>76</v>
      </c>
      <c r="B377" s="59">
        <v>2041</v>
      </c>
      <c r="C377" s="60" t="s">
        <v>135</v>
      </c>
      <c r="D377" s="59" t="s">
        <v>2197</v>
      </c>
      <c r="E377" s="59" t="s">
        <v>2198</v>
      </c>
      <c r="F377" s="59"/>
      <c r="G377" s="59" t="s">
        <v>340</v>
      </c>
      <c r="H377" s="59"/>
      <c r="I377" s="59"/>
      <c r="J377" s="61">
        <v>1.4256944444444444E-2</v>
      </c>
      <c r="K377" s="61">
        <v>1.505787037037037E-3</v>
      </c>
      <c r="L377" s="61">
        <v>2.7146990740740742E-2</v>
      </c>
      <c r="M377" s="61">
        <v>1.675925925925926E-3</v>
      </c>
      <c r="N377" s="61">
        <v>1.9377314814814816E-2</v>
      </c>
      <c r="O377" s="61">
        <v>3.1817129629629626E-3</v>
      </c>
      <c r="P377" s="61">
        <v>6.3965277777777788E-2</v>
      </c>
      <c r="Q377" s="59" t="s">
        <v>2199</v>
      </c>
      <c r="R377" s="8">
        <f t="shared" si="6"/>
        <v>624</v>
      </c>
    </row>
    <row r="378" spans="1:18">
      <c r="A378" s="59">
        <v>77</v>
      </c>
      <c r="B378" s="59">
        <v>2141</v>
      </c>
      <c r="C378" s="60" t="s">
        <v>135</v>
      </c>
      <c r="D378" s="59" t="s">
        <v>2200</v>
      </c>
      <c r="E378" s="59" t="s">
        <v>0</v>
      </c>
      <c r="F378" s="59" t="s">
        <v>1889</v>
      </c>
      <c r="G378" s="59" t="s">
        <v>340</v>
      </c>
      <c r="H378" s="59"/>
      <c r="I378" s="59"/>
      <c r="J378" s="61">
        <v>1.1785879629629629E-2</v>
      </c>
      <c r="K378" s="61">
        <v>1.8668981481481483E-3</v>
      </c>
      <c r="L378" s="61">
        <v>3.037037037037037E-2</v>
      </c>
      <c r="M378" s="61">
        <v>2.8171296296296295E-3</v>
      </c>
      <c r="N378" s="61">
        <v>1.7416666666666667E-2</v>
      </c>
      <c r="O378" s="61">
        <v>4.6840277777777774E-3</v>
      </c>
      <c r="P378" s="61">
        <v>6.4258101851851851E-2</v>
      </c>
      <c r="Q378" s="59" t="s">
        <v>2201</v>
      </c>
      <c r="R378" s="8">
        <f t="shared" si="6"/>
        <v>621</v>
      </c>
    </row>
    <row r="379" spans="1:18">
      <c r="A379" s="59">
        <v>78</v>
      </c>
      <c r="B379" s="59">
        <v>2092</v>
      </c>
      <c r="C379" s="60" t="s">
        <v>135</v>
      </c>
      <c r="D379" s="59" t="s">
        <v>2202</v>
      </c>
      <c r="E379" s="59" t="s">
        <v>0</v>
      </c>
      <c r="F379" s="59" t="s">
        <v>1523</v>
      </c>
      <c r="G379" s="59" t="s">
        <v>340</v>
      </c>
      <c r="H379" s="59"/>
      <c r="I379" s="59"/>
      <c r="J379" s="61">
        <v>1.3151620370370369E-2</v>
      </c>
      <c r="K379" s="61">
        <v>1.5046296296296296E-3</v>
      </c>
      <c r="L379" s="61">
        <v>2.7732638888888887E-2</v>
      </c>
      <c r="M379" s="61">
        <v>1.0219907407407406E-3</v>
      </c>
      <c r="N379" s="61">
        <v>2.0921296296296295E-2</v>
      </c>
      <c r="O379" s="61">
        <v>2.5266203703703705E-3</v>
      </c>
      <c r="P379" s="61">
        <v>6.4334490740740741E-2</v>
      </c>
      <c r="Q379" s="59" t="s">
        <v>2203</v>
      </c>
      <c r="R379" s="8">
        <f t="shared" si="6"/>
        <v>620</v>
      </c>
    </row>
    <row r="380" spans="1:18">
      <c r="A380" s="59">
        <v>79</v>
      </c>
      <c r="B380" s="59">
        <v>2510</v>
      </c>
      <c r="C380" s="60" t="s">
        <v>135</v>
      </c>
      <c r="D380" s="59" t="s">
        <v>2204</v>
      </c>
      <c r="E380" s="59" t="s">
        <v>2205</v>
      </c>
      <c r="F380" s="59" t="s">
        <v>138</v>
      </c>
      <c r="G380" s="59" t="s">
        <v>319</v>
      </c>
      <c r="H380" s="59"/>
      <c r="I380" s="59"/>
      <c r="J380" s="61">
        <v>1.3538194444444445E-2</v>
      </c>
      <c r="K380" s="61">
        <v>1.4050925925925928E-3</v>
      </c>
      <c r="L380" s="61">
        <v>2.8760416666666667E-2</v>
      </c>
      <c r="M380" s="61">
        <v>1.0069444444444444E-3</v>
      </c>
      <c r="N380" s="61">
        <v>1.9724537037037037E-2</v>
      </c>
      <c r="O380" s="61">
        <v>2.4120370370370372E-3</v>
      </c>
      <c r="P380" s="61">
        <v>6.4437499999999995E-2</v>
      </c>
      <c r="Q380" s="59" t="s">
        <v>2206</v>
      </c>
      <c r="R380" s="8">
        <f t="shared" si="6"/>
        <v>619</v>
      </c>
    </row>
    <row r="381" spans="1:18">
      <c r="A381" s="59">
        <v>80</v>
      </c>
      <c r="B381" s="59">
        <v>2067</v>
      </c>
      <c r="C381" s="60" t="s">
        <v>135</v>
      </c>
      <c r="D381" s="59" t="s">
        <v>2207</v>
      </c>
      <c r="E381" s="59" t="s">
        <v>0</v>
      </c>
      <c r="F381" s="59"/>
      <c r="G381" s="59" t="s">
        <v>340</v>
      </c>
      <c r="H381" s="59"/>
      <c r="I381" s="59"/>
      <c r="J381" s="61">
        <v>1.3510416666666665E-2</v>
      </c>
      <c r="K381" s="61">
        <v>2.0729166666666665E-3</v>
      </c>
      <c r="L381" s="61">
        <v>2.6951388888888889E-2</v>
      </c>
      <c r="M381" s="61">
        <v>1.7060185185185186E-3</v>
      </c>
      <c r="N381" s="61">
        <v>2.0342592592592593E-2</v>
      </c>
      <c r="O381" s="61">
        <v>3.7789351851851851E-3</v>
      </c>
      <c r="P381" s="61">
        <v>6.4585648148148142E-2</v>
      </c>
      <c r="Q381" s="59" t="s">
        <v>2208</v>
      </c>
      <c r="R381" s="8">
        <f t="shared" si="6"/>
        <v>618</v>
      </c>
    </row>
    <row r="382" spans="1:18">
      <c r="A382" s="59">
        <v>81</v>
      </c>
      <c r="B382" s="59">
        <v>2074</v>
      </c>
      <c r="C382" s="60" t="s">
        <v>135</v>
      </c>
      <c r="D382" s="59" t="s">
        <v>952</v>
      </c>
      <c r="E382" s="59" t="s">
        <v>953</v>
      </c>
      <c r="F382" s="59"/>
      <c r="G382" s="59" t="s">
        <v>340</v>
      </c>
      <c r="H382" s="59"/>
      <c r="I382" s="59"/>
      <c r="J382" s="61">
        <v>1.5585648148148147E-2</v>
      </c>
      <c r="K382" s="61">
        <v>1.3159722222222223E-3</v>
      </c>
      <c r="L382" s="61">
        <v>2.5678240740740741E-2</v>
      </c>
      <c r="M382" s="61">
        <v>1.2141203703703704E-3</v>
      </c>
      <c r="N382" s="61">
        <v>2.0793981481481479E-2</v>
      </c>
      <c r="O382" s="61">
        <v>2.5300925925925925E-3</v>
      </c>
      <c r="P382" s="61">
        <v>6.4590277777777788E-2</v>
      </c>
      <c r="Q382" s="59" t="s">
        <v>2209</v>
      </c>
      <c r="R382" s="8">
        <f t="shared" si="6"/>
        <v>618</v>
      </c>
    </row>
    <row r="383" spans="1:18">
      <c r="A383" s="59">
        <v>82</v>
      </c>
      <c r="B383" s="59">
        <v>2123</v>
      </c>
      <c r="C383" s="60" t="s">
        <v>135</v>
      </c>
      <c r="D383" s="59" t="s">
        <v>2210</v>
      </c>
      <c r="E383" s="59" t="s">
        <v>0</v>
      </c>
      <c r="F383" s="59" t="s">
        <v>504</v>
      </c>
      <c r="G383" s="59" t="s">
        <v>340</v>
      </c>
      <c r="H383" s="59"/>
      <c r="I383" s="59"/>
      <c r="J383" s="61">
        <v>1.3390046296296297E-2</v>
      </c>
      <c r="K383" s="61">
        <v>1.4212962962962964E-3</v>
      </c>
      <c r="L383" s="61">
        <v>2.8703703703703703E-2</v>
      </c>
      <c r="M383" s="61">
        <v>1.7557870370370368E-3</v>
      </c>
      <c r="N383" s="61">
        <v>1.9414351851851853E-2</v>
      </c>
      <c r="O383" s="61">
        <v>3.1770833333333334E-3</v>
      </c>
      <c r="P383" s="61">
        <v>6.468865740740741E-2</v>
      </c>
      <c r="Q383" s="59" t="s">
        <v>2211</v>
      </c>
      <c r="R383" s="8">
        <f t="shared" si="6"/>
        <v>617</v>
      </c>
    </row>
    <row r="384" spans="1:18">
      <c r="A384" s="59">
        <v>83</v>
      </c>
      <c r="B384" s="59">
        <v>2032</v>
      </c>
      <c r="C384" s="60" t="s">
        <v>135</v>
      </c>
      <c r="D384" s="59" t="s">
        <v>2212</v>
      </c>
      <c r="E384" s="59" t="s">
        <v>0</v>
      </c>
      <c r="F384" s="59" t="s">
        <v>2213</v>
      </c>
      <c r="G384" s="59" t="s">
        <v>340</v>
      </c>
      <c r="H384" s="59"/>
      <c r="I384" s="59"/>
      <c r="J384" s="61">
        <v>1.6149305555555556E-2</v>
      </c>
      <c r="K384" s="61">
        <v>1.761574074074074E-3</v>
      </c>
      <c r="L384" s="61">
        <v>2.8592592592592593E-2</v>
      </c>
      <c r="M384" s="61">
        <v>7.6388888888888893E-4</v>
      </c>
      <c r="N384" s="61">
        <v>1.7503472222222222E-2</v>
      </c>
      <c r="O384" s="61">
        <v>2.5254629629629629E-3</v>
      </c>
      <c r="P384" s="61">
        <v>6.4773148148148149E-2</v>
      </c>
      <c r="Q384" s="59" t="s">
        <v>2214</v>
      </c>
      <c r="R384" s="8">
        <f t="shared" si="6"/>
        <v>616</v>
      </c>
    </row>
    <row r="385" spans="1:18">
      <c r="A385" s="59">
        <v>84</v>
      </c>
      <c r="B385" s="59">
        <v>2076</v>
      </c>
      <c r="C385" s="60" t="s">
        <v>135</v>
      </c>
      <c r="D385" s="59" t="s">
        <v>1294</v>
      </c>
      <c r="E385" s="59" t="s">
        <v>1295</v>
      </c>
      <c r="F385" s="59"/>
      <c r="G385" s="59" t="s">
        <v>340</v>
      </c>
      <c r="H385" s="59"/>
      <c r="I385" s="59"/>
      <c r="J385" s="61">
        <v>1.4572916666666666E-2</v>
      </c>
      <c r="K385" s="61">
        <v>1.2222222222222222E-3</v>
      </c>
      <c r="L385" s="61">
        <v>2.8137731481481479E-2</v>
      </c>
      <c r="M385" s="61">
        <v>9.5949074074074079E-4</v>
      </c>
      <c r="N385" s="61">
        <v>1.9934027777777776E-2</v>
      </c>
      <c r="O385" s="61">
        <v>2.181712962962963E-3</v>
      </c>
      <c r="P385" s="61">
        <v>6.4828703703703708E-2</v>
      </c>
      <c r="Q385" s="59" t="s">
        <v>2215</v>
      </c>
      <c r="R385" s="8">
        <f t="shared" si="6"/>
        <v>615</v>
      </c>
    </row>
    <row r="386" spans="1:18">
      <c r="A386" s="59">
        <v>85</v>
      </c>
      <c r="B386" s="59">
        <v>2144</v>
      </c>
      <c r="C386" s="60" t="s">
        <v>135</v>
      </c>
      <c r="D386" s="59" t="s">
        <v>895</v>
      </c>
      <c r="E386" s="59" t="s">
        <v>896</v>
      </c>
      <c r="F386" s="59"/>
      <c r="G386" s="59" t="s">
        <v>340</v>
      </c>
      <c r="H386" s="59"/>
      <c r="I386" s="59"/>
      <c r="J386" s="61">
        <v>1.5630787037037037E-2</v>
      </c>
      <c r="K386" s="61">
        <v>1.0833333333333333E-3</v>
      </c>
      <c r="L386" s="61">
        <v>2.5767361111111112E-2</v>
      </c>
      <c r="M386" s="61">
        <v>1.0868055555555557E-3</v>
      </c>
      <c r="N386" s="61">
        <v>2.1289351851851854E-2</v>
      </c>
      <c r="O386" s="61">
        <v>2.170138888888889E-3</v>
      </c>
      <c r="P386" s="61">
        <v>6.4859953703703704E-2</v>
      </c>
      <c r="Q386" s="59" t="s">
        <v>2216</v>
      </c>
      <c r="R386" s="8">
        <f t="shared" si="6"/>
        <v>615</v>
      </c>
    </row>
    <row r="387" spans="1:18">
      <c r="A387" s="59">
        <v>86</v>
      </c>
      <c r="B387" s="59">
        <v>2113</v>
      </c>
      <c r="C387" s="60" t="s">
        <v>135</v>
      </c>
      <c r="D387" s="59" t="s">
        <v>2217</v>
      </c>
      <c r="E387" s="59" t="s">
        <v>0</v>
      </c>
      <c r="F387" s="59"/>
      <c r="G387" s="59" t="s">
        <v>340</v>
      </c>
      <c r="H387" s="59"/>
      <c r="I387" s="59"/>
      <c r="J387" s="61">
        <v>1.9594907407407408E-2</v>
      </c>
      <c r="K387" s="61">
        <v>1.5879629629629629E-3</v>
      </c>
      <c r="L387" s="61">
        <v>2.3871527777777776E-2</v>
      </c>
      <c r="M387" s="61">
        <v>1.8622685185185185E-3</v>
      </c>
      <c r="N387" s="61">
        <v>1.804050925925926E-2</v>
      </c>
      <c r="O387" s="61">
        <v>3.4502314814814816E-3</v>
      </c>
      <c r="P387" s="61">
        <v>6.4960648148148156E-2</v>
      </c>
      <c r="Q387" s="59" t="s">
        <v>2218</v>
      </c>
      <c r="R387" s="8">
        <f t="shared" si="6"/>
        <v>614</v>
      </c>
    </row>
    <row r="388" spans="1:18">
      <c r="A388" s="59">
        <v>87</v>
      </c>
      <c r="B388" s="59">
        <v>2060</v>
      </c>
      <c r="C388" s="60" t="s">
        <v>135</v>
      </c>
      <c r="D388" s="59" t="s">
        <v>2219</v>
      </c>
      <c r="E388" s="59" t="s">
        <v>2220</v>
      </c>
      <c r="F388" s="59" t="s">
        <v>2221</v>
      </c>
      <c r="G388" s="59" t="s">
        <v>340</v>
      </c>
      <c r="H388" s="59"/>
      <c r="I388" s="59"/>
      <c r="J388" s="61">
        <v>1.4252314814814817E-2</v>
      </c>
      <c r="K388" s="61">
        <v>1.7893518518518519E-3</v>
      </c>
      <c r="L388" s="61">
        <v>2.7131944444444441E-2</v>
      </c>
      <c r="M388" s="61">
        <v>1.3344907407407407E-3</v>
      </c>
      <c r="N388" s="61">
        <v>2.0666666666666667E-2</v>
      </c>
      <c r="O388" s="61">
        <v>3.1238425925925921E-3</v>
      </c>
      <c r="P388" s="61">
        <v>6.5175925925925929E-2</v>
      </c>
      <c r="Q388" s="59" t="s">
        <v>2222</v>
      </c>
      <c r="R388" s="8">
        <f t="shared" si="6"/>
        <v>612</v>
      </c>
    </row>
    <row r="389" spans="1:18">
      <c r="A389" s="59">
        <v>88</v>
      </c>
      <c r="B389" s="59">
        <v>2021</v>
      </c>
      <c r="C389" s="60" t="s">
        <v>135</v>
      </c>
      <c r="D389" s="59" t="s">
        <v>2223</v>
      </c>
      <c r="E389" s="59" t="s">
        <v>0</v>
      </c>
      <c r="F389" s="59"/>
      <c r="G389" s="59" t="s">
        <v>340</v>
      </c>
      <c r="H389" s="59"/>
      <c r="I389" s="59"/>
      <c r="J389" s="61">
        <v>1.5122685185185183E-2</v>
      </c>
      <c r="K389" s="61">
        <v>1.5358796296296294E-3</v>
      </c>
      <c r="L389" s="61">
        <v>2.7931712962962964E-2</v>
      </c>
      <c r="M389" s="61">
        <v>1.2777777777777779E-3</v>
      </c>
      <c r="N389" s="61">
        <v>1.9326388888888889E-2</v>
      </c>
      <c r="O389" s="61">
        <v>2.8136574074074075E-3</v>
      </c>
      <c r="P389" s="61">
        <v>6.519675925925926E-2</v>
      </c>
      <c r="Q389" s="59" t="s">
        <v>2224</v>
      </c>
      <c r="R389" s="8">
        <f t="shared" si="6"/>
        <v>612</v>
      </c>
    </row>
    <row r="390" spans="1:18">
      <c r="A390" s="59">
        <v>89</v>
      </c>
      <c r="B390" s="59">
        <v>2050</v>
      </c>
      <c r="C390" s="60" t="s">
        <v>135</v>
      </c>
      <c r="D390" s="59" t="s">
        <v>848</v>
      </c>
      <c r="E390" s="59" t="s">
        <v>849</v>
      </c>
      <c r="F390" s="59" t="s">
        <v>850</v>
      </c>
      <c r="G390" s="59" t="s">
        <v>340</v>
      </c>
      <c r="H390" s="59"/>
      <c r="I390" s="59"/>
      <c r="J390" s="61">
        <v>1.2950231481481483E-2</v>
      </c>
      <c r="K390" s="61">
        <v>1.451388888888889E-3</v>
      </c>
      <c r="L390" s="61">
        <v>2.7432870370370368E-2</v>
      </c>
      <c r="M390" s="61">
        <v>1.6956018518518518E-3</v>
      </c>
      <c r="N390" s="61">
        <v>2.2004629629629631E-2</v>
      </c>
      <c r="O390" s="61">
        <v>3.1469907407407406E-3</v>
      </c>
      <c r="P390" s="61">
        <v>6.5537037037037033E-2</v>
      </c>
      <c r="Q390" s="59" t="s">
        <v>2225</v>
      </c>
      <c r="R390" s="8">
        <f t="shared" si="6"/>
        <v>609</v>
      </c>
    </row>
    <row r="391" spans="1:18">
      <c r="A391" s="59">
        <v>90</v>
      </c>
      <c r="B391" s="59">
        <v>2030</v>
      </c>
      <c r="C391" s="60" t="s">
        <v>135</v>
      </c>
      <c r="D391" s="59" t="s">
        <v>2226</v>
      </c>
      <c r="E391" s="59" t="s">
        <v>0</v>
      </c>
      <c r="F391" s="59" t="s">
        <v>2227</v>
      </c>
      <c r="G391" s="59" t="s">
        <v>340</v>
      </c>
      <c r="H391" s="59"/>
      <c r="I391" s="59"/>
      <c r="J391" s="61">
        <v>1.3277777777777779E-2</v>
      </c>
      <c r="K391" s="61">
        <v>1.8043981481481483E-3</v>
      </c>
      <c r="L391" s="61">
        <v>2.8556712962962964E-2</v>
      </c>
      <c r="M391" s="61">
        <v>1.7442129629629628E-3</v>
      </c>
      <c r="N391" s="61">
        <v>2.0302083333333332E-2</v>
      </c>
      <c r="O391" s="61">
        <v>3.5486111111111113E-3</v>
      </c>
      <c r="P391" s="61">
        <v>6.5687499999999996E-2</v>
      </c>
      <c r="Q391" s="59" t="s">
        <v>2228</v>
      </c>
      <c r="R391" s="8">
        <f t="shared" si="6"/>
        <v>607</v>
      </c>
    </row>
    <row r="392" spans="1:18">
      <c r="A392" s="59">
        <v>91</v>
      </c>
      <c r="B392" s="59">
        <v>2026</v>
      </c>
      <c r="C392" s="60" t="s">
        <v>2229</v>
      </c>
      <c r="D392" s="59" t="s">
        <v>2230</v>
      </c>
      <c r="E392" s="59" t="s">
        <v>0</v>
      </c>
      <c r="F392" s="59"/>
      <c r="G392" s="59" t="s">
        <v>340</v>
      </c>
      <c r="H392" s="59"/>
      <c r="I392" s="59"/>
      <c r="J392" s="61">
        <v>1.3655092592592592E-2</v>
      </c>
      <c r="K392" s="61">
        <v>1.912037037037037E-3</v>
      </c>
      <c r="L392" s="61">
        <v>2.8932870370370373E-2</v>
      </c>
      <c r="M392" s="61">
        <v>1.3495370370370369E-3</v>
      </c>
      <c r="N392" s="61">
        <v>2.0586805555555556E-2</v>
      </c>
      <c r="O392" s="61">
        <v>3.2615740740740743E-3</v>
      </c>
      <c r="P392" s="61">
        <v>6.6438657407407412E-2</v>
      </c>
      <c r="Q392" s="59" t="s">
        <v>2231</v>
      </c>
      <c r="R392" s="8">
        <f t="shared" si="6"/>
        <v>600</v>
      </c>
    </row>
    <row r="393" spans="1:18">
      <c r="A393" s="59">
        <v>92</v>
      </c>
      <c r="B393" s="59">
        <v>2046</v>
      </c>
      <c r="C393" s="60" t="s">
        <v>140</v>
      </c>
      <c r="D393" s="59" t="s">
        <v>2232</v>
      </c>
      <c r="E393" s="59" t="s">
        <v>0</v>
      </c>
      <c r="F393" s="59"/>
      <c r="G393" s="59" t="s">
        <v>340</v>
      </c>
      <c r="H393" s="59"/>
      <c r="I393" s="59"/>
      <c r="J393" s="61">
        <v>1.3467592592592592E-2</v>
      </c>
      <c r="K393" s="61">
        <v>1.8310185185185183E-3</v>
      </c>
      <c r="L393" s="61">
        <v>2.8127314814814813E-2</v>
      </c>
      <c r="M393" s="61">
        <v>1.9432870370370372E-3</v>
      </c>
      <c r="N393" s="61">
        <v>2.1068287037037038E-2</v>
      </c>
      <c r="O393" s="61">
        <v>3.7743055555555559E-3</v>
      </c>
      <c r="P393" s="61">
        <v>6.6439814814814813E-2</v>
      </c>
      <c r="Q393" s="59" t="s">
        <v>2233</v>
      </c>
      <c r="R393" s="8">
        <f t="shared" si="6"/>
        <v>600</v>
      </c>
    </row>
    <row r="394" spans="1:18">
      <c r="A394" s="59">
        <v>93</v>
      </c>
      <c r="B394" s="59">
        <v>2073</v>
      </c>
      <c r="C394" s="60" t="s">
        <v>135</v>
      </c>
      <c r="D394" s="59" t="s">
        <v>1301</v>
      </c>
      <c r="E394" s="59" t="s">
        <v>1302</v>
      </c>
      <c r="F394" s="59"/>
      <c r="G394" s="59" t="s">
        <v>340</v>
      </c>
      <c r="H394" s="59"/>
      <c r="I394" s="59"/>
      <c r="J394" s="61">
        <v>1.4591435185185186E-2</v>
      </c>
      <c r="K394" s="61">
        <v>1.6168981481481481E-3</v>
      </c>
      <c r="L394" s="61">
        <v>2.878587962962963E-2</v>
      </c>
      <c r="M394" s="61">
        <v>1.0300925925925926E-3</v>
      </c>
      <c r="N394" s="61">
        <v>2.0430555555555556E-2</v>
      </c>
      <c r="O394" s="61">
        <v>2.6469907407407406E-3</v>
      </c>
      <c r="P394" s="61">
        <v>6.6458333333333328E-2</v>
      </c>
      <c r="Q394" s="59" t="s">
        <v>2234</v>
      </c>
      <c r="R394" s="8">
        <f t="shared" si="6"/>
        <v>600</v>
      </c>
    </row>
    <row r="395" spans="1:18">
      <c r="A395" s="59">
        <v>94</v>
      </c>
      <c r="B395" s="59">
        <v>2080</v>
      </c>
      <c r="C395" s="60" t="s">
        <v>135</v>
      </c>
      <c r="D395" s="59" t="s">
        <v>2235</v>
      </c>
      <c r="E395" s="59" t="s">
        <v>0</v>
      </c>
      <c r="F395" s="59"/>
      <c r="G395" s="59" t="s">
        <v>340</v>
      </c>
      <c r="H395" s="59"/>
      <c r="I395" s="59"/>
      <c r="J395" s="61">
        <v>1.4943287037037036E-2</v>
      </c>
      <c r="K395" s="61">
        <v>1.7465277777777778E-3</v>
      </c>
      <c r="L395" s="61">
        <v>2.8457175925925924E-2</v>
      </c>
      <c r="M395" s="61">
        <v>8.8425925925925933E-4</v>
      </c>
      <c r="N395" s="61">
        <v>2.0605324074074075E-2</v>
      </c>
      <c r="O395" s="61">
        <v>2.6307870370370374E-3</v>
      </c>
      <c r="P395" s="61">
        <v>6.6638888888888886E-2</v>
      </c>
      <c r="Q395" s="59" t="s">
        <v>2236</v>
      </c>
      <c r="R395" s="8">
        <f t="shared" si="6"/>
        <v>599</v>
      </c>
    </row>
    <row r="396" spans="1:18">
      <c r="A396" s="59">
        <v>95</v>
      </c>
      <c r="B396" s="59">
        <v>2047</v>
      </c>
      <c r="C396" s="60" t="s">
        <v>135</v>
      </c>
      <c r="D396" s="59" t="s">
        <v>2237</v>
      </c>
      <c r="E396" s="59" t="s">
        <v>0</v>
      </c>
      <c r="F396" s="59"/>
      <c r="G396" s="59" t="s">
        <v>340</v>
      </c>
      <c r="H396" s="59"/>
      <c r="I396" s="59"/>
      <c r="J396" s="61">
        <v>1.3234953703703704E-2</v>
      </c>
      <c r="K396" s="61">
        <v>2.8379629629629627E-3</v>
      </c>
      <c r="L396" s="61">
        <v>3.1042824074074073E-2</v>
      </c>
      <c r="M396" s="61">
        <v>1.3553240740740741E-3</v>
      </c>
      <c r="N396" s="61">
        <v>1.8645833333333334E-2</v>
      </c>
      <c r="O396" s="61">
        <v>4.193287037037037E-3</v>
      </c>
      <c r="P396" s="61">
        <v>6.7119212962962971E-2</v>
      </c>
      <c r="Q396" s="59" t="s">
        <v>2238</v>
      </c>
      <c r="R396" s="8">
        <f t="shared" si="6"/>
        <v>594</v>
      </c>
    </row>
    <row r="397" spans="1:18">
      <c r="A397" s="59">
        <v>96</v>
      </c>
      <c r="B397" s="59">
        <v>2095</v>
      </c>
      <c r="C397" s="60" t="s">
        <v>135</v>
      </c>
      <c r="D397" s="59" t="s">
        <v>2239</v>
      </c>
      <c r="E397" s="59" t="s">
        <v>0</v>
      </c>
      <c r="F397" s="59"/>
      <c r="G397" s="59" t="s">
        <v>340</v>
      </c>
      <c r="H397" s="59"/>
      <c r="I397" s="59"/>
      <c r="J397" s="61">
        <v>1.2359953703703705E-2</v>
      </c>
      <c r="K397" s="61">
        <v>1.7662037037037036E-3</v>
      </c>
      <c r="L397" s="61">
        <v>3.0290509259259257E-2</v>
      </c>
      <c r="M397" s="61">
        <v>1.4363425925925926E-3</v>
      </c>
      <c r="N397" s="61">
        <v>2.1583333333333333E-2</v>
      </c>
      <c r="O397" s="61">
        <v>3.2025462962962962E-3</v>
      </c>
      <c r="P397" s="61">
        <v>6.7438657407407399E-2</v>
      </c>
      <c r="Q397" s="59" t="s">
        <v>2240</v>
      </c>
      <c r="R397" s="8">
        <f t="shared" si="6"/>
        <v>592</v>
      </c>
    </row>
    <row r="398" spans="1:18">
      <c r="A398" s="59">
        <v>97</v>
      </c>
      <c r="B398" s="59">
        <v>2525</v>
      </c>
      <c r="C398" s="60" t="s">
        <v>135</v>
      </c>
      <c r="D398" s="59" t="s">
        <v>2241</v>
      </c>
      <c r="E398" s="59" t="s">
        <v>0</v>
      </c>
      <c r="F398" s="59" t="s">
        <v>203</v>
      </c>
      <c r="G398" s="59" t="s">
        <v>319</v>
      </c>
      <c r="H398" s="59"/>
      <c r="I398" s="59"/>
      <c r="J398" s="61">
        <v>1.3491898148148149E-2</v>
      </c>
      <c r="K398" s="61">
        <v>1.2986111111111111E-3</v>
      </c>
      <c r="L398" s="61">
        <v>3.046064814814815E-2</v>
      </c>
      <c r="M398" s="61">
        <v>1.2731481481481483E-3</v>
      </c>
      <c r="N398" s="61">
        <v>2.1002314814814814E-2</v>
      </c>
      <c r="O398" s="61">
        <v>2.5717592592592593E-3</v>
      </c>
      <c r="P398" s="61">
        <v>6.7528935185185185E-2</v>
      </c>
      <c r="Q398" s="59" t="s">
        <v>2242</v>
      </c>
      <c r="R398" s="8">
        <f t="shared" si="6"/>
        <v>591</v>
      </c>
    </row>
    <row r="399" spans="1:18">
      <c r="A399" s="59">
        <v>98</v>
      </c>
      <c r="B399" s="59">
        <v>2125</v>
      </c>
      <c r="C399" s="60" t="s">
        <v>135</v>
      </c>
      <c r="D399" s="59" t="s">
        <v>2243</v>
      </c>
      <c r="E399" s="59" t="s">
        <v>0</v>
      </c>
      <c r="F399" s="59" t="s">
        <v>148</v>
      </c>
      <c r="G399" s="59" t="s">
        <v>340</v>
      </c>
      <c r="H399" s="59"/>
      <c r="I399" s="59"/>
      <c r="J399" s="61">
        <v>1.241550925925926E-2</v>
      </c>
      <c r="K399" s="61">
        <v>3.8506944444444443E-3</v>
      </c>
      <c r="L399" s="61">
        <v>2.9402777777777778E-2</v>
      </c>
      <c r="M399" s="61">
        <v>1.2824074074074075E-3</v>
      </c>
      <c r="N399" s="61">
        <v>2.0597222222222222E-2</v>
      </c>
      <c r="O399" s="61">
        <v>5.1331018518518522E-3</v>
      </c>
      <c r="P399" s="61">
        <v>6.7549768518518516E-2</v>
      </c>
      <c r="Q399" s="59" t="s">
        <v>2244</v>
      </c>
      <c r="R399" s="8">
        <f t="shared" si="6"/>
        <v>591</v>
      </c>
    </row>
    <row r="400" spans="1:18">
      <c r="A400" s="59">
        <v>99</v>
      </c>
      <c r="B400" s="59">
        <v>2124</v>
      </c>
      <c r="C400" s="60" t="s">
        <v>135</v>
      </c>
      <c r="D400" s="59" t="s">
        <v>1308</v>
      </c>
      <c r="E400" s="59" t="s">
        <v>1309</v>
      </c>
      <c r="F400" s="59" t="s">
        <v>148</v>
      </c>
      <c r="G400" s="59" t="s">
        <v>340</v>
      </c>
      <c r="H400" s="59"/>
      <c r="I400" s="59"/>
      <c r="J400" s="61">
        <v>1.6899305555555553E-2</v>
      </c>
      <c r="K400" s="61">
        <v>1.6793981481481482E-3</v>
      </c>
      <c r="L400" s="61">
        <v>2.8254629629629626E-2</v>
      </c>
      <c r="M400" s="61">
        <v>1.1377314814814815E-3</v>
      </c>
      <c r="N400" s="61">
        <v>2.0171296296296295E-2</v>
      </c>
      <c r="O400" s="61">
        <v>2.8171296296296295E-3</v>
      </c>
      <c r="P400" s="61">
        <v>6.8144675925925921E-2</v>
      </c>
      <c r="Q400" s="59" t="s">
        <v>2245</v>
      </c>
      <c r="R400" s="8">
        <f t="shared" si="6"/>
        <v>585</v>
      </c>
    </row>
    <row r="401" spans="1:18">
      <c r="A401" s="59">
        <v>100</v>
      </c>
      <c r="B401" s="59">
        <v>2085</v>
      </c>
      <c r="C401" s="60" t="s">
        <v>135</v>
      </c>
      <c r="D401" s="59" t="s">
        <v>2246</v>
      </c>
      <c r="E401" s="59" t="s">
        <v>2247</v>
      </c>
      <c r="F401" s="59" t="s">
        <v>2248</v>
      </c>
      <c r="G401" s="59" t="s">
        <v>340</v>
      </c>
      <c r="H401" s="59"/>
      <c r="I401" s="59"/>
      <c r="J401" s="61">
        <v>1.6122685185185184E-2</v>
      </c>
      <c r="K401" s="61">
        <v>1.5659722222222223E-3</v>
      </c>
      <c r="L401" s="61">
        <v>2.912962962962963E-2</v>
      </c>
      <c r="M401" s="61">
        <v>2.4409722222222224E-3</v>
      </c>
      <c r="N401" s="61">
        <v>1.915625E-2</v>
      </c>
      <c r="O401" s="61">
        <v>4.0069444444444441E-3</v>
      </c>
      <c r="P401" s="61">
        <v>6.8417824074074082E-2</v>
      </c>
      <c r="Q401" s="59" t="s">
        <v>2249</v>
      </c>
      <c r="R401" s="8">
        <f t="shared" si="6"/>
        <v>583</v>
      </c>
    </row>
    <row r="402" spans="1:18">
      <c r="A402" s="59">
        <v>101</v>
      </c>
      <c r="B402" s="59">
        <v>2005</v>
      </c>
      <c r="C402" s="60" t="s">
        <v>135</v>
      </c>
      <c r="D402" s="59" t="s">
        <v>977</v>
      </c>
      <c r="E402" s="59" t="s">
        <v>978</v>
      </c>
      <c r="F402" s="59"/>
      <c r="G402" s="59" t="s">
        <v>340</v>
      </c>
      <c r="H402" s="59"/>
      <c r="I402" s="59"/>
      <c r="J402" s="61">
        <v>1.7451388888888888E-2</v>
      </c>
      <c r="K402" s="61">
        <v>1.7812500000000001E-3</v>
      </c>
      <c r="L402" s="61">
        <v>2.8348379629629633E-2</v>
      </c>
      <c r="M402" s="61">
        <v>1.2916666666666667E-3</v>
      </c>
      <c r="N402" s="61">
        <v>1.9581018518518518E-2</v>
      </c>
      <c r="O402" s="61">
        <v>3.0729166666666665E-3</v>
      </c>
      <c r="P402" s="61">
        <v>6.8456018518518527E-2</v>
      </c>
      <c r="Q402" s="59" t="s">
        <v>2250</v>
      </c>
      <c r="R402" s="8">
        <f t="shared" si="6"/>
        <v>583</v>
      </c>
    </row>
    <row r="403" spans="1:18">
      <c r="A403" s="59">
        <v>102</v>
      </c>
      <c r="B403" s="59">
        <v>2112</v>
      </c>
      <c r="C403" s="60" t="s">
        <v>135</v>
      </c>
      <c r="D403" s="59" t="s">
        <v>2251</v>
      </c>
      <c r="E403" s="59" t="s">
        <v>2252</v>
      </c>
      <c r="F403" s="59"/>
      <c r="G403" s="59" t="s">
        <v>340</v>
      </c>
      <c r="H403" s="59"/>
      <c r="I403" s="59"/>
      <c r="J403" s="61">
        <v>1.3996527777777778E-2</v>
      </c>
      <c r="K403" s="61">
        <v>1.6157407407407407E-3</v>
      </c>
      <c r="L403" s="61">
        <v>2.9564814814814815E-2</v>
      </c>
      <c r="M403" s="61">
        <v>1.5069444444444442E-3</v>
      </c>
      <c r="N403" s="61">
        <v>2.1828703703703704E-2</v>
      </c>
      <c r="O403" s="61">
        <v>3.1226851851851854E-3</v>
      </c>
      <c r="P403" s="61">
        <v>6.8515046296296289E-2</v>
      </c>
      <c r="Q403" s="59" t="s">
        <v>2253</v>
      </c>
      <c r="R403" s="8">
        <f t="shared" si="6"/>
        <v>582</v>
      </c>
    </row>
    <row r="404" spans="1:18">
      <c r="A404" s="59">
        <v>103</v>
      </c>
      <c r="B404" s="59">
        <v>2522</v>
      </c>
      <c r="C404" s="60" t="s">
        <v>135</v>
      </c>
      <c r="D404" s="59" t="s">
        <v>2254</v>
      </c>
      <c r="E404" s="59" t="s">
        <v>2255</v>
      </c>
      <c r="F404" s="59"/>
      <c r="G404" s="59" t="s">
        <v>319</v>
      </c>
      <c r="H404" s="59"/>
      <c r="I404" s="59"/>
      <c r="J404" s="61">
        <v>1.9589120370370371E-2</v>
      </c>
      <c r="K404" s="61">
        <v>1.5104166666666666E-3</v>
      </c>
      <c r="L404" s="61">
        <v>2.7030092592592595E-2</v>
      </c>
      <c r="M404" s="61">
        <v>1.1840277777777778E-3</v>
      </c>
      <c r="N404" s="61">
        <v>1.9214120370370371E-2</v>
      </c>
      <c r="O404" s="61">
        <v>2.6944444444444446E-3</v>
      </c>
      <c r="P404" s="61">
        <v>6.8530092592592587E-2</v>
      </c>
      <c r="Q404" s="59" t="s">
        <v>176</v>
      </c>
      <c r="R404" s="8">
        <f t="shared" si="6"/>
        <v>582</v>
      </c>
    </row>
    <row r="405" spans="1:18">
      <c r="A405" s="59">
        <v>104</v>
      </c>
      <c r="B405" s="59">
        <v>2508</v>
      </c>
      <c r="C405" s="60" t="s">
        <v>135</v>
      </c>
      <c r="D405" s="59" t="s">
        <v>2256</v>
      </c>
      <c r="E405" s="59" t="s">
        <v>0</v>
      </c>
      <c r="F405" s="59"/>
      <c r="G405" s="59" t="s">
        <v>319</v>
      </c>
      <c r="H405" s="59"/>
      <c r="I405" s="59"/>
      <c r="J405" s="61">
        <v>1.5212962962962965E-2</v>
      </c>
      <c r="K405" s="61">
        <v>1.8993055555555556E-3</v>
      </c>
      <c r="L405" s="61">
        <v>3.129282407407407E-2</v>
      </c>
      <c r="M405" s="61">
        <v>1.0081018518518518E-3</v>
      </c>
      <c r="N405" s="61">
        <v>1.9138888888888889E-2</v>
      </c>
      <c r="O405" s="61">
        <v>2.9074074074074072E-3</v>
      </c>
      <c r="P405" s="61">
        <v>6.8554398148148149E-2</v>
      </c>
      <c r="Q405" s="59" t="s">
        <v>2257</v>
      </c>
      <c r="R405" s="8">
        <f t="shared" si="6"/>
        <v>582</v>
      </c>
    </row>
    <row r="406" spans="1:18">
      <c r="A406" s="59">
        <v>105</v>
      </c>
      <c r="B406" s="59">
        <v>2121</v>
      </c>
      <c r="C406" s="60" t="s">
        <v>135</v>
      </c>
      <c r="D406" s="59" t="s">
        <v>2258</v>
      </c>
      <c r="E406" s="59" t="s">
        <v>2259</v>
      </c>
      <c r="F406" s="59" t="s">
        <v>148</v>
      </c>
      <c r="G406" s="59" t="s">
        <v>340</v>
      </c>
      <c r="H406" s="59"/>
      <c r="I406" s="59"/>
      <c r="J406" s="61">
        <v>1.4187499999999999E-2</v>
      </c>
      <c r="K406" s="61">
        <v>1.502314814814815E-3</v>
      </c>
      <c r="L406" s="61">
        <v>2.9991898148148149E-2</v>
      </c>
      <c r="M406" s="61">
        <v>1.2800925925925924E-3</v>
      </c>
      <c r="N406" s="61">
        <v>2.1952546296296296E-2</v>
      </c>
      <c r="O406" s="61">
        <v>2.7824074074074075E-3</v>
      </c>
      <c r="P406" s="61">
        <v>6.8914351851851852E-2</v>
      </c>
      <c r="Q406" s="59" t="s">
        <v>2260</v>
      </c>
      <c r="R406" s="8">
        <f t="shared" si="6"/>
        <v>579</v>
      </c>
    </row>
    <row r="407" spans="1:18">
      <c r="A407" s="59">
        <v>106</v>
      </c>
      <c r="B407" s="59">
        <v>2515</v>
      </c>
      <c r="C407" s="60" t="s">
        <v>135</v>
      </c>
      <c r="D407" s="59" t="s">
        <v>2261</v>
      </c>
      <c r="E407" s="59" t="s">
        <v>2262</v>
      </c>
      <c r="F407" s="59" t="s">
        <v>2263</v>
      </c>
      <c r="G407" s="59" t="s">
        <v>319</v>
      </c>
      <c r="H407" s="59"/>
      <c r="I407" s="59"/>
      <c r="J407" s="61">
        <v>1.548148148148148E-2</v>
      </c>
      <c r="K407" s="61">
        <v>2.1111111111111113E-3</v>
      </c>
      <c r="L407" s="61">
        <v>3.1203703703703702E-2</v>
      </c>
      <c r="M407" s="61">
        <v>1.0787037037037037E-3</v>
      </c>
      <c r="N407" s="61">
        <v>1.95625E-2</v>
      </c>
      <c r="O407" s="61">
        <v>3.189814814814815E-3</v>
      </c>
      <c r="P407" s="61">
        <v>6.9440972222222216E-2</v>
      </c>
      <c r="Q407" s="59" t="s">
        <v>2264</v>
      </c>
      <c r="R407" s="8">
        <f t="shared" si="6"/>
        <v>574</v>
      </c>
    </row>
    <row r="408" spans="1:18">
      <c r="A408" s="59">
        <v>107</v>
      </c>
      <c r="B408" s="59">
        <v>2129</v>
      </c>
      <c r="C408" s="60" t="s">
        <v>140</v>
      </c>
      <c r="D408" s="59" t="s">
        <v>2265</v>
      </c>
      <c r="E408" s="59" t="s">
        <v>0</v>
      </c>
      <c r="F408" s="59"/>
      <c r="G408" s="59" t="s">
        <v>340</v>
      </c>
      <c r="H408" s="59"/>
      <c r="I408" s="59"/>
      <c r="J408" s="61">
        <v>1.745601851851852E-2</v>
      </c>
      <c r="K408" s="61">
        <v>1.5196759259259261E-3</v>
      </c>
      <c r="L408" s="61">
        <v>3.1324074074074074E-2</v>
      </c>
      <c r="M408" s="61">
        <v>9.756944444444444E-4</v>
      </c>
      <c r="N408" s="61">
        <v>1.8288194444444444E-2</v>
      </c>
      <c r="O408" s="61">
        <v>2.4953703703703705E-3</v>
      </c>
      <c r="P408" s="61">
        <v>6.9564814814814815E-2</v>
      </c>
      <c r="Q408" s="59" t="s">
        <v>2266</v>
      </c>
      <c r="R408" s="8">
        <f t="shared" si="6"/>
        <v>573</v>
      </c>
    </row>
    <row r="409" spans="1:18">
      <c r="A409" s="59">
        <v>108</v>
      </c>
      <c r="B409" s="59">
        <v>2502</v>
      </c>
      <c r="C409" s="60" t="s">
        <v>135</v>
      </c>
      <c r="D409" s="59" t="s">
        <v>2267</v>
      </c>
      <c r="E409" s="59" t="s">
        <v>0</v>
      </c>
      <c r="F409" s="59" t="s">
        <v>2123</v>
      </c>
      <c r="G409" s="59" t="s">
        <v>319</v>
      </c>
      <c r="H409" s="59"/>
      <c r="I409" s="59"/>
      <c r="J409" s="61">
        <v>1.3533564814814814E-2</v>
      </c>
      <c r="K409" s="61">
        <v>1.3587962962962963E-3</v>
      </c>
      <c r="L409" s="61">
        <v>3.0031249999999999E-2</v>
      </c>
      <c r="M409" s="61">
        <v>9.2361111111111105E-4</v>
      </c>
      <c r="N409" s="61">
        <v>2.3873842592592589E-2</v>
      </c>
      <c r="O409" s="61">
        <v>2.2824074074074075E-3</v>
      </c>
      <c r="P409" s="61">
        <v>6.9723379629629628E-2</v>
      </c>
      <c r="Q409" s="59" t="s">
        <v>2268</v>
      </c>
      <c r="R409" s="8">
        <f t="shared" si="6"/>
        <v>572</v>
      </c>
    </row>
    <row r="410" spans="1:18">
      <c r="A410" s="59">
        <v>109</v>
      </c>
      <c r="B410" s="59">
        <v>2017</v>
      </c>
      <c r="C410" s="60" t="s">
        <v>135</v>
      </c>
      <c r="D410" s="59" t="s">
        <v>2269</v>
      </c>
      <c r="E410" s="59" t="s">
        <v>0</v>
      </c>
      <c r="F410" s="59"/>
      <c r="G410" s="59" t="s">
        <v>340</v>
      </c>
      <c r="H410" s="59"/>
      <c r="I410" s="59"/>
      <c r="J410" s="61">
        <v>1.3361111111111112E-2</v>
      </c>
      <c r="K410" s="61">
        <v>1.3287037037037037E-3</v>
      </c>
      <c r="L410" s="61">
        <v>2.8746527777777777E-2</v>
      </c>
      <c r="M410" s="61">
        <v>1.4004629629629629E-3</v>
      </c>
      <c r="N410" s="61">
        <v>2.5173611111111112E-2</v>
      </c>
      <c r="O410" s="61">
        <v>2.7291666666666666E-3</v>
      </c>
      <c r="P410" s="61">
        <v>7.0012731481481488E-2</v>
      </c>
      <c r="Q410" s="59" t="s">
        <v>2270</v>
      </c>
      <c r="R410" s="8">
        <f t="shared" si="6"/>
        <v>570</v>
      </c>
    </row>
    <row r="411" spans="1:18">
      <c r="A411" s="59">
        <v>110</v>
      </c>
      <c r="B411" s="59">
        <v>2064</v>
      </c>
      <c r="C411" s="60" t="s">
        <v>135</v>
      </c>
      <c r="D411" s="59" t="s">
        <v>2271</v>
      </c>
      <c r="E411" s="59" t="s">
        <v>2272</v>
      </c>
      <c r="F411" s="59"/>
      <c r="G411" s="59" t="s">
        <v>340</v>
      </c>
      <c r="H411" s="59"/>
      <c r="I411" s="59"/>
      <c r="J411" s="61">
        <v>1.5491898148148149E-2</v>
      </c>
      <c r="K411" s="61">
        <v>1.5960648148148149E-3</v>
      </c>
      <c r="L411" s="61">
        <v>2.8609953703703703E-2</v>
      </c>
      <c r="M411" s="61">
        <v>1.4537037037037036E-3</v>
      </c>
      <c r="N411" s="61">
        <v>2.3009259259259261E-2</v>
      </c>
      <c r="O411" s="61">
        <v>3.0497685185185185E-3</v>
      </c>
      <c r="P411" s="61">
        <v>7.0163194444444452E-2</v>
      </c>
      <c r="Q411" s="59" t="s">
        <v>2273</v>
      </c>
      <c r="R411" s="8">
        <f t="shared" si="6"/>
        <v>569</v>
      </c>
    </row>
    <row r="412" spans="1:18">
      <c r="A412" s="59">
        <v>111</v>
      </c>
      <c r="B412" s="59">
        <v>2501</v>
      </c>
      <c r="C412" s="60" t="s">
        <v>135</v>
      </c>
      <c r="D412" s="59" t="s">
        <v>1194</v>
      </c>
      <c r="E412" s="59" t="s">
        <v>1195</v>
      </c>
      <c r="F412" s="59" t="s">
        <v>138</v>
      </c>
      <c r="G412" s="59" t="s">
        <v>319</v>
      </c>
      <c r="H412" s="59"/>
      <c r="I412" s="59"/>
      <c r="J412" s="61">
        <v>1.3104166666666667E-2</v>
      </c>
      <c r="K412" s="61">
        <v>1.5960648148148149E-3</v>
      </c>
      <c r="L412" s="61">
        <v>2.8048611111111111E-2</v>
      </c>
      <c r="M412" s="61">
        <v>1.980324074074074E-3</v>
      </c>
      <c r="N412" s="61">
        <v>2.5486111111111112E-2</v>
      </c>
      <c r="O412" s="61">
        <v>3.5763888888888889E-3</v>
      </c>
      <c r="P412" s="61">
        <v>7.0217592592592595E-2</v>
      </c>
      <c r="Q412" s="59" t="s">
        <v>2274</v>
      </c>
      <c r="R412" s="8">
        <f t="shared" si="6"/>
        <v>568</v>
      </c>
    </row>
    <row r="413" spans="1:18">
      <c r="A413" s="59">
        <v>112</v>
      </c>
      <c r="B413" s="59">
        <v>2139</v>
      </c>
      <c r="C413" s="60" t="s">
        <v>135</v>
      </c>
      <c r="D413" s="59" t="s">
        <v>2275</v>
      </c>
      <c r="E413" s="59" t="s">
        <v>0</v>
      </c>
      <c r="F413" s="59" t="s">
        <v>148</v>
      </c>
      <c r="G413" s="59" t="s">
        <v>340</v>
      </c>
      <c r="H413" s="59"/>
      <c r="I413" s="59"/>
      <c r="J413" s="61">
        <v>1.6172453703703703E-2</v>
      </c>
      <c r="K413" s="61">
        <v>1.8055555555555555E-3</v>
      </c>
      <c r="L413" s="61">
        <v>3.1340277777777779E-2</v>
      </c>
      <c r="M413" s="61">
        <v>1.0416666666666667E-3</v>
      </c>
      <c r="N413" s="61">
        <v>2.0347222222222221E-2</v>
      </c>
      <c r="O413" s="61">
        <v>2.8472222222222223E-3</v>
      </c>
      <c r="P413" s="61">
        <v>7.0709490740740746E-2</v>
      </c>
      <c r="Q413" s="59" t="s">
        <v>2276</v>
      </c>
      <c r="R413" s="8">
        <f t="shared" si="6"/>
        <v>564</v>
      </c>
    </row>
    <row r="414" spans="1:18">
      <c r="A414" s="59">
        <v>113</v>
      </c>
      <c r="B414" s="59">
        <v>2013</v>
      </c>
      <c r="C414" s="60" t="s">
        <v>135</v>
      </c>
      <c r="D414" s="59" t="s">
        <v>996</v>
      </c>
      <c r="E414" s="59" t="s">
        <v>997</v>
      </c>
      <c r="F414" s="59" t="s">
        <v>998</v>
      </c>
      <c r="G414" s="59" t="s">
        <v>340</v>
      </c>
      <c r="H414" s="59"/>
      <c r="I414" s="59"/>
      <c r="J414" s="61">
        <v>1.5385416666666665E-2</v>
      </c>
      <c r="K414" s="61">
        <v>1.908564814814815E-3</v>
      </c>
      <c r="L414" s="61">
        <v>3.1609953703703703E-2</v>
      </c>
      <c r="M414" s="61">
        <v>1.5185185185185184E-3</v>
      </c>
      <c r="N414" s="61">
        <v>2.0293981481481482E-2</v>
      </c>
      <c r="O414" s="61">
        <v>3.4270833333333336E-3</v>
      </c>
      <c r="P414" s="61">
        <v>7.0717592592592596E-2</v>
      </c>
      <c r="Q414" s="59" t="s">
        <v>2277</v>
      </c>
      <c r="R414" s="8">
        <f t="shared" si="6"/>
        <v>564</v>
      </c>
    </row>
    <row r="415" spans="1:18">
      <c r="A415" s="59">
        <v>114</v>
      </c>
      <c r="B415" s="59">
        <v>2045</v>
      </c>
      <c r="C415" s="60" t="s">
        <v>135</v>
      </c>
      <c r="D415" s="59" t="s">
        <v>2278</v>
      </c>
      <c r="E415" s="59" t="s">
        <v>2279</v>
      </c>
      <c r="F415" s="59"/>
      <c r="G415" s="59" t="s">
        <v>340</v>
      </c>
      <c r="H415" s="59"/>
      <c r="I415" s="59"/>
      <c r="J415" s="61">
        <v>1.5961805555555555E-2</v>
      </c>
      <c r="K415" s="61">
        <v>2.0682870370370369E-3</v>
      </c>
      <c r="L415" s="61">
        <v>3.3937499999999995E-2</v>
      </c>
      <c r="M415" s="61">
        <v>8.0092592592592596E-4</v>
      </c>
      <c r="N415" s="61">
        <v>1.7967592592592594E-2</v>
      </c>
      <c r="O415" s="61">
        <v>2.8692129629629632E-3</v>
      </c>
      <c r="P415" s="61">
        <v>7.0739583333333328E-2</v>
      </c>
      <c r="Q415" s="59" t="s">
        <v>2280</v>
      </c>
      <c r="R415" s="8">
        <f t="shared" si="6"/>
        <v>564</v>
      </c>
    </row>
    <row r="416" spans="1:18">
      <c r="A416" s="59">
        <v>115</v>
      </c>
      <c r="B416" s="59">
        <v>2070</v>
      </c>
      <c r="C416" s="60" t="s">
        <v>2281</v>
      </c>
      <c r="D416" s="59" t="s">
        <v>2282</v>
      </c>
      <c r="E416" s="59" t="s">
        <v>0</v>
      </c>
      <c r="F416" s="59"/>
      <c r="G416" s="59" t="s">
        <v>340</v>
      </c>
      <c r="H416" s="59"/>
      <c r="I416" s="59"/>
      <c r="J416" s="61">
        <v>1.4662037037037036E-2</v>
      </c>
      <c r="K416" s="61">
        <v>1.6898148148148148E-3</v>
      </c>
      <c r="L416" s="61">
        <v>3.1211805555555555E-2</v>
      </c>
      <c r="M416" s="61">
        <v>1.4548611111111112E-3</v>
      </c>
      <c r="N416" s="61">
        <v>2.1819444444444443E-2</v>
      </c>
      <c r="O416" s="61">
        <v>3.1446759259259258E-3</v>
      </c>
      <c r="P416" s="61">
        <v>7.084027777777778E-2</v>
      </c>
      <c r="Q416" s="59" t="s">
        <v>2283</v>
      </c>
      <c r="R416" s="8">
        <f t="shared" si="6"/>
        <v>563</v>
      </c>
    </row>
    <row r="417" spans="1:18">
      <c r="A417" s="59">
        <v>116</v>
      </c>
      <c r="B417" s="59">
        <v>2033</v>
      </c>
      <c r="C417" s="60" t="s">
        <v>135</v>
      </c>
      <c r="D417" s="59" t="s">
        <v>2284</v>
      </c>
      <c r="E417" s="59" t="s">
        <v>0</v>
      </c>
      <c r="F417" s="59" t="s">
        <v>2213</v>
      </c>
      <c r="G417" s="59" t="s">
        <v>340</v>
      </c>
      <c r="H417" s="59"/>
      <c r="I417" s="59"/>
      <c r="J417" s="61">
        <v>1.7601851851851851E-2</v>
      </c>
      <c r="K417" s="61">
        <v>1.8946759259259257E-3</v>
      </c>
      <c r="L417" s="61">
        <v>3.253009259259259E-2</v>
      </c>
      <c r="M417" s="61">
        <v>8.4027777777777768E-4</v>
      </c>
      <c r="N417" s="61">
        <v>1.8013888888888888E-2</v>
      </c>
      <c r="O417" s="61">
        <v>2.7349537037037039E-3</v>
      </c>
      <c r="P417" s="61">
        <v>7.0883101851851857E-2</v>
      </c>
      <c r="Q417" s="59" t="s">
        <v>2285</v>
      </c>
      <c r="R417" s="8">
        <f t="shared" si="6"/>
        <v>563</v>
      </c>
    </row>
    <row r="418" spans="1:18">
      <c r="A418" s="59">
        <v>117</v>
      </c>
      <c r="B418" s="59">
        <v>2059</v>
      </c>
      <c r="C418" s="60" t="s">
        <v>135</v>
      </c>
      <c r="D418" s="59" t="s">
        <v>2286</v>
      </c>
      <c r="E418" s="59" t="s">
        <v>2287</v>
      </c>
      <c r="F418" s="59" t="s">
        <v>2221</v>
      </c>
      <c r="G418" s="59" t="s">
        <v>340</v>
      </c>
      <c r="H418" s="59"/>
      <c r="I418" s="59"/>
      <c r="J418" s="61">
        <v>1.3798611111111112E-2</v>
      </c>
      <c r="K418" s="61">
        <v>1.5555555555555557E-3</v>
      </c>
      <c r="L418" s="61">
        <v>3.0097222222222223E-2</v>
      </c>
      <c r="M418" s="61">
        <v>8.3564814814814819E-4</v>
      </c>
      <c r="N418" s="61">
        <v>2.4946759259259259E-2</v>
      </c>
      <c r="O418" s="61">
        <v>2.3912037037037035E-3</v>
      </c>
      <c r="P418" s="61">
        <v>7.1237268518518512E-2</v>
      </c>
      <c r="Q418" s="59" t="s">
        <v>2288</v>
      </c>
      <c r="R418" s="8">
        <f t="shared" si="6"/>
        <v>560</v>
      </c>
    </row>
    <row r="419" spans="1:18">
      <c r="A419" s="59">
        <v>118</v>
      </c>
      <c r="B419" s="59">
        <v>2111</v>
      </c>
      <c r="C419" s="60" t="s">
        <v>135</v>
      </c>
      <c r="D419" s="59" t="s">
        <v>2289</v>
      </c>
      <c r="E419" s="59" t="s">
        <v>0</v>
      </c>
      <c r="F419" s="59"/>
      <c r="G419" s="59" t="s">
        <v>340</v>
      </c>
      <c r="H419" s="59"/>
      <c r="I419" s="59"/>
      <c r="J419" s="61">
        <v>1.9869212962962964E-2</v>
      </c>
      <c r="K419" s="61">
        <v>1.9756944444444444E-3</v>
      </c>
      <c r="L419" s="61">
        <v>2.9777777777777781E-2</v>
      </c>
      <c r="M419" s="61">
        <v>1.1898148148148148E-3</v>
      </c>
      <c r="N419" s="61">
        <v>1.8690972222222223E-2</v>
      </c>
      <c r="O419" s="61">
        <v>3.1655092592592594E-3</v>
      </c>
      <c r="P419" s="61">
        <v>7.1504629629629626E-2</v>
      </c>
      <c r="Q419" s="59" t="s">
        <v>2290</v>
      </c>
      <c r="R419" s="8">
        <f t="shared" si="6"/>
        <v>558</v>
      </c>
    </row>
    <row r="420" spans="1:18">
      <c r="A420" s="59">
        <v>119</v>
      </c>
      <c r="B420" s="59">
        <v>2043</v>
      </c>
      <c r="C420" s="60" t="s">
        <v>135</v>
      </c>
      <c r="D420" s="59" t="s">
        <v>2291</v>
      </c>
      <c r="E420" s="59" t="s">
        <v>0</v>
      </c>
      <c r="F420" s="59"/>
      <c r="G420" s="59" t="s">
        <v>340</v>
      </c>
      <c r="H420" s="59"/>
      <c r="I420" s="59"/>
      <c r="J420" s="61">
        <v>1.666087962962963E-2</v>
      </c>
      <c r="K420" s="61">
        <v>2.224537037037037E-3</v>
      </c>
      <c r="L420" s="61">
        <v>2.8756944444444443E-2</v>
      </c>
      <c r="M420" s="61">
        <v>1.0624999999999999E-3</v>
      </c>
      <c r="N420" s="61">
        <v>2.2998842592592592E-2</v>
      </c>
      <c r="O420" s="61">
        <v>3.2870370370370371E-3</v>
      </c>
      <c r="P420" s="61">
        <v>7.1706018518518516E-2</v>
      </c>
      <c r="Q420" s="59" t="s">
        <v>2292</v>
      </c>
      <c r="R420" s="8">
        <f t="shared" si="6"/>
        <v>556</v>
      </c>
    </row>
    <row r="421" spans="1:18">
      <c r="A421" s="59">
        <v>120</v>
      </c>
      <c r="B421" s="59">
        <v>2091</v>
      </c>
      <c r="C421" s="60" t="s">
        <v>135</v>
      </c>
      <c r="D421" s="59" t="s">
        <v>2293</v>
      </c>
      <c r="E421" s="59" t="s">
        <v>0</v>
      </c>
      <c r="F421" s="59"/>
      <c r="G421" s="59" t="s">
        <v>340</v>
      </c>
      <c r="H421" s="59"/>
      <c r="I421" s="59"/>
      <c r="J421" s="61">
        <v>1.7542824074074075E-2</v>
      </c>
      <c r="K421" s="61">
        <v>2.2337962962962962E-3</v>
      </c>
      <c r="L421" s="61">
        <v>3.1954861111111114E-2</v>
      </c>
      <c r="M421" s="61">
        <v>1.1736111111111112E-3</v>
      </c>
      <c r="N421" s="61">
        <v>1.9162037037037036E-2</v>
      </c>
      <c r="O421" s="61">
        <v>3.4074074074074072E-3</v>
      </c>
      <c r="P421" s="61">
        <v>7.2068287037037035E-2</v>
      </c>
      <c r="Q421" s="59" t="s">
        <v>2294</v>
      </c>
      <c r="R421" s="8">
        <f t="shared" si="6"/>
        <v>554</v>
      </c>
    </row>
    <row r="422" spans="1:18">
      <c r="A422" s="59">
        <v>121</v>
      </c>
      <c r="B422" s="59">
        <v>2031</v>
      </c>
      <c r="C422" s="60" t="s">
        <v>135</v>
      </c>
      <c r="D422" s="59" t="s">
        <v>2295</v>
      </c>
      <c r="E422" s="59" t="s">
        <v>0</v>
      </c>
      <c r="F422" s="59"/>
      <c r="G422" s="59" t="s">
        <v>340</v>
      </c>
      <c r="H422" s="59"/>
      <c r="I422" s="59"/>
      <c r="J422" s="61">
        <v>1.561226851851852E-2</v>
      </c>
      <c r="K422" s="61">
        <v>2.015046296296296E-3</v>
      </c>
      <c r="L422" s="61">
        <v>3.1818287037037034E-2</v>
      </c>
      <c r="M422" s="61">
        <v>1.1909722222222224E-3</v>
      </c>
      <c r="N422" s="61">
        <v>2.1947916666666668E-2</v>
      </c>
      <c r="O422" s="61">
        <v>3.2060185185185186E-3</v>
      </c>
      <c r="P422" s="61">
        <v>7.2585648148148149E-2</v>
      </c>
      <c r="Q422" s="59" t="s">
        <v>2296</v>
      </c>
      <c r="R422" s="8">
        <f t="shared" si="6"/>
        <v>550</v>
      </c>
    </row>
    <row r="423" spans="1:18">
      <c r="A423" s="59">
        <v>122</v>
      </c>
      <c r="B423" s="59">
        <v>2024</v>
      </c>
      <c r="C423" s="60" t="s">
        <v>135</v>
      </c>
      <c r="D423" s="59" t="s">
        <v>2297</v>
      </c>
      <c r="E423" s="59" t="s">
        <v>0</v>
      </c>
      <c r="F423" s="59"/>
      <c r="G423" s="59" t="s">
        <v>340</v>
      </c>
      <c r="H423" s="59"/>
      <c r="I423" s="59"/>
      <c r="J423" s="61">
        <v>1.2111111111111112E-2</v>
      </c>
      <c r="K423" s="61">
        <v>2.8032407407407407E-3</v>
      </c>
      <c r="L423" s="61">
        <v>3.2350694444444446E-2</v>
      </c>
      <c r="M423" s="61">
        <v>2.7685185185185182E-3</v>
      </c>
      <c r="N423" s="61">
        <v>2.3055555555555555E-2</v>
      </c>
      <c r="O423" s="61">
        <v>5.5717592592592589E-3</v>
      </c>
      <c r="P423" s="61">
        <v>7.3091435185185183E-2</v>
      </c>
      <c r="Q423" s="59" t="s">
        <v>2298</v>
      </c>
      <c r="R423" s="8">
        <f t="shared" si="6"/>
        <v>546</v>
      </c>
    </row>
    <row r="424" spans="1:18">
      <c r="A424" s="59">
        <v>123</v>
      </c>
      <c r="B424" s="59">
        <v>2120</v>
      </c>
      <c r="C424" s="60" t="s">
        <v>135</v>
      </c>
      <c r="D424" s="59" t="s">
        <v>2299</v>
      </c>
      <c r="E424" s="59" t="s">
        <v>0</v>
      </c>
      <c r="F424" s="59"/>
      <c r="G424" s="59" t="s">
        <v>340</v>
      </c>
      <c r="H424" s="59"/>
      <c r="I424" s="59"/>
      <c r="J424" s="61">
        <v>1.4098379629629629E-2</v>
      </c>
      <c r="K424" s="61">
        <v>2.5081018518518516E-3</v>
      </c>
      <c r="L424" s="61">
        <v>3.4223379629629631E-2</v>
      </c>
      <c r="M424" s="61">
        <v>1.5648148148148147E-3</v>
      </c>
      <c r="N424" s="61">
        <v>2.0722222222222222E-2</v>
      </c>
      <c r="O424" s="61">
        <v>4.0729166666666665E-3</v>
      </c>
      <c r="P424" s="61">
        <v>7.3119212962962962E-2</v>
      </c>
      <c r="Q424" s="59" t="s">
        <v>2300</v>
      </c>
      <c r="R424" s="8">
        <f t="shared" si="6"/>
        <v>546</v>
      </c>
    </row>
    <row r="425" spans="1:18">
      <c r="A425" s="59">
        <v>124</v>
      </c>
      <c r="B425" s="59">
        <v>2006</v>
      </c>
      <c r="C425" s="60" t="s">
        <v>135</v>
      </c>
      <c r="D425" s="59" t="s">
        <v>2301</v>
      </c>
      <c r="E425" s="59" t="s">
        <v>0</v>
      </c>
      <c r="F425" s="59"/>
      <c r="G425" s="59" t="s">
        <v>340</v>
      </c>
      <c r="H425" s="59"/>
      <c r="I425" s="59"/>
      <c r="J425" s="61">
        <v>1.5901620370370372E-2</v>
      </c>
      <c r="K425" s="61">
        <v>1.9363425925925928E-3</v>
      </c>
      <c r="L425" s="61">
        <v>2.9686342592592594E-2</v>
      </c>
      <c r="M425" s="61">
        <v>8.1018518518518516E-4</v>
      </c>
      <c r="N425" s="61">
        <v>2.5300925925925925E-2</v>
      </c>
      <c r="O425" s="61">
        <v>2.7465277777777779E-3</v>
      </c>
      <c r="P425" s="61">
        <v>7.3637731481481478E-2</v>
      </c>
      <c r="Q425" s="59" t="s">
        <v>2302</v>
      </c>
      <c r="R425" s="8">
        <f t="shared" si="6"/>
        <v>542</v>
      </c>
    </row>
    <row r="426" spans="1:18">
      <c r="A426" s="59">
        <v>125</v>
      </c>
      <c r="B426" s="59">
        <v>2146</v>
      </c>
      <c r="C426" s="60" t="s">
        <v>135</v>
      </c>
      <c r="D426" s="59" t="s">
        <v>2303</v>
      </c>
      <c r="E426" s="59" t="s">
        <v>0</v>
      </c>
      <c r="F426" s="59" t="s">
        <v>2304</v>
      </c>
      <c r="G426" s="59" t="s">
        <v>340</v>
      </c>
      <c r="H426" s="59"/>
      <c r="I426" s="59"/>
      <c r="J426" s="61">
        <v>1.5952546296296295E-2</v>
      </c>
      <c r="K426" s="61">
        <v>2.003472222222222E-3</v>
      </c>
      <c r="L426" s="61">
        <v>3.2011574074074074E-2</v>
      </c>
      <c r="M426" s="61">
        <v>1.5555555555555557E-3</v>
      </c>
      <c r="N426" s="61">
        <v>2.2421296296296297E-2</v>
      </c>
      <c r="O426" s="61">
        <v>3.5590277777777777E-3</v>
      </c>
      <c r="P426" s="61">
        <v>7.3946759259259254E-2</v>
      </c>
      <c r="Q426" s="59" t="s">
        <v>2305</v>
      </c>
      <c r="R426" s="8">
        <f t="shared" si="6"/>
        <v>539</v>
      </c>
    </row>
    <row r="427" spans="1:18">
      <c r="A427" s="59">
        <v>126</v>
      </c>
      <c r="B427" s="59">
        <v>2500</v>
      </c>
      <c r="C427" s="60" t="s">
        <v>135</v>
      </c>
      <c r="D427" s="59" t="s">
        <v>1314</v>
      </c>
      <c r="E427" s="59" t="s">
        <v>1315</v>
      </c>
      <c r="F427" s="59" t="s">
        <v>2306</v>
      </c>
      <c r="G427" s="59" t="s">
        <v>319</v>
      </c>
      <c r="H427" s="59"/>
      <c r="I427" s="59"/>
      <c r="J427" s="61">
        <v>1.5678240740740739E-2</v>
      </c>
      <c r="K427" s="61">
        <v>2.1053240740740741E-3</v>
      </c>
      <c r="L427" s="61">
        <v>3.4101851851851855E-2</v>
      </c>
      <c r="M427" s="61">
        <v>1.4409722222222222E-3</v>
      </c>
      <c r="N427" s="61">
        <v>2.1685185185185186E-2</v>
      </c>
      <c r="O427" s="61">
        <v>3.5462962962962961E-3</v>
      </c>
      <c r="P427" s="61">
        <v>7.501388888888888E-2</v>
      </c>
      <c r="Q427" s="59" t="s">
        <v>251</v>
      </c>
      <c r="R427" s="8">
        <f t="shared" si="6"/>
        <v>532</v>
      </c>
    </row>
    <row r="428" spans="1:18">
      <c r="A428" s="59">
        <v>127</v>
      </c>
      <c r="B428" s="59">
        <v>2016</v>
      </c>
      <c r="C428" s="60" t="s">
        <v>135</v>
      </c>
      <c r="D428" s="59" t="s">
        <v>2307</v>
      </c>
      <c r="E428" s="59" t="s">
        <v>0</v>
      </c>
      <c r="F428" s="59"/>
      <c r="G428" s="59" t="s">
        <v>340</v>
      </c>
      <c r="H428" s="59"/>
      <c r="I428" s="59"/>
      <c r="J428" s="61">
        <v>1.593402777777778E-2</v>
      </c>
      <c r="K428" s="61">
        <v>2.739583333333333E-3</v>
      </c>
      <c r="L428" s="61">
        <v>3.3340277777777774E-2</v>
      </c>
      <c r="M428" s="61">
        <v>1.4548611111111112E-3</v>
      </c>
      <c r="N428" s="61">
        <v>2.1546296296296296E-2</v>
      </c>
      <c r="O428" s="61">
        <v>4.1944444444444442E-3</v>
      </c>
      <c r="P428" s="61">
        <v>7.5017361111111111E-2</v>
      </c>
      <c r="Q428" s="59" t="s">
        <v>2308</v>
      </c>
      <c r="R428" s="8">
        <f t="shared" si="6"/>
        <v>532</v>
      </c>
    </row>
    <row r="429" spans="1:18">
      <c r="A429" s="59">
        <v>128</v>
      </c>
      <c r="B429" s="59">
        <v>2131</v>
      </c>
      <c r="C429" s="60" t="s">
        <v>135</v>
      </c>
      <c r="D429" s="59" t="s">
        <v>1317</v>
      </c>
      <c r="E429" s="59" t="s">
        <v>1318</v>
      </c>
      <c r="F429" s="59" t="s">
        <v>2309</v>
      </c>
      <c r="G429" s="59" t="s">
        <v>340</v>
      </c>
      <c r="H429" s="59"/>
      <c r="I429" s="59"/>
      <c r="J429" s="61">
        <v>1.6640046296296295E-2</v>
      </c>
      <c r="K429" s="61">
        <v>2.162037037037037E-3</v>
      </c>
      <c r="L429" s="61">
        <v>2.8104166666666666E-2</v>
      </c>
      <c r="M429" s="61">
        <v>1.7106481481481482E-3</v>
      </c>
      <c r="N429" s="61">
        <v>2.6770833333333334E-2</v>
      </c>
      <c r="O429" s="61">
        <v>3.8726851851851856E-3</v>
      </c>
      <c r="P429" s="61">
        <v>7.5388888888888894E-2</v>
      </c>
      <c r="Q429" s="59" t="s">
        <v>2310</v>
      </c>
      <c r="R429" s="8">
        <f t="shared" si="6"/>
        <v>529</v>
      </c>
    </row>
    <row r="430" spans="1:18">
      <c r="A430" s="59">
        <v>129</v>
      </c>
      <c r="B430" s="59">
        <v>2517</v>
      </c>
      <c r="C430" s="60" t="s">
        <v>135</v>
      </c>
      <c r="D430" s="59" t="s">
        <v>2311</v>
      </c>
      <c r="E430" s="59" t="s">
        <v>0</v>
      </c>
      <c r="F430" s="59"/>
      <c r="G430" s="59" t="s">
        <v>319</v>
      </c>
      <c r="H430" s="59"/>
      <c r="I430" s="59"/>
      <c r="J430" s="61">
        <v>1.7414351851851851E-2</v>
      </c>
      <c r="K430" s="61">
        <v>1.4444444444444444E-3</v>
      </c>
      <c r="L430" s="61">
        <v>2.9645833333333333E-2</v>
      </c>
      <c r="M430" s="61">
        <v>1.8414351851851851E-3</v>
      </c>
      <c r="N430" s="61">
        <v>2.5063657407407406E-2</v>
      </c>
      <c r="O430" s="61">
        <v>3.2858796296296295E-3</v>
      </c>
      <c r="P430" s="61">
        <v>7.5413194444444442E-2</v>
      </c>
      <c r="Q430" s="59" t="s">
        <v>2312</v>
      </c>
      <c r="R430" s="8">
        <f t="shared" si="6"/>
        <v>529</v>
      </c>
    </row>
    <row r="431" spans="1:18">
      <c r="A431" s="59">
        <v>130</v>
      </c>
      <c r="B431" s="59">
        <v>2527</v>
      </c>
      <c r="C431" s="60" t="s">
        <v>135</v>
      </c>
      <c r="D431" s="59" t="s">
        <v>2313</v>
      </c>
      <c r="E431" s="59" t="s">
        <v>0</v>
      </c>
      <c r="F431" s="59"/>
      <c r="G431" s="59" t="s">
        <v>319</v>
      </c>
      <c r="H431" s="59"/>
      <c r="I431" s="59"/>
      <c r="J431" s="61">
        <v>1.4490740740740742E-2</v>
      </c>
      <c r="K431" s="61">
        <v>2.7418981481481483E-3</v>
      </c>
      <c r="L431" s="61">
        <v>3.4553240740740739E-2</v>
      </c>
      <c r="M431" s="61">
        <v>2.4293981481481484E-3</v>
      </c>
      <c r="N431" s="61">
        <v>2.1354166666666667E-2</v>
      </c>
      <c r="O431" s="61">
        <v>5.1712962962962962E-3</v>
      </c>
      <c r="P431" s="61">
        <v>7.557291666666667E-2</v>
      </c>
      <c r="Q431" s="59" t="s">
        <v>2314</v>
      </c>
      <c r="R431" s="8">
        <f t="shared" ref="R431:R449" si="7">IFERROR(ROUND($P$302/P431*900,0),0)</f>
        <v>528</v>
      </c>
    </row>
    <row r="432" spans="1:18">
      <c r="A432" s="59">
        <v>131</v>
      </c>
      <c r="B432" s="59">
        <v>2097</v>
      </c>
      <c r="C432" s="60" t="s">
        <v>135</v>
      </c>
      <c r="D432" s="59" t="s">
        <v>1258</v>
      </c>
      <c r="E432" s="59" t="s">
        <v>1259</v>
      </c>
      <c r="F432" s="59" t="s">
        <v>504</v>
      </c>
      <c r="G432" s="59" t="s">
        <v>340</v>
      </c>
      <c r="H432" s="59"/>
      <c r="I432" s="59"/>
      <c r="J432" s="61">
        <v>1.4209490740740741E-2</v>
      </c>
      <c r="K432" s="61">
        <v>1.1041666666666667E-3</v>
      </c>
      <c r="L432" s="61">
        <v>2.4706018518518516E-2</v>
      </c>
      <c r="M432" s="61">
        <v>1.9328703703703704E-3</v>
      </c>
      <c r="N432" s="61">
        <v>3.4027777777777775E-2</v>
      </c>
      <c r="O432" s="61">
        <v>3.0370370370370369E-3</v>
      </c>
      <c r="P432" s="61">
        <v>7.5982638888888884E-2</v>
      </c>
      <c r="Q432" s="59" t="s">
        <v>2315</v>
      </c>
      <c r="R432" s="8">
        <f t="shared" si="7"/>
        <v>525</v>
      </c>
    </row>
    <row r="433" spans="1:18">
      <c r="A433" s="59">
        <v>132</v>
      </c>
      <c r="B433" s="59">
        <v>2090</v>
      </c>
      <c r="C433" s="60" t="s">
        <v>135</v>
      </c>
      <c r="D433" s="59" t="s">
        <v>2316</v>
      </c>
      <c r="E433" s="59" t="s">
        <v>0</v>
      </c>
      <c r="F433" s="59"/>
      <c r="G433" s="59" t="s">
        <v>340</v>
      </c>
      <c r="H433" s="59"/>
      <c r="I433" s="59"/>
      <c r="J433" s="61">
        <v>1.6409722222222221E-2</v>
      </c>
      <c r="K433" s="61">
        <v>2.4398148148148148E-3</v>
      </c>
      <c r="L433" s="61">
        <v>3.3275462962962965E-2</v>
      </c>
      <c r="M433" s="61">
        <v>8.4143518518518519E-4</v>
      </c>
      <c r="N433" s="61">
        <v>2.3335648148148147E-2</v>
      </c>
      <c r="O433" s="61">
        <v>3.2812499999999999E-3</v>
      </c>
      <c r="P433" s="61">
        <v>7.6304398148148142E-2</v>
      </c>
      <c r="Q433" s="59" t="s">
        <v>2317</v>
      </c>
      <c r="R433" s="8">
        <f t="shared" si="7"/>
        <v>523</v>
      </c>
    </row>
    <row r="434" spans="1:18">
      <c r="A434" s="59">
        <v>133</v>
      </c>
      <c r="B434" s="59">
        <v>2018</v>
      </c>
      <c r="C434" s="60" t="s">
        <v>135</v>
      </c>
      <c r="D434" s="59" t="s">
        <v>2318</v>
      </c>
      <c r="E434" s="59" t="s">
        <v>0</v>
      </c>
      <c r="F434" s="59"/>
      <c r="G434" s="59" t="s">
        <v>340</v>
      </c>
      <c r="H434" s="59"/>
      <c r="I434" s="59"/>
      <c r="J434" s="61">
        <v>1.4866898148148148E-2</v>
      </c>
      <c r="K434" s="61">
        <v>1.7893518518518519E-3</v>
      </c>
      <c r="L434" s="61">
        <v>3.4881944444444445E-2</v>
      </c>
      <c r="M434" s="61">
        <v>8.9814814814814813E-4</v>
      </c>
      <c r="N434" s="61">
        <v>2.4489583333333335E-2</v>
      </c>
      <c r="O434" s="61">
        <v>2.6874999999999998E-3</v>
      </c>
      <c r="P434" s="61">
        <v>7.6929398148148143E-2</v>
      </c>
      <c r="Q434" s="59" t="s">
        <v>2319</v>
      </c>
      <c r="R434" s="8">
        <f t="shared" si="7"/>
        <v>519</v>
      </c>
    </row>
    <row r="435" spans="1:18">
      <c r="A435" s="59">
        <v>134</v>
      </c>
      <c r="B435" s="59">
        <v>2145</v>
      </c>
      <c r="C435" s="60" t="s">
        <v>135</v>
      </c>
      <c r="D435" s="59" t="s">
        <v>2320</v>
      </c>
      <c r="E435" s="59" t="s">
        <v>0</v>
      </c>
      <c r="F435" s="59"/>
      <c r="G435" s="59" t="s">
        <v>340</v>
      </c>
      <c r="H435" s="59"/>
      <c r="I435" s="59"/>
      <c r="J435" s="61">
        <v>1.6329861111111111E-2</v>
      </c>
      <c r="K435" s="61">
        <v>2.1805555555555558E-3</v>
      </c>
      <c r="L435" s="61">
        <v>3.7440972222222223E-2</v>
      </c>
      <c r="M435" s="61">
        <v>9.849537037037036E-4</v>
      </c>
      <c r="N435" s="61">
        <v>2.029513888888889E-2</v>
      </c>
      <c r="O435" s="61">
        <v>3.166666666666667E-3</v>
      </c>
      <c r="P435" s="61">
        <v>7.7234953703703701E-2</v>
      </c>
      <c r="Q435" s="59" t="s">
        <v>2321</v>
      </c>
      <c r="R435" s="8">
        <f t="shared" si="7"/>
        <v>516</v>
      </c>
    </row>
    <row r="436" spans="1:18">
      <c r="A436" s="59">
        <v>135</v>
      </c>
      <c r="B436" s="59">
        <v>2148</v>
      </c>
      <c r="C436" s="60" t="s">
        <v>135</v>
      </c>
      <c r="D436" s="59" t="s">
        <v>2322</v>
      </c>
      <c r="E436" s="59" t="s">
        <v>0</v>
      </c>
      <c r="F436" s="59" t="s">
        <v>2323</v>
      </c>
      <c r="G436" s="59" t="s">
        <v>340</v>
      </c>
      <c r="H436" s="59"/>
      <c r="I436" s="59"/>
      <c r="J436" s="61">
        <v>1.978935185185185E-2</v>
      </c>
      <c r="K436" s="61">
        <v>2.270833333333333E-3</v>
      </c>
      <c r="L436" s="61">
        <v>3.4019675925925925E-2</v>
      </c>
      <c r="M436" s="61">
        <v>1.2164351851851852E-3</v>
      </c>
      <c r="N436" s="61">
        <v>2.1315972222222222E-2</v>
      </c>
      <c r="O436" s="61">
        <v>3.4872685185185185E-3</v>
      </c>
      <c r="P436" s="61">
        <v>7.8614583333333335E-2</v>
      </c>
      <c r="Q436" s="59" t="s">
        <v>2324</v>
      </c>
      <c r="R436" s="8">
        <f t="shared" si="7"/>
        <v>507</v>
      </c>
    </row>
    <row r="437" spans="1:18">
      <c r="A437" s="59">
        <v>136</v>
      </c>
      <c r="B437" s="59">
        <v>2137</v>
      </c>
      <c r="C437" s="60" t="s">
        <v>135</v>
      </c>
      <c r="D437" s="59" t="s">
        <v>2325</v>
      </c>
      <c r="E437" s="59" t="s">
        <v>0</v>
      </c>
      <c r="F437" s="59"/>
      <c r="G437" s="59" t="s">
        <v>340</v>
      </c>
      <c r="H437" s="59"/>
      <c r="I437" s="59"/>
      <c r="J437" s="61">
        <v>1.7432870370370369E-2</v>
      </c>
      <c r="K437" s="61">
        <v>2.6250000000000002E-3</v>
      </c>
      <c r="L437" s="61">
        <v>3.3040509259259256E-2</v>
      </c>
      <c r="M437" s="61">
        <v>1.6226851851851851E-3</v>
      </c>
      <c r="N437" s="61">
        <v>2.3991898148148148E-2</v>
      </c>
      <c r="O437" s="61">
        <v>4.2476851851851851E-3</v>
      </c>
      <c r="P437" s="61">
        <v>7.8715277777777773E-2</v>
      </c>
      <c r="Q437" s="59" t="s">
        <v>2326</v>
      </c>
      <c r="R437" s="8">
        <f t="shared" si="7"/>
        <v>507</v>
      </c>
    </row>
    <row r="438" spans="1:18">
      <c r="A438" s="59">
        <v>137</v>
      </c>
      <c r="B438" s="59">
        <v>2056</v>
      </c>
      <c r="C438" s="60" t="s">
        <v>135</v>
      </c>
      <c r="D438" s="59" t="s">
        <v>2327</v>
      </c>
      <c r="E438" s="59" t="s">
        <v>0</v>
      </c>
      <c r="F438" s="59"/>
      <c r="G438" s="59" t="s">
        <v>340</v>
      </c>
      <c r="H438" s="59"/>
      <c r="I438" s="59"/>
      <c r="J438" s="61">
        <v>1.2833333333333332E-2</v>
      </c>
      <c r="K438" s="61">
        <v>2.5717592592592593E-3</v>
      </c>
      <c r="L438" s="61">
        <v>3.8579861111111113E-2</v>
      </c>
      <c r="M438" s="61">
        <v>1.2268518518518518E-3</v>
      </c>
      <c r="N438" s="61">
        <v>2.4555555555555556E-2</v>
      </c>
      <c r="O438" s="61">
        <v>3.7986111111111111E-3</v>
      </c>
      <c r="P438" s="61">
        <v>7.9769675925925931E-2</v>
      </c>
      <c r="Q438" s="59" t="s">
        <v>281</v>
      </c>
      <c r="R438" s="8">
        <f t="shared" si="7"/>
        <v>500</v>
      </c>
    </row>
    <row r="439" spans="1:18">
      <c r="A439" s="59">
        <v>138</v>
      </c>
      <c r="B439" s="59">
        <v>2004</v>
      </c>
      <c r="C439" s="60" t="s">
        <v>135</v>
      </c>
      <c r="D439" s="59" t="s">
        <v>2328</v>
      </c>
      <c r="E439" s="59" t="s">
        <v>0</v>
      </c>
      <c r="F439" s="59"/>
      <c r="G439" s="59" t="s">
        <v>340</v>
      </c>
      <c r="H439" s="59"/>
      <c r="I439" s="59"/>
      <c r="J439" s="61">
        <v>1.7555555555555553E-2</v>
      </c>
      <c r="K439" s="61">
        <v>2.9537037037037036E-3</v>
      </c>
      <c r="L439" s="61">
        <v>3.5114583333333331E-2</v>
      </c>
      <c r="M439" s="61">
        <v>1.1666666666666665E-3</v>
      </c>
      <c r="N439" s="61">
        <v>2.2979166666666669E-2</v>
      </c>
      <c r="O439" s="61">
        <v>4.1203703703703706E-3</v>
      </c>
      <c r="P439" s="61">
        <v>7.9771990740740747E-2</v>
      </c>
      <c r="Q439" s="59" t="s">
        <v>2329</v>
      </c>
      <c r="R439" s="8">
        <f t="shared" si="7"/>
        <v>500</v>
      </c>
    </row>
    <row r="440" spans="1:18">
      <c r="A440" s="59">
        <v>139</v>
      </c>
      <c r="B440" s="59">
        <v>2039</v>
      </c>
      <c r="C440" s="60" t="s">
        <v>135</v>
      </c>
      <c r="D440" s="59" t="s">
        <v>2330</v>
      </c>
      <c r="E440" s="59" t="s">
        <v>0</v>
      </c>
      <c r="F440" s="59"/>
      <c r="G440" s="59" t="s">
        <v>340</v>
      </c>
      <c r="H440" s="59"/>
      <c r="I440" s="59"/>
      <c r="J440" s="61">
        <v>1.8042824074074076E-2</v>
      </c>
      <c r="K440" s="61">
        <v>2.5057870370370368E-3</v>
      </c>
      <c r="L440" s="61">
        <v>3.4226851851851849E-2</v>
      </c>
      <c r="M440" s="61">
        <v>1.6655092592592594E-3</v>
      </c>
      <c r="N440" s="61">
        <v>2.4269675925925927E-2</v>
      </c>
      <c r="O440" s="61">
        <v>4.1712962962962962E-3</v>
      </c>
      <c r="P440" s="61">
        <v>8.0712962962962972E-2</v>
      </c>
      <c r="Q440" s="59" t="s">
        <v>2331</v>
      </c>
      <c r="R440" s="8">
        <f t="shared" si="7"/>
        <v>494</v>
      </c>
    </row>
    <row r="441" spans="1:18">
      <c r="A441" s="59">
        <v>140</v>
      </c>
      <c r="B441" s="59">
        <v>2081</v>
      </c>
      <c r="C441" s="60" t="s">
        <v>1329</v>
      </c>
      <c r="D441" s="59" t="s">
        <v>2332</v>
      </c>
      <c r="E441" s="59" t="s">
        <v>0</v>
      </c>
      <c r="F441" s="59"/>
      <c r="G441" s="59" t="s">
        <v>340</v>
      </c>
      <c r="H441" s="59"/>
      <c r="I441" s="59"/>
      <c r="J441" s="61">
        <v>1.5370370370370371E-2</v>
      </c>
      <c r="K441" s="61">
        <v>2.2152777777777778E-3</v>
      </c>
      <c r="L441" s="61">
        <v>3.8329861111111106E-2</v>
      </c>
      <c r="M441" s="61">
        <v>1.1979166666666666E-3</v>
      </c>
      <c r="N441" s="61">
        <v>2.4109953703703703E-2</v>
      </c>
      <c r="O441" s="61">
        <v>3.4131944444444444E-3</v>
      </c>
      <c r="P441" s="61">
        <v>8.1225694444444441E-2</v>
      </c>
      <c r="Q441" s="59" t="s">
        <v>2333</v>
      </c>
      <c r="R441" s="8">
        <f t="shared" si="7"/>
        <v>491</v>
      </c>
    </row>
    <row r="442" spans="1:18">
      <c r="A442" s="59">
        <v>141</v>
      </c>
      <c r="B442" s="59">
        <v>2072</v>
      </c>
      <c r="C442" s="60" t="s">
        <v>135</v>
      </c>
      <c r="D442" s="59" t="s">
        <v>2334</v>
      </c>
      <c r="E442" s="59" t="s">
        <v>0</v>
      </c>
      <c r="F442" s="59"/>
      <c r="G442" s="59" t="s">
        <v>340</v>
      </c>
      <c r="H442" s="59"/>
      <c r="I442" s="59"/>
      <c r="J442" s="61">
        <v>1.3947916666666666E-2</v>
      </c>
      <c r="K442" s="61">
        <v>1.8078703703703703E-3</v>
      </c>
      <c r="L442" s="61">
        <v>3.8819444444444441E-2</v>
      </c>
      <c r="M442" s="61">
        <v>1.0046296296296296E-3</v>
      </c>
      <c r="N442" s="61">
        <v>2.571412037037037E-2</v>
      </c>
      <c r="O442" s="61">
        <v>2.8124999999999999E-3</v>
      </c>
      <c r="P442" s="61">
        <v>8.1296296296296297E-2</v>
      </c>
      <c r="Q442" s="59" t="s">
        <v>2335</v>
      </c>
      <c r="R442" s="8">
        <f t="shared" si="7"/>
        <v>491</v>
      </c>
    </row>
    <row r="443" spans="1:18">
      <c r="A443" s="59">
        <v>142</v>
      </c>
      <c r="B443" s="59">
        <v>2513</v>
      </c>
      <c r="C443" s="60" t="s">
        <v>135</v>
      </c>
      <c r="D443" s="59" t="s">
        <v>2336</v>
      </c>
      <c r="E443" s="59" t="s">
        <v>0</v>
      </c>
      <c r="F443" s="59"/>
      <c r="G443" s="59" t="s">
        <v>319</v>
      </c>
      <c r="H443" s="59"/>
      <c r="I443" s="59"/>
      <c r="J443" s="61">
        <v>1.9679398148148147E-2</v>
      </c>
      <c r="K443" s="61">
        <v>2.0416666666666669E-3</v>
      </c>
      <c r="L443" s="61">
        <v>3.5839120370370368E-2</v>
      </c>
      <c r="M443" s="61">
        <v>1.1944444444444444E-3</v>
      </c>
      <c r="N443" s="61">
        <v>2.3201388888888889E-2</v>
      </c>
      <c r="O443" s="61">
        <v>3.2361111111111115E-3</v>
      </c>
      <c r="P443" s="61">
        <v>8.1958333333333327E-2</v>
      </c>
      <c r="Q443" s="59" t="s">
        <v>2337</v>
      </c>
      <c r="R443" s="8">
        <f t="shared" si="7"/>
        <v>487</v>
      </c>
    </row>
    <row r="444" spans="1:18">
      <c r="A444" s="59">
        <v>143</v>
      </c>
      <c r="B444" s="59">
        <v>2105</v>
      </c>
      <c r="C444" s="60" t="s">
        <v>135</v>
      </c>
      <c r="D444" s="59" t="s">
        <v>2338</v>
      </c>
      <c r="E444" s="59" t="s">
        <v>0</v>
      </c>
      <c r="F444" s="59"/>
      <c r="G444" s="59" t="s">
        <v>340</v>
      </c>
      <c r="H444" s="59"/>
      <c r="I444" s="59"/>
      <c r="J444" s="61">
        <v>1.6438657407407405E-2</v>
      </c>
      <c r="K444" s="61">
        <v>2.7025462962962962E-3</v>
      </c>
      <c r="L444" s="61">
        <v>3.649884259259259E-2</v>
      </c>
      <c r="M444" s="61">
        <v>1.1736111111111112E-3</v>
      </c>
      <c r="N444" s="61">
        <v>2.5843750000000002E-2</v>
      </c>
      <c r="O444" s="61">
        <v>3.8761574074074072E-3</v>
      </c>
      <c r="P444" s="61">
        <v>8.2659722222222218E-2</v>
      </c>
      <c r="Q444" s="59" t="s">
        <v>2339</v>
      </c>
      <c r="R444" s="8">
        <f t="shared" si="7"/>
        <v>483</v>
      </c>
    </row>
    <row r="445" spans="1:18">
      <c r="A445" s="59">
        <v>144</v>
      </c>
      <c r="B445" s="59">
        <v>2068</v>
      </c>
      <c r="C445" s="60" t="s">
        <v>135</v>
      </c>
      <c r="D445" s="59" t="s">
        <v>2340</v>
      </c>
      <c r="E445" s="59" t="s">
        <v>0</v>
      </c>
      <c r="F445" s="59"/>
      <c r="G445" s="59" t="s">
        <v>340</v>
      </c>
      <c r="H445" s="59"/>
      <c r="I445" s="59"/>
      <c r="J445" s="61">
        <v>1.9373842592592595E-2</v>
      </c>
      <c r="K445" s="61">
        <v>2.1446759259259262E-3</v>
      </c>
      <c r="L445" s="61">
        <v>3.6402777777777777E-2</v>
      </c>
      <c r="M445" s="61">
        <v>1.1620370370370372E-3</v>
      </c>
      <c r="N445" s="61">
        <v>2.6113425925925925E-2</v>
      </c>
      <c r="O445" s="61">
        <v>3.3067129629629627E-3</v>
      </c>
      <c r="P445" s="61">
        <v>8.5199074074074066E-2</v>
      </c>
      <c r="Q445" s="59" t="s">
        <v>2341</v>
      </c>
      <c r="R445" s="8">
        <f t="shared" si="7"/>
        <v>468</v>
      </c>
    </row>
    <row r="446" spans="1:18">
      <c r="A446" s="59">
        <v>145</v>
      </c>
      <c r="B446" s="59">
        <v>2008</v>
      </c>
      <c r="C446" s="60" t="s">
        <v>135</v>
      </c>
      <c r="D446" s="59" t="s">
        <v>2342</v>
      </c>
      <c r="E446" s="59" t="s">
        <v>0</v>
      </c>
      <c r="F446" s="59"/>
      <c r="G446" s="59" t="s">
        <v>340</v>
      </c>
      <c r="H446" s="59"/>
      <c r="I446" s="59"/>
      <c r="J446" s="61">
        <v>1.5134259259259259E-2</v>
      </c>
      <c r="K446" s="61">
        <v>1.980324074074074E-3</v>
      </c>
      <c r="L446" s="61">
        <v>3.9969907407407405E-2</v>
      </c>
      <c r="M446" s="61">
        <v>9.4097222222222217E-4</v>
      </c>
      <c r="N446" s="61">
        <v>3.0046296296296297E-2</v>
      </c>
      <c r="O446" s="61">
        <v>2.9212962962962964E-3</v>
      </c>
      <c r="P446" s="61">
        <v>8.8072916666666667E-2</v>
      </c>
      <c r="Q446" s="59" t="s">
        <v>2343</v>
      </c>
      <c r="R446" s="8">
        <f t="shared" si="7"/>
        <v>453</v>
      </c>
    </row>
    <row r="447" spans="1:18" ht="29.1">
      <c r="A447" s="59" t="s">
        <v>683</v>
      </c>
      <c r="B447" s="59">
        <v>2521</v>
      </c>
      <c r="C447" s="60" t="s">
        <v>135</v>
      </c>
      <c r="D447" s="59" t="s">
        <v>1011</v>
      </c>
      <c r="E447" s="59" t="s">
        <v>1012</v>
      </c>
      <c r="F447" s="59"/>
      <c r="G447" s="59" t="s">
        <v>319</v>
      </c>
      <c r="H447" s="59"/>
      <c r="I447" s="59"/>
      <c r="J447" s="59"/>
      <c r="K447" s="59"/>
      <c r="L447" s="59"/>
      <c r="M447" s="59"/>
      <c r="N447" s="59"/>
      <c r="O447" s="59"/>
      <c r="P447" s="59" t="s">
        <v>686</v>
      </c>
      <c r="Q447" s="59"/>
      <c r="R447" s="8">
        <f t="shared" si="7"/>
        <v>0</v>
      </c>
    </row>
    <row r="448" spans="1:18" ht="29.1">
      <c r="A448" s="59" t="s">
        <v>683</v>
      </c>
      <c r="B448" s="59">
        <v>2098</v>
      </c>
      <c r="C448" s="60" t="s">
        <v>135</v>
      </c>
      <c r="D448" s="59" t="s">
        <v>2344</v>
      </c>
      <c r="E448" s="59" t="s">
        <v>0</v>
      </c>
      <c r="F448" s="59" t="s">
        <v>2345</v>
      </c>
      <c r="G448" s="59" t="s">
        <v>340</v>
      </c>
      <c r="H448" s="59"/>
      <c r="I448" s="59"/>
      <c r="J448" s="61">
        <v>8.7997685185185175E-3</v>
      </c>
      <c r="K448" s="61">
        <v>1.0416666666666667E-3</v>
      </c>
      <c r="L448" s="61">
        <v>2.3719907407407408E-2</v>
      </c>
      <c r="M448" s="61">
        <v>1.1469907407407407E-3</v>
      </c>
      <c r="N448" s="59"/>
      <c r="O448" s="61">
        <v>2.1886574074074074E-3</v>
      </c>
      <c r="P448" s="59" t="s">
        <v>686</v>
      </c>
      <c r="Q448" s="59"/>
      <c r="R448" s="8">
        <f t="shared" si="7"/>
        <v>0</v>
      </c>
    </row>
    <row r="449" spans="1:18" ht="29.1">
      <c r="A449" s="59" t="s">
        <v>683</v>
      </c>
      <c r="B449" s="59">
        <v>2096</v>
      </c>
      <c r="C449" s="60" t="s">
        <v>135</v>
      </c>
      <c r="D449" s="59" t="s">
        <v>827</v>
      </c>
      <c r="E449" s="59" t="s">
        <v>828</v>
      </c>
      <c r="F449" s="59" t="s">
        <v>148</v>
      </c>
      <c r="G449" s="59" t="s">
        <v>340</v>
      </c>
      <c r="H449" s="59"/>
      <c r="I449" s="59"/>
      <c r="J449" s="61">
        <v>1.2317129629629631E-2</v>
      </c>
      <c r="K449" s="61">
        <v>9.2361111111111105E-4</v>
      </c>
      <c r="L449" s="61">
        <v>3.2128472222222225E-2</v>
      </c>
      <c r="M449" s="59"/>
      <c r="N449" s="59"/>
      <c r="O449" s="59"/>
      <c r="P449" s="59" t="s">
        <v>686</v>
      </c>
      <c r="Q449" s="59"/>
      <c r="R449" s="8">
        <f t="shared" si="7"/>
        <v>0</v>
      </c>
    </row>
  </sheetData>
  <autoFilter ref="A1:R449" xr:uid="{4816F996-D155-45C5-B26C-FF6C550C8435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17"/>
  <sheetViews>
    <sheetView workbookViewId="0">
      <selection activeCell="Q3" sqref="Q3"/>
    </sheetView>
  </sheetViews>
  <sheetFormatPr defaultColWidth="14.42578125" defaultRowHeight="15" customHeight="1"/>
  <cols>
    <col min="1" max="1" width="12.85546875" bestFit="1" customWidth="1"/>
    <col min="2" max="2" width="14.85546875" bestFit="1" customWidth="1"/>
    <col min="3" max="3" width="38.85546875" bestFit="1" customWidth="1"/>
    <col min="4" max="6" width="38.85546875" customWidth="1"/>
    <col min="7" max="7" width="37.85546875" customWidth="1"/>
    <col min="8" max="19" width="8.7109375" customWidth="1"/>
    <col min="20" max="20" width="18.42578125" customWidth="1"/>
  </cols>
  <sheetData>
    <row r="1" spans="1:20" ht="29.1">
      <c r="A1" s="58" t="s">
        <v>121</v>
      </c>
      <c r="B1" s="58" t="s">
        <v>122</v>
      </c>
      <c r="C1" s="58"/>
      <c r="D1" s="58" t="s">
        <v>123</v>
      </c>
      <c r="E1" s="59" t="s">
        <v>124</v>
      </c>
      <c r="F1" s="58" t="s">
        <v>125</v>
      </c>
      <c r="G1" s="58" t="s">
        <v>333</v>
      </c>
      <c r="H1" s="58" t="s">
        <v>126</v>
      </c>
      <c r="I1" s="58" t="s">
        <v>127</v>
      </c>
      <c r="J1" s="58" t="s">
        <v>1023</v>
      </c>
      <c r="K1" s="58" t="s">
        <v>129</v>
      </c>
      <c r="L1" s="58" t="s">
        <v>335</v>
      </c>
      <c r="M1" s="58" t="s">
        <v>131</v>
      </c>
      <c r="N1" s="58" t="s">
        <v>336</v>
      </c>
      <c r="O1" s="58" t="s">
        <v>133</v>
      </c>
      <c r="P1" s="58" t="s">
        <v>134</v>
      </c>
      <c r="Q1" s="7"/>
      <c r="R1" s="7"/>
    </row>
    <row r="2" spans="1:20" ht="14.45">
      <c r="A2" s="59">
        <v>1</v>
      </c>
      <c r="B2" s="59">
        <v>36</v>
      </c>
      <c r="C2" s="60" t="s">
        <v>135</v>
      </c>
      <c r="D2" s="59" t="s">
        <v>136</v>
      </c>
      <c r="E2" s="59" t="s">
        <v>137</v>
      </c>
      <c r="F2" s="59" t="s">
        <v>138</v>
      </c>
      <c r="G2" s="59" t="s">
        <v>340</v>
      </c>
      <c r="H2" s="59" t="s">
        <v>348</v>
      </c>
      <c r="I2" s="59"/>
      <c r="J2" s="61">
        <v>1.8115740740740741E-2</v>
      </c>
      <c r="K2" s="61">
        <v>8.7731481481481482E-4</v>
      </c>
      <c r="L2" s="61">
        <v>3.8680555555555558E-2</v>
      </c>
      <c r="M2" s="61">
        <v>4.0046296296296298E-4</v>
      </c>
      <c r="N2" s="61">
        <v>2.4657407407407409E-2</v>
      </c>
      <c r="O2" s="61">
        <v>8.2733796296296291E-2</v>
      </c>
      <c r="P2" s="59"/>
      <c r="Q2" s="8">
        <f>IFERROR(ROUND($O$2/O2*1000,0),0)</f>
        <v>1000</v>
      </c>
      <c r="R2" s="14"/>
      <c r="S2" s="8"/>
      <c r="T2" s="8"/>
    </row>
    <row r="3" spans="1:20" ht="14.45">
      <c r="A3" s="59">
        <v>2</v>
      </c>
      <c r="B3" s="59">
        <v>14</v>
      </c>
      <c r="C3" s="60" t="s">
        <v>135</v>
      </c>
      <c r="D3" s="59" t="s">
        <v>337</v>
      </c>
      <c r="E3" s="59" t="s">
        <v>338</v>
      </c>
      <c r="F3" s="59" t="s">
        <v>339</v>
      </c>
      <c r="G3" s="59" t="s">
        <v>340</v>
      </c>
      <c r="H3" s="59" t="s">
        <v>341</v>
      </c>
      <c r="I3" s="59"/>
      <c r="J3" s="61">
        <v>1.7468749999999998E-2</v>
      </c>
      <c r="K3" s="61">
        <v>1.0451388888888889E-3</v>
      </c>
      <c r="L3" s="61">
        <v>3.8079861111111113E-2</v>
      </c>
      <c r="M3" s="61">
        <v>5.1504629629629632E-4</v>
      </c>
      <c r="N3" s="61">
        <v>2.6837962962962966E-2</v>
      </c>
      <c r="O3" s="61">
        <v>8.3949074074074079E-2</v>
      </c>
      <c r="P3" s="59" t="s">
        <v>2346</v>
      </c>
      <c r="Q3" s="8">
        <f t="shared" ref="Q3:Q66" si="0">IFERROR(ROUND($O$2/O3*1000,0),0)</f>
        <v>986</v>
      </c>
      <c r="R3" s="14"/>
      <c r="S3" s="8"/>
      <c r="T3" s="8"/>
    </row>
    <row r="4" spans="1:20" ht="14.45">
      <c r="A4" s="59">
        <v>3</v>
      </c>
      <c r="B4" s="59">
        <v>133</v>
      </c>
      <c r="C4" s="60" t="s">
        <v>135</v>
      </c>
      <c r="D4" s="59" t="s">
        <v>350</v>
      </c>
      <c r="E4" s="59" t="s">
        <v>351</v>
      </c>
      <c r="F4" s="59"/>
      <c r="G4" s="59" t="s">
        <v>340</v>
      </c>
      <c r="H4" s="59" t="s">
        <v>352</v>
      </c>
      <c r="I4" s="59"/>
      <c r="J4" s="61">
        <v>1.9125E-2</v>
      </c>
      <c r="K4" s="61">
        <v>9.0393518518518514E-4</v>
      </c>
      <c r="L4" s="61">
        <v>4.0842592592592597E-2</v>
      </c>
      <c r="M4" s="61">
        <v>3.8541666666666661E-4</v>
      </c>
      <c r="N4" s="61">
        <v>2.621412037037037E-2</v>
      </c>
      <c r="O4" s="61">
        <v>8.747337962962963E-2</v>
      </c>
      <c r="P4" s="59" t="s">
        <v>2347</v>
      </c>
      <c r="Q4" s="8">
        <f t="shared" si="0"/>
        <v>946</v>
      </c>
      <c r="R4" s="14"/>
      <c r="S4" s="8"/>
      <c r="T4" s="8"/>
    </row>
    <row r="5" spans="1:20" ht="14.45">
      <c r="A5" s="59">
        <v>4</v>
      </c>
      <c r="B5" s="59">
        <v>64</v>
      </c>
      <c r="C5" s="60" t="s">
        <v>135</v>
      </c>
      <c r="D5" s="59" t="s">
        <v>346</v>
      </c>
      <c r="E5" s="59" t="s">
        <v>347</v>
      </c>
      <c r="F5" s="59" t="s">
        <v>138</v>
      </c>
      <c r="G5" s="59" t="s">
        <v>340</v>
      </c>
      <c r="H5" s="59" t="s">
        <v>348</v>
      </c>
      <c r="I5" s="59">
        <v>1</v>
      </c>
      <c r="J5" s="61">
        <v>1.988888888888889E-2</v>
      </c>
      <c r="K5" s="61">
        <v>6.8055555555555556E-4</v>
      </c>
      <c r="L5" s="61">
        <v>4.1762731481481484E-2</v>
      </c>
      <c r="M5" s="61">
        <v>4.5370370370370372E-4</v>
      </c>
      <c r="N5" s="61">
        <v>2.5707175925925925E-2</v>
      </c>
      <c r="O5" s="61">
        <v>8.8496527777777778E-2</v>
      </c>
      <c r="P5" s="59" t="s">
        <v>2348</v>
      </c>
      <c r="Q5" s="8">
        <f t="shared" si="0"/>
        <v>935</v>
      </c>
      <c r="R5" s="14"/>
      <c r="S5" s="8"/>
      <c r="T5" s="8"/>
    </row>
    <row r="6" spans="1:20" ht="14.45">
      <c r="A6" s="59">
        <v>5</v>
      </c>
      <c r="B6" s="59">
        <v>30</v>
      </c>
      <c r="C6" s="60" t="s">
        <v>135</v>
      </c>
      <c r="D6" s="59" t="s">
        <v>359</v>
      </c>
      <c r="E6" s="59" t="s">
        <v>360</v>
      </c>
      <c r="F6" s="59" t="s">
        <v>138</v>
      </c>
      <c r="G6" s="59" t="s">
        <v>340</v>
      </c>
      <c r="H6" s="59" t="s">
        <v>344</v>
      </c>
      <c r="I6" s="59">
        <v>1</v>
      </c>
      <c r="J6" s="61">
        <v>1.9101851851851852E-2</v>
      </c>
      <c r="K6" s="61">
        <v>8.495370370370371E-4</v>
      </c>
      <c r="L6" s="61">
        <v>4.258564814814815E-2</v>
      </c>
      <c r="M6" s="61">
        <v>4.5023148148148147E-4</v>
      </c>
      <c r="N6" s="61">
        <v>2.6217592592592591E-2</v>
      </c>
      <c r="O6" s="61">
        <v>8.9208333333333334E-2</v>
      </c>
      <c r="P6" s="59" t="s">
        <v>2349</v>
      </c>
      <c r="Q6" s="8">
        <f t="shared" si="0"/>
        <v>927</v>
      </c>
      <c r="R6" s="14"/>
      <c r="S6" s="8"/>
      <c r="T6" s="8"/>
    </row>
    <row r="7" spans="1:20" ht="14.45">
      <c r="A7" s="59">
        <v>6</v>
      </c>
      <c r="B7" s="59">
        <v>91</v>
      </c>
      <c r="C7" s="60" t="s">
        <v>135</v>
      </c>
      <c r="D7" s="59" t="s">
        <v>1027</v>
      </c>
      <c r="E7" s="59" t="s">
        <v>1028</v>
      </c>
      <c r="F7" s="59" t="s">
        <v>199</v>
      </c>
      <c r="G7" s="59" t="s">
        <v>340</v>
      </c>
      <c r="H7" s="59" t="s">
        <v>348</v>
      </c>
      <c r="I7" s="59">
        <v>2</v>
      </c>
      <c r="J7" s="61">
        <v>1.9490740740740739E-2</v>
      </c>
      <c r="K7" s="61">
        <v>7.9976851851851845E-4</v>
      </c>
      <c r="L7" s="61">
        <v>4.2013888888888892E-2</v>
      </c>
      <c r="M7" s="61">
        <v>5.4745370370370364E-4</v>
      </c>
      <c r="N7" s="61">
        <v>2.6900462962962959E-2</v>
      </c>
      <c r="O7" s="61">
        <v>8.975578703703703E-2</v>
      </c>
      <c r="P7" s="59" t="s">
        <v>2350</v>
      </c>
      <c r="Q7" s="8">
        <f t="shared" si="0"/>
        <v>922</v>
      </c>
      <c r="R7" s="14"/>
      <c r="S7" s="8"/>
      <c r="T7" s="8"/>
    </row>
    <row r="8" spans="1:20" ht="14.45">
      <c r="A8" s="59">
        <v>7</v>
      </c>
      <c r="B8" s="59">
        <v>74</v>
      </c>
      <c r="C8" s="60" t="s">
        <v>135</v>
      </c>
      <c r="D8" s="59" t="s">
        <v>354</v>
      </c>
      <c r="E8" s="59" t="s">
        <v>355</v>
      </c>
      <c r="F8" s="59" t="s">
        <v>356</v>
      </c>
      <c r="G8" s="59" t="s">
        <v>340</v>
      </c>
      <c r="H8" s="59" t="s">
        <v>357</v>
      </c>
      <c r="I8" s="59">
        <v>1</v>
      </c>
      <c r="J8" s="61">
        <v>1.940625E-2</v>
      </c>
      <c r="K8" s="61">
        <v>8.9930555555555554E-4</v>
      </c>
      <c r="L8" s="61">
        <v>4.3181712962962963E-2</v>
      </c>
      <c r="M8" s="61">
        <v>3.9351851851851852E-4</v>
      </c>
      <c r="N8" s="61">
        <v>2.7164351851851853E-2</v>
      </c>
      <c r="O8" s="61">
        <v>9.1047453703703707E-2</v>
      </c>
      <c r="P8" s="59" t="s">
        <v>2351</v>
      </c>
      <c r="Q8" s="8">
        <f t="shared" si="0"/>
        <v>909</v>
      </c>
      <c r="R8" s="14"/>
      <c r="S8" s="8"/>
      <c r="T8" s="8"/>
    </row>
    <row r="9" spans="1:20" ht="14.45">
      <c r="A9" s="59">
        <v>8</v>
      </c>
      <c r="B9" s="59">
        <v>116</v>
      </c>
      <c r="C9" s="60" t="s">
        <v>135</v>
      </c>
      <c r="D9" s="59" t="s">
        <v>362</v>
      </c>
      <c r="E9" s="59" t="s">
        <v>363</v>
      </c>
      <c r="F9" s="59" t="s">
        <v>252</v>
      </c>
      <c r="G9" s="59" t="s">
        <v>340</v>
      </c>
      <c r="H9" s="59" t="s">
        <v>341</v>
      </c>
      <c r="I9" s="59">
        <v>1</v>
      </c>
      <c r="J9" s="61">
        <v>1.9219907407407408E-2</v>
      </c>
      <c r="K9" s="61">
        <v>7.1296296296296299E-4</v>
      </c>
      <c r="L9" s="61">
        <v>4.3005787037037037E-2</v>
      </c>
      <c r="M9" s="61">
        <v>4.3518518518518521E-4</v>
      </c>
      <c r="N9" s="61">
        <v>2.7754629629629629E-2</v>
      </c>
      <c r="O9" s="61">
        <v>9.1131944444444446E-2</v>
      </c>
      <c r="P9" s="59" t="s">
        <v>2352</v>
      </c>
      <c r="Q9" s="8">
        <f t="shared" si="0"/>
        <v>908</v>
      </c>
      <c r="R9" s="14"/>
      <c r="S9" s="8"/>
      <c r="T9" s="8"/>
    </row>
    <row r="10" spans="1:20" ht="14.45">
      <c r="A10" s="59">
        <v>9</v>
      </c>
      <c r="B10" s="59">
        <v>90</v>
      </c>
      <c r="C10" s="60" t="s">
        <v>135</v>
      </c>
      <c r="D10" s="59" t="s">
        <v>372</v>
      </c>
      <c r="E10" s="59" t="s">
        <v>373</v>
      </c>
      <c r="F10" s="59"/>
      <c r="G10" s="59" t="s">
        <v>340</v>
      </c>
      <c r="H10" s="59" t="s">
        <v>348</v>
      </c>
      <c r="I10" s="59">
        <v>3</v>
      </c>
      <c r="J10" s="61">
        <v>2.0304398148148148E-2</v>
      </c>
      <c r="K10" s="61">
        <v>7.6273148148148153E-4</v>
      </c>
      <c r="L10" s="61">
        <v>4.160648148148148E-2</v>
      </c>
      <c r="M10" s="61">
        <v>6.041666666666667E-4</v>
      </c>
      <c r="N10" s="61">
        <v>2.9600694444444443E-2</v>
      </c>
      <c r="O10" s="61">
        <v>9.2879629629629631E-2</v>
      </c>
      <c r="P10" s="59" t="s">
        <v>2353</v>
      </c>
      <c r="Q10" s="8">
        <f t="shared" si="0"/>
        <v>891</v>
      </c>
      <c r="R10" s="14"/>
      <c r="S10" s="8"/>
      <c r="T10" s="8"/>
    </row>
    <row r="11" spans="1:20" ht="14.45">
      <c r="A11" s="59">
        <v>10</v>
      </c>
      <c r="B11" s="59">
        <v>123</v>
      </c>
      <c r="C11" s="60" t="s">
        <v>135</v>
      </c>
      <c r="D11" s="59" t="s">
        <v>1529</v>
      </c>
      <c r="E11" s="59" t="s">
        <v>1530</v>
      </c>
      <c r="F11" s="59"/>
      <c r="G11" s="59" t="s">
        <v>340</v>
      </c>
      <c r="H11" s="59" t="s">
        <v>348</v>
      </c>
      <c r="I11" s="59">
        <v>4</v>
      </c>
      <c r="J11" s="61">
        <v>2.1307870370370369E-2</v>
      </c>
      <c r="K11" s="61">
        <v>9.837962962962962E-4</v>
      </c>
      <c r="L11" s="61">
        <v>4.1784722222222223E-2</v>
      </c>
      <c r="M11" s="61">
        <v>6.9212962962962956E-4</v>
      </c>
      <c r="N11" s="61">
        <v>2.9017361111111108E-2</v>
      </c>
      <c r="O11" s="61">
        <v>9.3790509259259261E-2</v>
      </c>
      <c r="P11" s="59" t="s">
        <v>2354</v>
      </c>
      <c r="Q11" s="8">
        <f t="shared" si="0"/>
        <v>882</v>
      </c>
      <c r="R11" s="14"/>
      <c r="S11" s="8"/>
      <c r="T11" s="8"/>
    </row>
    <row r="12" spans="1:20" ht="14.45">
      <c r="A12" s="59">
        <v>11</v>
      </c>
      <c r="B12" s="59">
        <v>51</v>
      </c>
      <c r="C12" s="60" t="s">
        <v>135</v>
      </c>
      <c r="D12" s="59" t="s">
        <v>375</v>
      </c>
      <c r="E12" s="59" t="s">
        <v>376</v>
      </c>
      <c r="F12" s="59" t="s">
        <v>189</v>
      </c>
      <c r="G12" s="59" t="s">
        <v>340</v>
      </c>
      <c r="H12" s="59" t="s">
        <v>352</v>
      </c>
      <c r="I12" s="59">
        <v>1</v>
      </c>
      <c r="J12" s="61">
        <v>1.8204861111111113E-2</v>
      </c>
      <c r="K12" s="61">
        <v>7.0023148148148147E-4</v>
      </c>
      <c r="L12" s="61">
        <v>4.4958333333333336E-2</v>
      </c>
      <c r="M12" s="61">
        <v>5.3819444444444444E-4</v>
      </c>
      <c r="N12" s="61">
        <v>2.9486111111111109E-2</v>
      </c>
      <c r="O12" s="61">
        <v>9.3888888888888883E-2</v>
      </c>
      <c r="P12" s="59" t="s">
        <v>2355</v>
      </c>
      <c r="Q12" s="8">
        <f t="shared" si="0"/>
        <v>881</v>
      </c>
      <c r="R12" s="14"/>
      <c r="S12" s="8"/>
      <c r="T12" s="8"/>
    </row>
    <row r="13" spans="1:20" ht="14.45">
      <c r="A13" s="59">
        <v>12</v>
      </c>
      <c r="B13" s="59">
        <v>99</v>
      </c>
      <c r="C13" s="60" t="s">
        <v>135</v>
      </c>
      <c r="D13" s="59" t="s">
        <v>1532</v>
      </c>
      <c r="E13" s="59" t="s">
        <v>1533</v>
      </c>
      <c r="F13" s="59"/>
      <c r="G13" s="59" t="s">
        <v>340</v>
      </c>
      <c r="H13" s="59" t="s">
        <v>348</v>
      </c>
      <c r="I13" s="59">
        <v>5</v>
      </c>
      <c r="J13" s="61">
        <v>1.9583333333333335E-2</v>
      </c>
      <c r="K13" s="61">
        <v>8.7268518518518522E-4</v>
      </c>
      <c r="L13" s="61">
        <v>4.406712962962963E-2</v>
      </c>
      <c r="M13" s="61">
        <v>6.4699074074074073E-4</v>
      </c>
      <c r="N13" s="61">
        <v>2.8842592592592593E-2</v>
      </c>
      <c r="O13" s="61">
        <v>9.4015046296296298E-2</v>
      </c>
      <c r="P13" s="59" t="s">
        <v>2356</v>
      </c>
      <c r="Q13" s="8">
        <f t="shared" si="0"/>
        <v>880</v>
      </c>
      <c r="R13" s="14"/>
      <c r="S13" s="8"/>
      <c r="T13" s="8"/>
    </row>
    <row r="14" spans="1:20" ht="14.45">
      <c r="A14" s="59">
        <v>13</v>
      </c>
      <c r="B14" s="59">
        <v>66</v>
      </c>
      <c r="C14" s="60" t="s">
        <v>135</v>
      </c>
      <c r="D14" s="59" t="s">
        <v>2357</v>
      </c>
      <c r="E14" s="59" t="s">
        <v>2358</v>
      </c>
      <c r="F14" s="59" t="s">
        <v>1058</v>
      </c>
      <c r="G14" s="59" t="s">
        <v>340</v>
      </c>
      <c r="H14" s="59" t="s">
        <v>348</v>
      </c>
      <c r="I14" s="59">
        <v>6</v>
      </c>
      <c r="J14" s="61">
        <v>1.7057870370370369E-2</v>
      </c>
      <c r="K14" s="61">
        <v>8.7384259259259262E-4</v>
      </c>
      <c r="L14" s="61">
        <v>4.6601851851851853E-2</v>
      </c>
      <c r="M14" s="61">
        <v>7.6388888888888893E-4</v>
      </c>
      <c r="N14" s="61">
        <v>2.9302083333333333E-2</v>
      </c>
      <c r="O14" s="61">
        <v>9.4601851851851854E-2</v>
      </c>
      <c r="P14" s="59" t="s">
        <v>2359</v>
      </c>
      <c r="Q14" s="8">
        <f t="shared" si="0"/>
        <v>875</v>
      </c>
      <c r="R14" s="14"/>
      <c r="S14" s="8"/>
      <c r="T14" s="8"/>
    </row>
    <row r="15" spans="1:20" ht="14.45">
      <c r="A15" s="59">
        <v>14</v>
      </c>
      <c r="B15" s="59">
        <v>56</v>
      </c>
      <c r="C15" s="60" t="s">
        <v>135</v>
      </c>
      <c r="D15" s="59" t="s">
        <v>689</v>
      </c>
      <c r="E15" s="59" t="s">
        <v>690</v>
      </c>
      <c r="F15" s="59" t="s">
        <v>691</v>
      </c>
      <c r="G15" s="59" t="s">
        <v>340</v>
      </c>
      <c r="H15" s="59" t="s">
        <v>348</v>
      </c>
      <c r="I15" s="59">
        <v>7</v>
      </c>
      <c r="J15" s="61">
        <v>1.9928240740740739E-2</v>
      </c>
      <c r="K15" s="61">
        <v>9.0277777777777774E-4</v>
      </c>
      <c r="L15" s="61">
        <v>4.4670138888888891E-2</v>
      </c>
      <c r="M15" s="61">
        <v>5.8912037037037038E-4</v>
      </c>
      <c r="N15" s="61">
        <v>2.9086805555555553E-2</v>
      </c>
      <c r="O15" s="61">
        <v>9.517824074074073E-2</v>
      </c>
      <c r="P15" s="59" t="s">
        <v>2360</v>
      </c>
      <c r="Q15" s="8">
        <f t="shared" si="0"/>
        <v>869</v>
      </c>
      <c r="R15" s="14"/>
      <c r="S15" s="8"/>
      <c r="T15" s="8"/>
    </row>
    <row r="16" spans="1:20" ht="14.45">
      <c r="A16" s="59">
        <v>15</v>
      </c>
      <c r="B16" s="59">
        <v>61</v>
      </c>
      <c r="C16" s="60" t="s">
        <v>135</v>
      </c>
      <c r="D16" s="59" t="s">
        <v>381</v>
      </c>
      <c r="E16" s="59" t="s">
        <v>382</v>
      </c>
      <c r="F16" s="59" t="s">
        <v>138</v>
      </c>
      <c r="G16" s="59" t="s">
        <v>340</v>
      </c>
      <c r="H16" s="59" t="s">
        <v>341</v>
      </c>
      <c r="I16" s="59">
        <v>2</v>
      </c>
      <c r="J16" s="61">
        <v>2.1292824074074075E-2</v>
      </c>
      <c r="K16" s="61">
        <v>1.1400462962962963E-3</v>
      </c>
      <c r="L16" s="61">
        <v>4.2490740740740739E-2</v>
      </c>
      <c r="M16" s="61">
        <v>5.9490740740740739E-4</v>
      </c>
      <c r="N16" s="61">
        <v>2.9751157407407407E-2</v>
      </c>
      <c r="O16" s="61">
        <v>9.5273148148148148E-2</v>
      </c>
      <c r="P16" s="59" t="s">
        <v>2361</v>
      </c>
      <c r="Q16" s="8">
        <f t="shared" si="0"/>
        <v>868</v>
      </c>
      <c r="R16" s="14"/>
      <c r="S16" s="8"/>
      <c r="T16" s="8"/>
    </row>
    <row r="17" spans="1:20" ht="14.45">
      <c r="A17" s="59">
        <v>16</v>
      </c>
      <c r="B17" s="59">
        <v>58</v>
      </c>
      <c r="C17" s="60" t="s">
        <v>135</v>
      </c>
      <c r="D17" s="59" t="s">
        <v>2074</v>
      </c>
      <c r="E17" s="59" t="s">
        <v>2075</v>
      </c>
      <c r="F17" s="59" t="s">
        <v>199</v>
      </c>
      <c r="G17" s="59" t="s">
        <v>340</v>
      </c>
      <c r="H17" s="59" t="s">
        <v>348</v>
      </c>
      <c r="I17" s="59">
        <v>8</v>
      </c>
      <c r="J17" s="61">
        <v>1.8851851851851852E-2</v>
      </c>
      <c r="K17" s="61">
        <v>1.1250000000000001E-3</v>
      </c>
      <c r="L17" s="61">
        <v>4.4644675925925928E-2</v>
      </c>
      <c r="M17" s="61">
        <v>6.6898148148148145E-4</v>
      </c>
      <c r="N17" s="61">
        <v>3.0157407407407407E-2</v>
      </c>
      <c r="O17" s="61">
        <v>9.5451388888888891E-2</v>
      </c>
      <c r="P17" s="59" t="s">
        <v>2362</v>
      </c>
      <c r="Q17" s="8">
        <f t="shared" si="0"/>
        <v>867</v>
      </c>
      <c r="R17" s="14"/>
      <c r="S17" s="8"/>
      <c r="T17" s="8"/>
    </row>
    <row r="18" spans="1:20" ht="14.45">
      <c r="A18" s="59">
        <v>17</v>
      </c>
      <c r="B18" s="59">
        <v>6</v>
      </c>
      <c r="C18" s="60" t="s">
        <v>135</v>
      </c>
      <c r="D18" s="59" t="s">
        <v>2363</v>
      </c>
      <c r="E18" s="59" t="s">
        <v>2364</v>
      </c>
      <c r="F18" s="59" t="s">
        <v>173</v>
      </c>
      <c r="G18" s="59" t="s">
        <v>340</v>
      </c>
      <c r="H18" s="59" t="s">
        <v>348</v>
      </c>
      <c r="I18" s="59">
        <v>9</v>
      </c>
      <c r="J18" s="61">
        <v>2.0320601851851854E-2</v>
      </c>
      <c r="K18" s="61">
        <v>8.530092592592593E-4</v>
      </c>
      <c r="L18" s="61">
        <v>4.3943287037037038E-2</v>
      </c>
      <c r="M18" s="61">
        <v>5.4282407407407404E-4</v>
      </c>
      <c r="N18" s="61">
        <v>3.06875E-2</v>
      </c>
      <c r="O18" s="61">
        <v>9.6350694444444454E-2</v>
      </c>
      <c r="P18" s="59" t="s">
        <v>2365</v>
      </c>
      <c r="Q18" s="8">
        <f t="shared" si="0"/>
        <v>859</v>
      </c>
      <c r="R18" s="14"/>
      <c r="S18" s="8"/>
      <c r="T18" s="8"/>
    </row>
    <row r="19" spans="1:20" ht="14.45">
      <c r="A19" s="59">
        <v>18</v>
      </c>
      <c r="B19" s="59">
        <v>129</v>
      </c>
      <c r="C19" s="60" t="s">
        <v>135</v>
      </c>
      <c r="D19" s="59" t="s">
        <v>187</v>
      </c>
      <c r="E19" s="59" t="s">
        <v>188</v>
      </c>
      <c r="F19" s="59" t="s">
        <v>189</v>
      </c>
      <c r="G19" s="59" t="s">
        <v>340</v>
      </c>
      <c r="H19" s="59" t="s">
        <v>341</v>
      </c>
      <c r="I19" s="59">
        <v>3</v>
      </c>
      <c r="J19" s="61">
        <v>1.9491898148148147E-2</v>
      </c>
      <c r="K19" s="61">
        <v>9.3055555555555567E-4</v>
      </c>
      <c r="L19" s="61">
        <v>4.4596064814814811E-2</v>
      </c>
      <c r="M19" s="61">
        <v>5.8912037037037038E-4</v>
      </c>
      <c r="N19" s="61">
        <v>3.1100694444444445E-2</v>
      </c>
      <c r="O19" s="61">
        <v>9.6711805555555558E-2</v>
      </c>
      <c r="P19" s="59" t="s">
        <v>2366</v>
      </c>
      <c r="Q19" s="8">
        <f t="shared" si="0"/>
        <v>855</v>
      </c>
      <c r="R19" s="14"/>
      <c r="S19" s="8"/>
      <c r="T19" s="8"/>
    </row>
    <row r="20" spans="1:20" ht="14.45">
      <c r="A20" s="59">
        <v>19</v>
      </c>
      <c r="B20" s="59">
        <v>71</v>
      </c>
      <c r="C20" s="60" t="s">
        <v>135</v>
      </c>
      <c r="D20" s="59" t="s">
        <v>165</v>
      </c>
      <c r="E20" s="59" t="s">
        <v>166</v>
      </c>
      <c r="F20" s="59" t="s">
        <v>138</v>
      </c>
      <c r="G20" s="59" t="s">
        <v>340</v>
      </c>
      <c r="H20" s="59" t="s">
        <v>341</v>
      </c>
      <c r="I20" s="59">
        <v>4</v>
      </c>
      <c r="J20" s="61">
        <v>1.9319444444444445E-2</v>
      </c>
      <c r="K20" s="61">
        <v>1.1226851851851851E-3</v>
      </c>
      <c r="L20" s="61">
        <v>4.6177083333333334E-2</v>
      </c>
      <c r="M20" s="61">
        <v>3.1134259259259255E-4</v>
      </c>
      <c r="N20" s="61">
        <v>3.0069444444444444E-2</v>
      </c>
      <c r="O20" s="61">
        <v>9.7002314814814819E-2</v>
      </c>
      <c r="P20" s="59" t="s">
        <v>2367</v>
      </c>
      <c r="Q20" s="8">
        <f t="shared" si="0"/>
        <v>853</v>
      </c>
      <c r="R20" s="14"/>
      <c r="S20" s="8"/>
      <c r="T20" s="8"/>
    </row>
    <row r="21" spans="1:20" ht="15.75" customHeight="1">
      <c r="A21" s="59">
        <v>20</v>
      </c>
      <c r="B21" s="59">
        <v>27</v>
      </c>
      <c r="C21" s="60" t="s">
        <v>135</v>
      </c>
      <c r="D21" s="59" t="s">
        <v>395</v>
      </c>
      <c r="E21" s="59" t="s">
        <v>396</v>
      </c>
      <c r="F21" s="59" t="s">
        <v>138</v>
      </c>
      <c r="G21" s="59" t="s">
        <v>340</v>
      </c>
      <c r="H21" s="59" t="s">
        <v>357</v>
      </c>
      <c r="I21" s="59">
        <v>2</v>
      </c>
      <c r="J21" s="61">
        <v>2.1517361111111109E-2</v>
      </c>
      <c r="K21" s="61">
        <v>1.2349537037037038E-3</v>
      </c>
      <c r="L21" s="61">
        <v>4.5140046296296296E-2</v>
      </c>
      <c r="M21" s="61">
        <v>3.8773148148148147E-4</v>
      </c>
      <c r="N21" s="61">
        <v>2.923148148148148E-2</v>
      </c>
      <c r="O21" s="61">
        <v>9.7515046296296287E-2</v>
      </c>
      <c r="P21" s="59" t="s">
        <v>2368</v>
      </c>
      <c r="Q21" s="8">
        <f t="shared" si="0"/>
        <v>848</v>
      </c>
      <c r="R21" s="14"/>
      <c r="S21" s="8"/>
      <c r="T21" s="8"/>
    </row>
    <row r="22" spans="1:20" ht="15.75" customHeight="1">
      <c r="A22" s="59">
        <v>21</v>
      </c>
      <c r="B22" s="59">
        <v>96</v>
      </c>
      <c r="C22" s="60" t="s">
        <v>135</v>
      </c>
      <c r="D22" s="59" t="s">
        <v>384</v>
      </c>
      <c r="E22" s="59" t="s">
        <v>262</v>
      </c>
      <c r="F22" s="59"/>
      <c r="G22" s="59" t="s">
        <v>340</v>
      </c>
      <c r="H22" s="59" t="s">
        <v>344</v>
      </c>
      <c r="I22" s="59">
        <v>2</v>
      </c>
      <c r="J22" s="61">
        <v>2.514351851851852E-2</v>
      </c>
      <c r="K22" s="61">
        <v>1.2476851851851852E-3</v>
      </c>
      <c r="L22" s="61">
        <v>4.4374999999999998E-2</v>
      </c>
      <c r="M22" s="61">
        <v>5.2893518518518524E-4</v>
      </c>
      <c r="N22" s="61">
        <v>2.6348379629629631E-2</v>
      </c>
      <c r="O22" s="61">
        <v>9.7645833333333334E-2</v>
      </c>
      <c r="P22" s="59" t="s">
        <v>2369</v>
      </c>
      <c r="Q22" s="8">
        <f t="shared" si="0"/>
        <v>847</v>
      </c>
      <c r="R22" s="14"/>
      <c r="S22" s="8"/>
      <c r="T22" s="8"/>
    </row>
    <row r="23" spans="1:20" ht="15.75" customHeight="1">
      <c r="A23" s="59">
        <v>22</v>
      </c>
      <c r="B23" s="59">
        <v>18</v>
      </c>
      <c r="C23" s="60" t="s">
        <v>140</v>
      </c>
      <c r="D23" s="59" t="s">
        <v>2370</v>
      </c>
      <c r="E23" s="59" t="s">
        <v>2371</v>
      </c>
      <c r="F23" s="59"/>
      <c r="G23" s="59" t="s">
        <v>340</v>
      </c>
      <c r="H23" s="59" t="s">
        <v>341</v>
      </c>
      <c r="I23" s="59">
        <v>5</v>
      </c>
      <c r="J23" s="61">
        <v>2.0429398148148148E-2</v>
      </c>
      <c r="K23" s="61">
        <v>8.8888888888888882E-4</v>
      </c>
      <c r="L23" s="61">
        <v>4.4792824074074075E-2</v>
      </c>
      <c r="M23" s="61">
        <v>6.087962962962963E-4</v>
      </c>
      <c r="N23" s="61">
        <v>3.1296296296296294E-2</v>
      </c>
      <c r="O23" s="61">
        <v>9.8018518518518505E-2</v>
      </c>
      <c r="P23" s="59" t="s">
        <v>2372</v>
      </c>
      <c r="Q23" s="8">
        <f t="shared" si="0"/>
        <v>844</v>
      </c>
      <c r="R23" s="14"/>
      <c r="S23" s="8"/>
      <c r="T23" s="8"/>
    </row>
    <row r="24" spans="1:20" ht="15.75" customHeight="1">
      <c r="A24" s="59">
        <v>23</v>
      </c>
      <c r="B24" s="59">
        <v>24</v>
      </c>
      <c r="C24" s="60" t="s">
        <v>135</v>
      </c>
      <c r="D24" s="59" t="s">
        <v>386</v>
      </c>
      <c r="E24" s="59" t="s">
        <v>387</v>
      </c>
      <c r="F24" s="59"/>
      <c r="G24" s="59" t="s">
        <v>340</v>
      </c>
      <c r="H24" s="59" t="s">
        <v>344</v>
      </c>
      <c r="I24" s="59">
        <v>3</v>
      </c>
      <c r="J24" s="61">
        <v>2.154976851851852E-2</v>
      </c>
      <c r="K24" s="61">
        <v>8.0671296296296296E-4</v>
      </c>
      <c r="L24" s="61">
        <v>4.5309027777777774E-2</v>
      </c>
      <c r="M24" s="61">
        <v>3.1250000000000001E-4</v>
      </c>
      <c r="N24" s="61">
        <v>3.0079861111111113E-2</v>
      </c>
      <c r="O24" s="61">
        <v>9.8059027777777766E-2</v>
      </c>
      <c r="P24" s="59" t="s">
        <v>2373</v>
      </c>
      <c r="Q24" s="8">
        <f t="shared" si="0"/>
        <v>844</v>
      </c>
      <c r="R24" s="14"/>
      <c r="S24" s="8"/>
      <c r="T24" s="8"/>
    </row>
    <row r="25" spans="1:20" ht="15.75" customHeight="1">
      <c r="A25" s="59">
        <v>24</v>
      </c>
      <c r="B25" s="59">
        <v>122</v>
      </c>
      <c r="C25" s="60" t="s">
        <v>135</v>
      </c>
      <c r="D25" s="59" t="s">
        <v>214</v>
      </c>
      <c r="E25" s="59" t="s">
        <v>215</v>
      </c>
      <c r="F25" s="59"/>
      <c r="G25" s="59" t="s">
        <v>340</v>
      </c>
      <c r="H25" s="59" t="s">
        <v>357</v>
      </c>
      <c r="I25" s="59">
        <v>3</v>
      </c>
      <c r="J25" s="61">
        <v>2.0682870370370369E-2</v>
      </c>
      <c r="K25" s="61">
        <v>9.2708333333333325E-4</v>
      </c>
      <c r="L25" s="61">
        <v>4.4990740740740741E-2</v>
      </c>
      <c r="M25" s="61">
        <v>6.2037037037037041E-4</v>
      </c>
      <c r="N25" s="61">
        <v>3.1055555555555555E-2</v>
      </c>
      <c r="O25" s="61">
        <v>9.8278935185185171E-2</v>
      </c>
      <c r="P25" s="59" t="s">
        <v>2374</v>
      </c>
      <c r="Q25" s="8">
        <f t="shared" si="0"/>
        <v>842</v>
      </c>
      <c r="R25" s="14"/>
      <c r="S25" s="8"/>
      <c r="T25" s="8"/>
    </row>
    <row r="26" spans="1:20" ht="15.75" customHeight="1">
      <c r="A26" s="59">
        <v>25</v>
      </c>
      <c r="B26" s="59">
        <v>68</v>
      </c>
      <c r="C26" s="60" t="s">
        <v>135</v>
      </c>
      <c r="D26" s="59" t="s">
        <v>432</v>
      </c>
      <c r="E26" s="59" t="s">
        <v>433</v>
      </c>
      <c r="F26" s="59" t="s">
        <v>434</v>
      </c>
      <c r="G26" s="59" t="s">
        <v>340</v>
      </c>
      <c r="H26" s="59" t="s">
        <v>352</v>
      </c>
      <c r="I26" s="59">
        <v>2</v>
      </c>
      <c r="J26" s="61">
        <v>2.2092592592592591E-2</v>
      </c>
      <c r="K26" s="61">
        <v>8.7268518518518522E-4</v>
      </c>
      <c r="L26" s="61">
        <v>4.6043981481481477E-2</v>
      </c>
      <c r="M26" s="61">
        <v>7.0254629629629638E-4</v>
      </c>
      <c r="N26" s="61">
        <v>2.8829861111111112E-2</v>
      </c>
      <c r="O26" s="61">
        <v>9.8543981481481496E-2</v>
      </c>
      <c r="P26" s="59" t="s">
        <v>2375</v>
      </c>
      <c r="Q26" s="8">
        <f t="shared" si="0"/>
        <v>840</v>
      </c>
      <c r="R26" s="14"/>
      <c r="S26" s="8"/>
      <c r="T26" s="8"/>
    </row>
    <row r="27" spans="1:20" ht="15.75" customHeight="1">
      <c r="A27" s="59">
        <v>26</v>
      </c>
      <c r="B27" s="59">
        <v>94</v>
      </c>
      <c r="C27" s="60" t="s">
        <v>135</v>
      </c>
      <c r="D27" s="59" t="s">
        <v>1563</v>
      </c>
      <c r="E27" s="59" t="s">
        <v>1564</v>
      </c>
      <c r="F27" s="59" t="s">
        <v>203</v>
      </c>
      <c r="G27" s="59" t="s">
        <v>340</v>
      </c>
      <c r="H27" s="59" t="s">
        <v>348</v>
      </c>
      <c r="I27" s="59">
        <v>10</v>
      </c>
      <c r="J27" s="61">
        <v>2.3439814814814816E-2</v>
      </c>
      <c r="K27" s="61">
        <v>1.3298611111111111E-3</v>
      </c>
      <c r="L27" s="61">
        <v>4.4620370370370366E-2</v>
      </c>
      <c r="M27" s="61">
        <v>6.4814814814814813E-4</v>
      </c>
      <c r="N27" s="61">
        <v>2.8577546296296295E-2</v>
      </c>
      <c r="O27" s="61">
        <v>9.8618055555555556E-2</v>
      </c>
      <c r="P27" s="59" t="s">
        <v>2376</v>
      </c>
      <c r="Q27" s="8">
        <f t="shared" si="0"/>
        <v>839</v>
      </c>
      <c r="R27" s="14"/>
      <c r="S27" s="8"/>
      <c r="T27" s="8"/>
    </row>
    <row r="28" spans="1:20" ht="15.75" customHeight="1">
      <c r="A28" s="59">
        <v>27</v>
      </c>
      <c r="B28" s="59">
        <v>42</v>
      </c>
      <c r="C28" s="60" t="s">
        <v>135</v>
      </c>
      <c r="D28" s="59" t="s">
        <v>2377</v>
      </c>
      <c r="E28" s="59" t="s">
        <v>2378</v>
      </c>
      <c r="F28" s="59" t="s">
        <v>2379</v>
      </c>
      <c r="G28" s="59" t="s">
        <v>340</v>
      </c>
      <c r="H28" s="59" t="s">
        <v>357</v>
      </c>
      <c r="I28" s="59">
        <v>4</v>
      </c>
      <c r="J28" s="61">
        <v>1.900925925925926E-2</v>
      </c>
      <c r="K28" s="61">
        <v>9.0856481481481485E-4</v>
      </c>
      <c r="L28" s="61">
        <v>4.6789351851851853E-2</v>
      </c>
      <c r="M28" s="61">
        <v>6.6898148148148145E-4</v>
      </c>
      <c r="N28" s="61">
        <v>3.1453703703703706E-2</v>
      </c>
      <c r="O28" s="61">
        <v>9.8832175925925927E-2</v>
      </c>
      <c r="P28" s="59" t="s">
        <v>2380</v>
      </c>
      <c r="Q28" s="8">
        <f t="shared" si="0"/>
        <v>837</v>
      </c>
      <c r="R28" s="14"/>
      <c r="S28" s="8"/>
      <c r="T28" s="8"/>
    </row>
    <row r="29" spans="1:20" ht="15.75" customHeight="1">
      <c r="A29" s="59">
        <v>28</v>
      </c>
      <c r="B29" s="59">
        <v>46</v>
      </c>
      <c r="C29" s="60" t="s">
        <v>135</v>
      </c>
      <c r="D29" s="59" t="s">
        <v>181</v>
      </c>
      <c r="E29" s="59" t="s">
        <v>182</v>
      </c>
      <c r="F29" s="59"/>
      <c r="G29" s="59" t="s">
        <v>340</v>
      </c>
      <c r="H29" s="59" t="s">
        <v>341</v>
      </c>
      <c r="I29" s="59">
        <v>6</v>
      </c>
      <c r="J29" s="61">
        <v>2.1267361111111112E-2</v>
      </c>
      <c r="K29" s="61">
        <v>9.7337962962962959E-4</v>
      </c>
      <c r="L29" s="61">
        <v>4.5564814814814815E-2</v>
      </c>
      <c r="M29" s="61">
        <v>4.9884259259259261E-4</v>
      </c>
      <c r="N29" s="61">
        <v>3.0925925925925926E-2</v>
      </c>
      <c r="O29" s="61">
        <v>9.9232638888888891E-2</v>
      </c>
      <c r="P29" s="59" t="s">
        <v>2381</v>
      </c>
      <c r="Q29" s="8">
        <f t="shared" si="0"/>
        <v>834</v>
      </c>
      <c r="R29" s="14"/>
      <c r="S29" s="8"/>
      <c r="T29" s="8"/>
    </row>
    <row r="30" spans="1:20" ht="15.75" customHeight="1">
      <c r="A30" s="59">
        <v>29</v>
      </c>
      <c r="B30" s="59">
        <v>63</v>
      </c>
      <c r="C30" s="60" t="s">
        <v>135</v>
      </c>
      <c r="D30" s="59" t="s">
        <v>1051</v>
      </c>
      <c r="E30" s="59" t="s">
        <v>1052</v>
      </c>
      <c r="F30" s="59" t="s">
        <v>148</v>
      </c>
      <c r="G30" s="59" t="s">
        <v>340</v>
      </c>
      <c r="H30" s="59" t="s">
        <v>344</v>
      </c>
      <c r="I30" s="59">
        <v>4</v>
      </c>
      <c r="J30" s="61">
        <v>2.5114583333333336E-2</v>
      </c>
      <c r="K30" s="61">
        <v>1.4606481481481482E-3</v>
      </c>
      <c r="L30" s="61">
        <v>4.2393518518518518E-2</v>
      </c>
      <c r="M30" s="61">
        <v>5.6828703703703707E-4</v>
      </c>
      <c r="N30" s="61">
        <v>2.9718749999999999E-2</v>
      </c>
      <c r="O30" s="61">
        <v>9.9259259259259255E-2</v>
      </c>
      <c r="P30" s="59" t="s">
        <v>2382</v>
      </c>
      <c r="Q30" s="8">
        <f t="shared" si="0"/>
        <v>834</v>
      </c>
      <c r="R30" s="14"/>
      <c r="S30" s="8"/>
      <c r="T30" s="8"/>
    </row>
    <row r="31" spans="1:20" ht="15.75" customHeight="1">
      <c r="A31" s="59">
        <v>30</v>
      </c>
      <c r="B31" s="59">
        <v>25</v>
      </c>
      <c r="C31" s="60" t="s">
        <v>135</v>
      </c>
      <c r="D31" s="59" t="s">
        <v>436</v>
      </c>
      <c r="E31" s="59" t="s">
        <v>437</v>
      </c>
      <c r="F31" s="59" t="s">
        <v>173</v>
      </c>
      <c r="G31" s="59" t="s">
        <v>340</v>
      </c>
      <c r="H31" s="59" t="s">
        <v>341</v>
      </c>
      <c r="I31" s="59">
        <v>7</v>
      </c>
      <c r="J31" s="61">
        <v>2.1622685185185186E-2</v>
      </c>
      <c r="K31" s="61">
        <v>7.9166666666666676E-4</v>
      </c>
      <c r="L31" s="61">
        <v>4.6195601851851856E-2</v>
      </c>
      <c r="M31" s="61">
        <v>3.2523148148148152E-4</v>
      </c>
      <c r="N31" s="61">
        <v>3.0922453703703702E-2</v>
      </c>
      <c r="O31" s="61">
        <v>9.9859953703703694E-2</v>
      </c>
      <c r="P31" s="59" t="s">
        <v>2383</v>
      </c>
      <c r="Q31" s="8">
        <f t="shared" si="0"/>
        <v>828</v>
      </c>
      <c r="R31" s="14"/>
      <c r="S31" s="8"/>
      <c r="T31" s="8"/>
    </row>
    <row r="32" spans="1:20" ht="15.75" customHeight="1">
      <c r="A32" s="59">
        <v>31</v>
      </c>
      <c r="B32" s="59">
        <v>23</v>
      </c>
      <c r="C32" s="60" t="s">
        <v>135</v>
      </c>
      <c r="D32" s="59" t="s">
        <v>208</v>
      </c>
      <c r="E32" s="59" t="s">
        <v>209</v>
      </c>
      <c r="F32" s="59" t="s">
        <v>199</v>
      </c>
      <c r="G32" s="59" t="s">
        <v>340</v>
      </c>
      <c r="H32" s="59" t="s">
        <v>348</v>
      </c>
      <c r="I32" s="59">
        <v>11</v>
      </c>
      <c r="J32" s="61">
        <v>2.3243055555555555E-2</v>
      </c>
      <c r="K32" s="61">
        <v>1.1215277777777779E-3</v>
      </c>
      <c r="L32" s="61">
        <v>4.5577546296296297E-2</v>
      </c>
      <c r="M32" s="61">
        <v>5.8564814814814818E-4</v>
      </c>
      <c r="N32" s="61">
        <v>2.9506944444444447E-2</v>
      </c>
      <c r="O32" s="61">
        <v>0.10003819444444444</v>
      </c>
      <c r="P32" s="59" t="s">
        <v>2384</v>
      </c>
      <c r="Q32" s="8">
        <f t="shared" si="0"/>
        <v>827</v>
      </c>
      <c r="R32" s="14"/>
      <c r="S32" s="8"/>
      <c r="T32" s="8"/>
    </row>
    <row r="33" spans="1:20" ht="15.75" customHeight="1">
      <c r="A33" s="59">
        <v>32</v>
      </c>
      <c r="B33" s="59">
        <v>5</v>
      </c>
      <c r="C33" s="60" t="s">
        <v>135</v>
      </c>
      <c r="D33" s="59" t="s">
        <v>425</v>
      </c>
      <c r="E33" s="59" t="s">
        <v>426</v>
      </c>
      <c r="F33" s="59"/>
      <c r="G33" s="59" t="s">
        <v>340</v>
      </c>
      <c r="H33" s="59" t="s">
        <v>348</v>
      </c>
      <c r="I33" s="59">
        <v>12</v>
      </c>
      <c r="J33" s="61">
        <v>2.3675925925925923E-2</v>
      </c>
      <c r="K33" s="61">
        <v>9.6990740740740739E-4</v>
      </c>
      <c r="L33" s="61">
        <v>4.51712962962963E-2</v>
      </c>
      <c r="M33" s="61">
        <v>5.3009259259259253E-4</v>
      </c>
      <c r="N33" s="61">
        <v>3.0081018518518517E-2</v>
      </c>
      <c r="O33" s="61">
        <v>0.10042939814814815</v>
      </c>
      <c r="P33" s="59" t="s">
        <v>2385</v>
      </c>
      <c r="Q33" s="8">
        <f t="shared" si="0"/>
        <v>824</v>
      </c>
      <c r="R33" s="14"/>
      <c r="S33" s="8"/>
      <c r="T33" s="8"/>
    </row>
    <row r="34" spans="1:20" ht="15.75" customHeight="1">
      <c r="A34" s="59">
        <v>33</v>
      </c>
      <c r="B34" s="59">
        <v>12</v>
      </c>
      <c r="C34" s="60" t="s">
        <v>135</v>
      </c>
      <c r="D34" s="59" t="s">
        <v>399</v>
      </c>
      <c r="E34" s="59" t="s">
        <v>400</v>
      </c>
      <c r="F34" s="59"/>
      <c r="G34" s="59" t="s">
        <v>340</v>
      </c>
      <c r="H34" s="59" t="s">
        <v>352</v>
      </c>
      <c r="I34" s="59">
        <v>3</v>
      </c>
      <c r="J34" s="61">
        <v>2.5827546296296296E-2</v>
      </c>
      <c r="K34" s="61">
        <v>1.1261574074074073E-3</v>
      </c>
      <c r="L34" s="61">
        <v>4.444212962962963E-2</v>
      </c>
      <c r="M34" s="61">
        <v>7.1064814814814819E-4</v>
      </c>
      <c r="N34" s="61">
        <v>2.8346064814814814E-2</v>
      </c>
      <c r="O34" s="61">
        <v>0.1004548611111111</v>
      </c>
      <c r="P34" s="59" t="s">
        <v>2386</v>
      </c>
      <c r="Q34" s="8">
        <f t="shared" si="0"/>
        <v>824</v>
      </c>
      <c r="R34" s="14"/>
      <c r="S34" s="8"/>
      <c r="T34" s="8"/>
    </row>
    <row r="35" spans="1:20" ht="15.75" customHeight="1">
      <c r="A35" s="59">
        <v>34</v>
      </c>
      <c r="B35" s="59">
        <v>105</v>
      </c>
      <c r="C35" s="60" t="s">
        <v>135</v>
      </c>
      <c r="D35" s="59" t="s">
        <v>1555</v>
      </c>
      <c r="E35" s="59" t="s">
        <v>1556</v>
      </c>
      <c r="F35" s="59" t="s">
        <v>189</v>
      </c>
      <c r="G35" s="59" t="s">
        <v>340</v>
      </c>
      <c r="H35" s="59" t="s">
        <v>344</v>
      </c>
      <c r="I35" s="59">
        <v>5</v>
      </c>
      <c r="J35" s="61">
        <v>2.2569444444444444E-2</v>
      </c>
      <c r="K35" s="61">
        <v>9.0046296296296294E-4</v>
      </c>
      <c r="L35" s="61">
        <v>4.5009259259259263E-2</v>
      </c>
      <c r="M35" s="61">
        <v>5.1157407407407412E-4</v>
      </c>
      <c r="N35" s="61">
        <v>3.2208333333333339E-2</v>
      </c>
      <c r="O35" s="61">
        <v>0.10120138888888888</v>
      </c>
      <c r="P35" s="59" t="s">
        <v>2387</v>
      </c>
      <c r="Q35" s="8">
        <f t="shared" si="0"/>
        <v>818</v>
      </c>
      <c r="R35" s="14"/>
      <c r="S35" s="8"/>
      <c r="T35" s="8"/>
    </row>
    <row r="36" spans="1:20" ht="15.75" customHeight="1">
      <c r="A36" s="59">
        <v>35</v>
      </c>
      <c r="B36" s="59">
        <v>109</v>
      </c>
      <c r="C36" s="60" t="s">
        <v>135</v>
      </c>
      <c r="D36" s="59" t="s">
        <v>224</v>
      </c>
      <c r="E36" s="59" t="s">
        <v>225</v>
      </c>
      <c r="F36" s="59" t="s">
        <v>138</v>
      </c>
      <c r="G36" s="59" t="s">
        <v>340</v>
      </c>
      <c r="H36" s="59" t="s">
        <v>341</v>
      </c>
      <c r="I36" s="59">
        <v>8</v>
      </c>
      <c r="J36" s="61">
        <v>2.329513888888889E-2</v>
      </c>
      <c r="K36" s="61">
        <v>9.1782407407407405E-4</v>
      </c>
      <c r="L36" s="61">
        <v>4.5918981481481484E-2</v>
      </c>
      <c r="M36" s="61">
        <v>7.9513888888888896E-4</v>
      </c>
      <c r="N36" s="61">
        <v>3.0672453703703702E-2</v>
      </c>
      <c r="O36" s="61">
        <v>0.10160069444444443</v>
      </c>
      <c r="P36" s="59" t="s">
        <v>2388</v>
      </c>
      <c r="Q36" s="8">
        <f t="shared" si="0"/>
        <v>814</v>
      </c>
      <c r="R36" s="14"/>
      <c r="S36" s="8"/>
      <c r="T36" s="8"/>
    </row>
    <row r="37" spans="1:20" ht="15.75" customHeight="1">
      <c r="A37" s="59">
        <v>36</v>
      </c>
      <c r="B37" s="59">
        <v>22</v>
      </c>
      <c r="C37" s="60" t="s">
        <v>135</v>
      </c>
      <c r="D37" s="59" t="s">
        <v>413</v>
      </c>
      <c r="E37" s="59" t="s">
        <v>414</v>
      </c>
      <c r="F37" s="59" t="s">
        <v>199</v>
      </c>
      <c r="G37" s="59" t="s">
        <v>340</v>
      </c>
      <c r="H37" s="59" t="s">
        <v>344</v>
      </c>
      <c r="I37" s="59">
        <v>6</v>
      </c>
      <c r="J37" s="61">
        <v>2.053935185185185E-2</v>
      </c>
      <c r="K37" s="61">
        <v>1.0173611111111112E-3</v>
      </c>
      <c r="L37" s="61">
        <v>4.809027777777778E-2</v>
      </c>
      <c r="M37" s="61">
        <v>5.1736111111111112E-4</v>
      </c>
      <c r="N37" s="61">
        <v>3.1526620370370372E-2</v>
      </c>
      <c r="O37" s="61">
        <v>0.10169328703703703</v>
      </c>
      <c r="P37" s="59" t="s">
        <v>2389</v>
      </c>
      <c r="Q37" s="8">
        <f t="shared" si="0"/>
        <v>814</v>
      </c>
      <c r="R37" s="14"/>
      <c r="S37" s="8"/>
      <c r="T37" s="8"/>
    </row>
    <row r="38" spans="1:20" ht="15.75" customHeight="1">
      <c r="A38" s="59">
        <v>37</v>
      </c>
      <c r="B38" s="59">
        <v>60</v>
      </c>
      <c r="C38" s="60" t="s">
        <v>135</v>
      </c>
      <c r="D38" s="59" t="s">
        <v>2390</v>
      </c>
      <c r="E38" s="59" t="s">
        <v>2391</v>
      </c>
      <c r="F38" s="59" t="s">
        <v>2392</v>
      </c>
      <c r="G38" s="59" t="s">
        <v>340</v>
      </c>
      <c r="H38" s="59" t="s">
        <v>344</v>
      </c>
      <c r="I38" s="59">
        <v>7</v>
      </c>
      <c r="J38" s="61">
        <v>2.2431712962962962E-2</v>
      </c>
      <c r="K38" s="61">
        <v>1.3553240740740741E-3</v>
      </c>
      <c r="L38" s="61">
        <v>4.4605324074074075E-2</v>
      </c>
      <c r="M38" s="61">
        <v>9.1782407407407405E-4</v>
      </c>
      <c r="N38" s="61">
        <v>3.2508101851851851E-2</v>
      </c>
      <c r="O38" s="61">
        <v>0.10181944444444445</v>
      </c>
      <c r="P38" s="59" t="s">
        <v>2393</v>
      </c>
      <c r="Q38" s="8">
        <f t="shared" si="0"/>
        <v>813</v>
      </c>
      <c r="R38" s="14"/>
      <c r="S38" s="8"/>
      <c r="T38" s="8"/>
    </row>
    <row r="39" spans="1:20" ht="15.75" customHeight="1">
      <c r="A39" s="59">
        <v>38</v>
      </c>
      <c r="B39" s="59">
        <v>119</v>
      </c>
      <c r="C39" s="60" t="s">
        <v>135</v>
      </c>
      <c r="D39" s="59" t="s">
        <v>422</v>
      </c>
      <c r="E39" s="59" t="s">
        <v>423</v>
      </c>
      <c r="F39" s="59"/>
      <c r="G39" s="59" t="s">
        <v>340</v>
      </c>
      <c r="H39" s="59" t="s">
        <v>357</v>
      </c>
      <c r="I39" s="59">
        <v>5</v>
      </c>
      <c r="J39" s="61">
        <v>2.216550925925926E-2</v>
      </c>
      <c r="K39" s="61">
        <v>9.9652777777777782E-4</v>
      </c>
      <c r="L39" s="61">
        <v>4.7862268518518519E-2</v>
      </c>
      <c r="M39" s="61">
        <v>5.2199074074074073E-4</v>
      </c>
      <c r="N39" s="61">
        <v>3.0309027777777775E-2</v>
      </c>
      <c r="O39" s="61">
        <v>0.10185763888888889</v>
      </c>
      <c r="P39" s="59" t="s">
        <v>2394</v>
      </c>
      <c r="Q39" s="8">
        <f t="shared" si="0"/>
        <v>812</v>
      </c>
      <c r="R39" s="14"/>
      <c r="S39" s="8"/>
      <c r="T39" s="8"/>
    </row>
    <row r="40" spans="1:20" ht="15.75" customHeight="1">
      <c r="A40" s="59">
        <v>39</v>
      </c>
      <c r="B40" s="59">
        <v>114</v>
      </c>
      <c r="C40" s="60" t="s">
        <v>135</v>
      </c>
      <c r="D40" s="59" t="s">
        <v>687</v>
      </c>
      <c r="E40" s="59" t="s">
        <v>688</v>
      </c>
      <c r="F40" s="59" t="s">
        <v>189</v>
      </c>
      <c r="G40" s="59" t="s">
        <v>340</v>
      </c>
      <c r="H40" s="59" t="s">
        <v>348</v>
      </c>
      <c r="I40" s="59">
        <v>13</v>
      </c>
      <c r="J40" s="61">
        <v>2.3567129629629629E-2</v>
      </c>
      <c r="K40" s="61">
        <v>8.3101851851851848E-4</v>
      </c>
      <c r="L40" s="61">
        <v>4.6979166666666669E-2</v>
      </c>
      <c r="M40" s="61">
        <v>5.6250000000000007E-4</v>
      </c>
      <c r="N40" s="61">
        <v>3.0054398148148146E-2</v>
      </c>
      <c r="O40" s="61">
        <v>0.10199537037037036</v>
      </c>
      <c r="P40" s="59" t="s">
        <v>2395</v>
      </c>
      <c r="Q40" s="8">
        <f t="shared" si="0"/>
        <v>811</v>
      </c>
      <c r="R40" s="14"/>
      <c r="S40" s="8"/>
      <c r="T40" s="8"/>
    </row>
    <row r="41" spans="1:20" ht="15.75" customHeight="1">
      <c r="A41" s="59">
        <v>40</v>
      </c>
      <c r="B41" s="59">
        <v>53</v>
      </c>
      <c r="C41" s="60" t="s">
        <v>135</v>
      </c>
      <c r="D41" s="59" t="s">
        <v>240</v>
      </c>
      <c r="E41" s="59" t="s">
        <v>241</v>
      </c>
      <c r="F41" s="59" t="s">
        <v>138</v>
      </c>
      <c r="G41" s="59" t="s">
        <v>340</v>
      </c>
      <c r="H41" s="59" t="s">
        <v>420</v>
      </c>
      <c r="I41" s="59">
        <v>1</v>
      </c>
      <c r="J41" s="61">
        <v>1.930439814814815E-2</v>
      </c>
      <c r="K41" s="61">
        <v>1.2025462962962964E-3</v>
      </c>
      <c r="L41" s="61">
        <v>4.7065972222222224E-2</v>
      </c>
      <c r="M41" s="61">
        <v>5.2199074074074073E-4</v>
      </c>
      <c r="N41" s="61">
        <v>3.4038194444444447E-2</v>
      </c>
      <c r="O41" s="61">
        <v>0.10213541666666667</v>
      </c>
      <c r="P41" s="59" t="s">
        <v>2396</v>
      </c>
      <c r="Q41" s="8">
        <f t="shared" si="0"/>
        <v>810</v>
      </c>
      <c r="R41" s="14"/>
      <c r="S41" s="8"/>
      <c r="T41" s="8"/>
    </row>
    <row r="42" spans="1:20" ht="15.75" customHeight="1">
      <c r="A42" s="59">
        <v>41</v>
      </c>
      <c r="B42" s="59">
        <v>44</v>
      </c>
      <c r="C42" s="60" t="s">
        <v>135</v>
      </c>
      <c r="D42" s="59" t="s">
        <v>406</v>
      </c>
      <c r="E42" s="59" t="s">
        <v>407</v>
      </c>
      <c r="F42" s="59"/>
      <c r="G42" s="59" t="s">
        <v>340</v>
      </c>
      <c r="H42" s="59" t="s">
        <v>352</v>
      </c>
      <c r="I42" s="59">
        <v>4</v>
      </c>
      <c r="J42" s="61">
        <v>2.2641203703703705E-2</v>
      </c>
      <c r="K42" s="61">
        <v>1.4722222222222222E-3</v>
      </c>
      <c r="L42" s="61">
        <v>4.424884259259259E-2</v>
      </c>
      <c r="M42" s="61">
        <v>1.1192129629629629E-3</v>
      </c>
      <c r="N42" s="61">
        <v>3.2693287037037035E-2</v>
      </c>
      <c r="O42" s="61">
        <v>0.10217708333333334</v>
      </c>
      <c r="P42" s="59" t="s">
        <v>2397</v>
      </c>
      <c r="Q42" s="8">
        <f t="shared" si="0"/>
        <v>810</v>
      </c>
      <c r="R42" s="14"/>
      <c r="S42" s="8"/>
      <c r="T42" s="8"/>
    </row>
    <row r="43" spans="1:20" ht="15.75" customHeight="1">
      <c r="A43" s="59">
        <v>42</v>
      </c>
      <c r="B43" s="59">
        <v>2</v>
      </c>
      <c r="C43" s="60" t="s">
        <v>135</v>
      </c>
      <c r="D43" s="59" t="s">
        <v>402</v>
      </c>
      <c r="E43" s="59" t="s">
        <v>403</v>
      </c>
      <c r="F43" s="59" t="s">
        <v>199</v>
      </c>
      <c r="G43" s="59" t="s">
        <v>340</v>
      </c>
      <c r="H43" s="59" t="s">
        <v>348</v>
      </c>
      <c r="I43" s="59">
        <v>14</v>
      </c>
      <c r="J43" s="61">
        <v>2.3625E-2</v>
      </c>
      <c r="K43" s="61">
        <v>1.1898148148148148E-3</v>
      </c>
      <c r="L43" s="61">
        <v>4.7041666666666669E-2</v>
      </c>
      <c r="M43" s="61">
        <v>4.5601851851851852E-4</v>
      </c>
      <c r="N43" s="61">
        <v>2.9869212962962962E-2</v>
      </c>
      <c r="O43" s="61">
        <v>0.10218287037037037</v>
      </c>
      <c r="P43" s="59" t="s">
        <v>2398</v>
      </c>
      <c r="Q43" s="8">
        <f t="shared" si="0"/>
        <v>810</v>
      </c>
      <c r="R43" s="14"/>
      <c r="S43" s="8"/>
      <c r="T43" s="8"/>
    </row>
    <row r="44" spans="1:20" ht="15.75" customHeight="1">
      <c r="A44" s="59">
        <v>43</v>
      </c>
      <c r="B44" s="59">
        <v>82</v>
      </c>
      <c r="C44" s="60" t="s">
        <v>135</v>
      </c>
      <c r="D44" s="59" t="s">
        <v>489</v>
      </c>
      <c r="E44" s="59" t="s">
        <v>490</v>
      </c>
      <c r="F44" s="59" t="s">
        <v>491</v>
      </c>
      <c r="G44" s="59" t="s">
        <v>340</v>
      </c>
      <c r="H44" s="59" t="s">
        <v>348</v>
      </c>
      <c r="I44" s="59">
        <v>15</v>
      </c>
      <c r="J44" s="61">
        <v>1.9128472222222224E-2</v>
      </c>
      <c r="K44" s="61">
        <v>8.8888888888888882E-4</v>
      </c>
      <c r="L44" s="61">
        <v>4.8025462962962957E-2</v>
      </c>
      <c r="M44" s="61">
        <v>6.7245370370370375E-4</v>
      </c>
      <c r="N44" s="61">
        <v>3.3905092592592591E-2</v>
      </c>
      <c r="O44" s="61">
        <v>0.10262384259259261</v>
      </c>
      <c r="P44" s="59" t="s">
        <v>2399</v>
      </c>
      <c r="Q44" s="8">
        <f t="shared" si="0"/>
        <v>806</v>
      </c>
      <c r="R44" s="14"/>
      <c r="S44" s="8"/>
      <c r="T44" s="8"/>
    </row>
    <row r="45" spans="1:20" ht="15.75" customHeight="1">
      <c r="A45" s="59">
        <v>44</v>
      </c>
      <c r="B45" s="59">
        <v>138</v>
      </c>
      <c r="C45" s="60" t="s">
        <v>135</v>
      </c>
      <c r="D45" s="59" t="s">
        <v>1574</v>
      </c>
      <c r="E45" s="59" t="s">
        <v>1575</v>
      </c>
      <c r="F45" s="59" t="s">
        <v>189</v>
      </c>
      <c r="G45" s="59" t="s">
        <v>340</v>
      </c>
      <c r="H45" s="59" t="s">
        <v>341</v>
      </c>
      <c r="I45" s="59">
        <v>9</v>
      </c>
      <c r="J45" s="61">
        <v>2.4435185185185185E-2</v>
      </c>
      <c r="K45" s="61">
        <v>1.1944444444444444E-3</v>
      </c>
      <c r="L45" s="61">
        <v>4.6895833333333338E-2</v>
      </c>
      <c r="M45" s="61">
        <v>6.7013888888888885E-4</v>
      </c>
      <c r="N45" s="61">
        <v>3.0482638888888886E-2</v>
      </c>
      <c r="O45" s="61">
        <v>0.10367939814814814</v>
      </c>
      <c r="P45" s="59" t="s">
        <v>2400</v>
      </c>
      <c r="Q45" s="8">
        <f t="shared" si="0"/>
        <v>798</v>
      </c>
      <c r="R45" s="14"/>
      <c r="S45" s="8"/>
      <c r="T45" s="8"/>
    </row>
    <row r="46" spans="1:20" ht="15.75" customHeight="1">
      <c r="A46" s="59">
        <v>45</v>
      </c>
      <c r="B46" s="59">
        <v>121</v>
      </c>
      <c r="C46" s="60" t="s">
        <v>135</v>
      </c>
      <c r="D46" s="59" t="s">
        <v>236</v>
      </c>
      <c r="E46" s="59" t="s">
        <v>237</v>
      </c>
      <c r="F46" s="59"/>
      <c r="G46" s="59" t="s">
        <v>340</v>
      </c>
      <c r="H46" s="59" t="s">
        <v>448</v>
      </c>
      <c r="I46" s="59">
        <v>1</v>
      </c>
      <c r="J46" s="61">
        <v>2.2582175925925926E-2</v>
      </c>
      <c r="K46" s="61">
        <v>1.9166666666666666E-3</v>
      </c>
      <c r="L46" s="61">
        <v>4.5275462962962962E-2</v>
      </c>
      <c r="M46" s="61">
        <v>1.0162037037037036E-3</v>
      </c>
      <c r="N46" s="61">
        <v>3.3028935185185182E-2</v>
      </c>
      <c r="O46" s="61">
        <v>0.10382175925925927</v>
      </c>
      <c r="P46" s="59" t="s">
        <v>2401</v>
      </c>
      <c r="Q46" s="8">
        <f t="shared" si="0"/>
        <v>797</v>
      </c>
      <c r="R46" s="14"/>
      <c r="S46" s="8"/>
      <c r="T46" s="8"/>
    </row>
    <row r="47" spans="1:20" ht="15.75" customHeight="1">
      <c r="A47" s="59">
        <v>46</v>
      </c>
      <c r="B47" s="59">
        <v>45</v>
      </c>
      <c r="C47" s="60" t="s">
        <v>135</v>
      </c>
      <c r="D47" s="59" t="s">
        <v>201</v>
      </c>
      <c r="E47" s="59" t="s">
        <v>202</v>
      </c>
      <c r="F47" s="59" t="s">
        <v>203</v>
      </c>
      <c r="G47" s="59" t="s">
        <v>340</v>
      </c>
      <c r="H47" s="59" t="s">
        <v>341</v>
      </c>
      <c r="I47" s="59">
        <v>10</v>
      </c>
      <c r="J47" s="61">
        <v>2.5041666666666667E-2</v>
      </c>
      <c r="K47" s="61">
        <v>1.0821759259259259E-3</v>
      </c>
      <c r="L47" s="61">
        <v>4.6804398148148151E-2</v>
      </c>
      <c r="M47" s="61">
        <v>6.226851851851851E-4</v>
      </c>
      <c r="N47" s="61">
        <v>3.0311342592592595E-2</v>
      </c>
      <c r="O47" s="61">
        <v>0.10386458333333333</v>
      </c>
      <c r="P47" s="59" t="s">
        <v>2402</v>
      </c>
      <c r="Q47" s="8">
        <f t="shared" si="0"/>
        <v>797</v>
      </c>
      <c r="R47" s="14"/>
      <c r="S47" s="8"/>
      <c r="T47" s="8"/>
    </row>
    <row r="48" spans="1:20" ht="15.75" customHeight="1">
      <c r="A48" s="59">
        <v>47</v>
      </c>
      <c r="B48" s="59">
        <v>112</v>
      </c>
      <c r="C48" s="60" t="s">
        <v>135</v>
      </c>
      <c r="D48" s="59" t="s">
        <v>221</v>
      </c>
      <c r="E48" s="59" t="s">
        <v>222</v>
      </c>
      <c r="F48" s="59" t="s">
        <v>199</v>
      </c>
      <c r="G48" s="59" t="s">
        <v>340</v>
      </c>
      <c r="H48" s="59" t="s">
        <v>348</v>
      </c>
      <c r="I48" s="59">
        <v>16</v>
      </c>
      <c r="J48" s="61">
        <v>2.4026620370370372E-2</v>
      </c>
      <c r="K48" s="61">
        <v>7.361111111111111E-4</v>
      </c>
      <c r="L48" s="61">
        <v>4.5063657407407406E-2</v>
      </c>
      <c r="M48" s="61">
        <v>4.3171296296296295E-4</v>
      </c>
      <c r="N48" s="61">
        <v>3.3866898148148146E-2</v>
      </c>
      <c r="O48" s="61">
        <v>0.10412615740740741</v>
      </c>
      <c r="P48" s="59" t="s">
        <v>2403</v>
      </c>
      <c r="Q48" s="8">
        <f t="shared" si="0"/>
        <v>795</v>
      </c>
      <c r="R48" s="14"/>
      <c r="S48" s="8"/>
      <c r="T48" s="8"/>
    </row>
    <row r="49" spans="1:20" ht="15.75" customHeight="1">
      <c r="A49" s="59">
        <v>48</v>
      </c>
      <c r="B49" s="59">
        <v>70</v>
      </c>
      <c r="C49" s="60" t="s">
        <v>135</v>
      </c>
      <c r="D49" s="59" t="s">
        <v>2404</v>
      </c>
      <c r="E49" s="59" t="s">
        <v>2405</v>
      </c>
      <c r="F49" s="59"/>
      <c r="G49" s="59" t="s">
        <v>340</v>
      </c>
      <c r="H49" s="59" t="s">
        <v>348</v>
      </c>
      <c r="I49" s="59">
        <v>17</v>
      </c>
      <c r="J49" s="61">
        <v>2.3457175925925926E-2</v>
      </c>
      <c r="K49" s="61">
        <v>1.0543981481481481E-3</v>
      </c>
      <c r="L49" s="61">
        <v>4.745717592592593E-2</v>
      </c>
      <c r="M49" s="61">
        <v>8.4837962962962959E-4</v>
      </c>
      <c r="N49" s="61">
        <v>3.2129629629629633E-2</v>
      </c>
      <c r="O49" s="61">
        <v>0.10494907407407408</v>
      </c>
      <c r="P49" s="59" t="s">
        <v>2406</v>
      </c>
      <c r="Q49" s="8">
        <f t="shared" si="0"/>
        <v>788</v>
      </c>
      <c r="R49" s="14"/>
      <c r="S49" s="8"/>
      <c r="T49" s="8"/>
    </row>
    <row r="50" spans="1:20" ht="15.75" customHeight="1">
      <c r="A50" s="59">
        <v>49</v>
      </c>
      <c r="B50" s="59">
        <v>139</v>
      </c>
      <c r="C50" s="60" t="s">
        <v>135</v>
      </c>
      <c r="D50" s="59" t="s">
        <v>442</v>
      </c>
      <c r="E50" s="59" t="s">
        <v>443</v>
      </c>
      <c r="F50" s="59"/>
      <c r="G50" s="59" t="s">
        <v>340</v>
      </c>
      <c r="H50" s="59" t="s">
        <v>352</v>
      </c>
      <c r="I50" s="59">
        <v>5</v>
      </c>
      <c r="J50" s="61">
        <v>2.5283564814814814E-2</v>
      </c>
      <c r="K50" s="61">
        <v>1.5370370370370371E-3</v>
      </c>
      <c r="L50" s="61">
        <v>4.6016203703703705E-2</v>
      </c>
      <c r="M50" s="61">
        <v>1.0034722222222222E-3</v>
      </c>
      <c r="N50" s="61">
        <v>3.1203703703703702E-2</v>
      </c>
      <c r="O50" s="61">
        <v>0.10504513888888889</v>
      </c>
      <c r="P50" s="59" t="s">
        <v>2407</v>
      </c>
      <c r="Q50" s="8">
        <f t="shared" si="0"/>
        <v>788</v>
      </c>
      <c r="R50" s="14"/>
      <c r="S50" s="8"/>
      <c r="T50" s="8"/>
    </row>
    <row r="51" spans="1:20" ht="15.75" customHeight="1">
      <c r="A51" s="59">
        <v>50</v>
      </c>
      <c r="B51" s="59">
        <v>37</v>
      </c>
      <c r="C51" s="60" t="s">
        <v>135</v>
      </c>
      <c r="D51" s="59" t="s">
        <v>1617</v>
      </c>
      <c r="E51" s="59" t="s">
        <v>1618</v>
      </c>
      <c r="F51" s="59" t="s">
        <v>189</v>
      </c>
      <c r="G51" s="59" t="s">
        <v>340</v>
      </c>
      <c r="H51" s="59" t="s">
        <v>348</v>
      </c>
      <c r="I51" s="59">
        <v>18</v>
      </c>
      <c r="J51" s="61">
        <v>2.3487268518518518E-2</v>
      </c>
      <c r="K51" s="61">
        <v>1.1388888888888889E-3</v>
      </c>
      <c r="L51" s="61">
        <v>5.0531249999999993E-2</v>
      </c>
      <c r="M51" s="61">
        <v>5.6828703703703707E-4</v>
      </c>
      <c r="N51" s="61">
        <v>2.9358796296296296E-2</v>
      </c>
      <c r="O51" s="61">
        <v>0.10508680555555555</v>
      </c>
      <c r="P51" s="59" t="s">
        <v>2408</v>
      </c>
      <c r="Q51" s="8">
        <f t="shared" si="0"/>
        <v>787</v>
      </c>
      <c r="R51" s="14"/>
      <c r="S51" s="8"/>
      <c r="T51" s="8"/>
    </row>
    <row r="52" spans="1:20" ht="15.75" customHeight="1">
      <c r="A52" s="59">
        <v>51</v>
      </c>
      <c r="B52" s="59">
        <v>1</v>
      </c>
      <c r="C52" s="60" t="s">
        <v>135</v>
      </c>
      <c r="D52" s="59" t="s">
        <v>2409</v>
      </c>
      <c r="E52" s="59" t="s">
        <v>2410</v>
      </c>
      <c r="F52" s="59" t="s">
        <v>2411</v>
      </c>
      <c r="G52" s="59" t="s">
        <v>340</v>
      </c>
      <c r="H52" s="59" t="s">
        <v>348</v>
      </c>
      <c r="I52" s="59">
        <v>19</v>
      </c>
      <c r="J52" s="61">
        <v>1.9142361111111113E-2</v>
      </c>
      <c r="K52" s="61">
        <v>8.2407407407407408E-4</v>
      </c>
      <c r="L52" s="61">
        <v>5.1473379629629633E-2</v>
      </c>
      <c r="M52" s="61">
        <v>6.4351851851851853E-4</v>
      </c>
      <c r="N52" s="61">
        <v>3.3353009259259256E-2</v>
      </c>
      <c r="O52" s="61">
        <v>0.1054386574074074</v>
      </c>
      <c r="P52" s="59" t="s">
        <v>2412</v>
      </c>
      <c r="Q52" s="8">
        <f t="shared" si="0"/>
        <v>785</v>
      </c>
      <c r="R52" s="14"/>
      <c r="S52" s="8"/>
      <c r="T52" s="8"/>
    </row>
    <row r="53" spans="1:20" ht="15.75" customHeight="1">
      <c r="A53" s="59">
        <v>52</v>
      </c>
      <c r="B53" s="59">
        <v>26</v>
      </c>
      <c r="C53" s="60" t="s">
        <v>135</v>
      </c>
      <c r="D53" s="59" t="s">
        <v>523</v>
      </c>
      <c r="E53" s="59" t="s">
        <v>524</v>
      </c>
      <c r="F53" s="59"/>
      <c r="G53" s="59" t="s">
        <v>340</v>
      </c>
      <c r="H53" s="59" t="s">
        <v>348</v>
      </c>
      <c r="I53" s="59">
        <v>20</v>
      </c>
      <c r="J53" s="61">
        <v>2.1278935185185185E-2</v>
      </c>
      <c r="K53" s="61">
        <v>9.791666666666666E-4</v>
      </c>
      <c r="L53" s="61">
        <v>4.8091435185185188E-2</v>
      </c>
      <c r="M53" s="61">
        <v>4.5949074074074078E-4</v>
      </c>
      <c r="N53" s="61">
        <v>3.5388888888888886E-2</v>
      </c>
      <c r="O53" s="61">
        <v>0.10620023148148149</v>
      </c>
      <c r="P53" s="59" t="s">
        <v>2413</v>
      </c>
      <c r="Q53" s="8">
        <f t="shared" si="0"/>
        <v>779</v>
      </c>
      <c r="R53" s="14"/>
      <c r="S53" s="8"/>
      <c r="T53" s="8"/>
    </row>
    <row r="54" spans="1:20" ht="15.75" customHeight="1">
      <c r="A54" s="59">
        <v>53</v>
      </c>
      <c r="B54" s="59">
        <v>9</v>
      </c>
      <c r="C54" s="60" t="s">
        <v>135</v>
      </c>
      <c r="D54" s="59" t="s">
        <v>477</v>
      </c>
      <c r="E54" s="59" t="s">
        <v>478</v>
      </c>
      <c r="F54" s="59"/>
      <c r="G54" s="59" t="s">
        <v>340</v>
      </c>
      <c r="H54" s="59" t="s">
        <v>357</v>
      </c>
      <c r="I54" s="59">
        <v>6</v>
      </c>
      <c r="J54" s="61">
        <v>2.3702546296296298E-2</v>
      </c>
      <c r="K54" s="61">
        <v>9.4791666666666679E-4</v>
      </c>
      <c r="L54" s="61">
        <v>4.4988425925925925E-2</v>
      </c>
      <c r="M54" s="61">
        <v>8.1597222222222227E-4</v>
      </c>
      <c r="N54" s="61">
        <v>3.6204861111111111E-2</v>
      </c>
      <c r="O54" s="61">
        <v>0.10666087962962963</v>
      </c>
      <c r="P54" s="59" t="s">
        <v>2414</v>
      </c>
      <c r="Q54" s="8">
        <f t="shared" si="0"/>
        <v>776</v>
      </c>
      <c r="R54" s="14"/>
      <c r="S54" s="8"/>
      <c r="T54" s="8"/>
    </row>
    <row r="55" spans="1:20" ht="15.75" customHeight="1">
      <c r="A55" s="59">
        <v>54</v>
      </c>
      <c r="B55" s="59">
        <v>43</v>
      </c>
      <c r="C55" s="60" t="s">
        <v>135</v>
      </c>
      <c r="D55" s="59" t="s">
        <v>774</v>
      </c>
      <c r="E55" s="59" t="s">
        <v>775</v>
      </c>
      <c r="F55" s="59"/>
      <c r="G55" s="59" t="s">
        <v>340</v>
      </c>
      <c r="H55" s="59" t="s">
        <v>348</v>
      </c>
      <c r="I55" s="59">
        <v>21</v>
      </c>
      <c r="J55" s="61">
        <v>1.9541666666666669E-2</v>
      </c>
      <c r="K55" s="61">
        <v>1.0682870370370371E-3</v>
      </c>
      <c r="L55" s="61">
        <v>5.0336805555555558E-2</v>
      </c>
      <c r="M55" s="61">
        <v>3.2986111111111112E-4</v>
      </c>
      <c r="N55" s="61">
        <v>3.5714120370370368E-2</v>
      </c>
      <c r="O55" s="61">
        <v>0.10699189814814815</v>
      </c>
      <c r="P55" s="59" t="s">
        <v>2415</v>
      </c>
      <c r="Q55" s="8">
        <f t="shared" si="0"/>
        <v>773</v>
      </c>
      <c r="R55" s="14"/>
      <c r="S55" s="8"/>
      <c r="T55" s="8"/>
    </row>
    <row r="56" spans="1:20" ht="15.75" customHeight="1">
      <c r="A56" s="59">
        <v>55</v>
      </c>
      <c r="B56" s="59">
        <v>72</v>
      </c>
      <c r="C56" s="60" t="s">
        <v>135</v>
      </c>
      <c r="D56" s="59" t="s">
        <v>2416</v>
      </c>
      <c r="E56" s="59" t="s">
        <v>2417</v>
      </c>
      <c r="F56" s="59" t="s">
        <v>173</v>
      </c>
      <c r="G56" s="59" t="s">
        <v>340</v>
      </c>
      <c r="H56" s="59" t="s">
        <v>352</v>
      </c>
      <c r="I56" s="59">
        <v>6</v>
      </c>
      <c r="J56" s="61">
        <v>2.3502314814814813E-2</v>
      </c>
      <c r="K56" s="61">
        <v>1.0266203703703704E-3</v>
      </c>
      <c r="L56" s="61">
        <v>4.8079861111111115E-2</v>
      </c>
      <c r="M56" s="61">
        <v>9.0046296296296294E-4</v>
      </c>
      <c r="N56" s="61">
        <v>3.3483796296296296E-2</v>
      </c>
      <c r="O56" s="61">
        <v>0.10699421296296295</v>
      </c>
      <c r="P56" s="59" t="s">
        <v>2418</v>
      </c>
      <c r="Q56" s="8">
        <f t="shared" si="0"/>
        <v>773</v>
      </c>
      <c r="R56" s="14"/>
      <c r="S56" s="8"/>
      <c r="T56" s="8"/>
    </row>
    <row r="57" spans="1:20" ht="15.75" customHeight="1">
      <c r="A57" s="59">
        <v>56</v>
      </c>
      <c r="B57" s="59">
        <v>69</v>
      </c>
      <c r="C57" s="60" t="s">
        <v>135</v>
      </c>
      <c r="D57" s="59" t="s">
        <v>274</v>
      </c>
      <c r="E57" s="59" t="s">
        <v>275</v>
      </c>
      <c r="F57" s="59" t="s">
        <v>138</v>
      </c>
      <c r="G57" s="59" t="s">
        <v>340</v>
      </c>
      <c r="H57" s="59" t="s">
        <v>420</v>
      </c>
      <c r="I57" s="59">
        <v>2</v>
      </c>
      <c r="J57" s="61">
        <v>2.2442129629629631E-2</v>
      </c>
      <c r="K57" s="61">
        <v>1.193287037037037E-3</v>
      </c>
      <c r="L57" s="61">
        <v>5.0393518518518518E-2</v>
      </c>
      <c r="M57" s="61">
        <v>5.8564814814814818E-4</v>
      </c>
      <c r="N57" s="61">
        <v>3.2664351851851847E-2</v>
      </c>
      <c r="O57" s="61">
        <v>0.10728009259259259</v>
      </c>
      <c r="P57" s="59" t="s">
        <v>2419</v>
      </c>
      <c r="Q57" s="8">
        <f t="shared" si="0"/>
        <v>771</v>
      </c>
      <c r="R57" s="14"/>
      <c r="S57" s="8"/>
      <c r="T57" s="8"/>
    </row>
    <row r="58" spans="1:20" ht="15.75" customHeight="1">
      <c r="A58" s="59">
        <v>57</v>
      </c>
      <c r="B58" s="59">
        <v>107</v>
      </c>
      <c r="C58" s="60" t="s">
        <v>135</v>
      </c>
      <c r="D58" s="59" t="s">
        <v>247</v>
      </c>
      <c r="E58" s="59" t="s">
        <v>248</v>
      </c>
      <c r="F58" s="59" t="s">
        <v>199</v>
      </c>
      <c r="G58" s="59" t="s">
        <v>340</v>
      </c>
      <c r="H58" s="59" t="s">
        <v>344</v>
      </c>
      <c r="I58" s="59">
        <v>8</v>
      </c>
      <c r="J58" s="61">
        <v>2.0560185185185185E-2</v>
      </c>
      <c r="K58" s="61">
        <v>1.2291666666666666E-3</v>
      </c>
      <c r="L58" s="61">
        <v>4.8570601851851851E-2</v>
      </c>
      <c r="M58" s="61">
        <v>9.5833333333333328E-4</v>
      </c>
      <c r="N58" s="61">
        <v>3.605324074074074E-2</v>
      </c>
      <c r="O58" s="61">
        <v>0.1073738425925926</v>
      </c>
      <c r="P58" s="59" t="s">
        <v>2420</v>
      </c>
      <c r="Q58" s="8">
        <f t="shared" si="0"/>
        <v>771</v>
      </c>
      <c r="R58" s="14"/>
      <c r="S58" s="8"/>
      <c r="T58" s="8"/>
    </row>
    <row r="59" spans="1:20" ht="15.75" customHeight="1">
      <c r="A59" s="59">
        <v>58</v>
      </c>
      <c r="B59" s="59">
        <v>11</v>
      </c>
      <c r="C59" s="60" t="s">
        <v>135</v>
      </c>
      <c r="D59" s="59" t="s">
        <v>2421</v>
      </c>
      <c r="E59" s="59" t="s">
        <v>2422</v>
      </c>
      <c r="F59" s="59" t="s">
        <v>153</v>
      </c>
      <c r="G59" s="59" t="s">
        <v>340</v>
      </c>
      <c r="H59" s="59" t="s">
        <v>420</v>
      </c>
      <c r="I59" s="59">
        <v>3</v>
      </c>
      <c r="J59" s="61">
        <v>2.2618055555555554E-2</v>
      </c>
      <c r="K59" s="61">
        <v>1.414351851851852E-3</v>
      </c>
      <c r="L59" s="61">
        <v>4.9186342592592587E-2</v>
      </c>
      <c r="M59" s="61">
        <v>5.1736111111111112E-4</v>
      </c>
      <c r="N59" s="61">
        <v>3.3697916666666668E-2</v>
      </c>
      <c r="O59" s="61">
        <v>0.10743634259259259</v>
      </c>
      <c r="P59" s="59" t="s">
        <v>2423</v>
      </c>
      <c r="Q59" s="8">
        <f t="shared" si="0"/>
        <v>770</v>
      </c>
      <c r="R59" s="14"/>
      <c r="S59" s="8"/>
      <c r="T59" s="8"/>
    </row>
    <row r="60" spans="1:20" ht="15.75" customHeight="1">
      <c r="A60" s="59">
        <v>59</v>
      </c>
      <c r="B60" s="59">
        <v>31</v>
      </c>
      <c r="C60" s="60" t="s">
        <v>135</v>
      </c>
      <c r="D60" s="59" t="s">
        <v>2424</v>
      </c>
      <c r="E60" s="59" t="s">
        <v>2425</v>
      </c>
      <c r="F60" s="59" t="s">
        <v>2426</v>
      </c>
      <c r="G60" s="59" t="s">
        <v>340</v>
      </c>
      <c r="H60" s="59" t="s">
        <v>344</v>
      </c>
      <c r="I60" s="59">
        <v>9</v>
      </c>
      <c r="J60" s="61">
        <v>2.2392361111111113E-2</v>
      </c>
      <c r="K60" s="61">
        <v>1.3460648148148147E-3</v>
      </c>
      <c r="L60" s="61">
        <v>5.0445601851851853E-2</v>
      </c>
      <c r="M60" s="61">
        <v>5.8564814814814818E-4</v>
      </c>
      <c r="N60" s="61">
        <v>3.2892361111111115E-2</v>
      </c>
      <c r="O60" s="61">
        <v>0.10766435185185186</v>
      </c>
      <c r="P60" s="59" t="s">
        <v>2427</v>
      </c>
      <c r="Q60" s="8">
        <f t="shared" si="0"/>
        <v>768</v>
      </c>
      <c r="R60" s="14"/>
      <c r="S60" s="8"/>
      <c r="T60" s="8"/>
    </row>
    <row r="61" spans="1:20" ht="15.75" customHeight="1">
      <c r="A61" s="59">
        <v>60</v>
      </c>
      <c r="B61" s="59">
        <v>98</v>
      </c>
      <c r="C61" s="60" t="s">
        <v>135</v>
      </c>
      <c r="D61" s="59" t="s">
        <v>2428</v>
      </c>
      <c r="E61" s="59" t="s">
        <v>2429</v>
      </c>
      <c r="F61" s="59"/>
      <c r="G61" s="59" t="s">
        <v>340</v>
      </c>
      <c r="H61" s="59" t="s">
        <v>352</v>
      </c>
      <c r="I61" s="59">
        <v>7</v>
      </c>
      <c r="J61" s="61">
        <v>2.0734953703703703E-2</v>
      </c>
      <c r="K61" s="61">
        <v>2.0312500000000001E-3</v>
      </c>
      <c r="L61" s="61">
        <v>4.7128472222222224E-2</v>
      </c>
      <c r="M61" s="61">
        <v>9.1087962962962965E-4</v>
      </c>
      <c r="N61" s="61">
        <v>3.7424768518518517E-2</v>
      </c>
      <c r="O61" s="61">
        <v>0.10823263888888889</v>
      </c>
      <c r="P61" s="59" t="s">
        <v>2430</v>
      </c>
      <c r="Q61" s="8">
        <f t="shared" si="0"/>
        <v>764</v>
      </c>
      <c r="R61" s="14"/>
      <c r="S61" s="8"/>
      <c r="T61" s="8"/>
    </row>
    <row r="62" spans="1:20" ht="15.75" customHeight="1">
      <c r="A62" s="59">
        <v>61</v>
      </c>
      <c r="B62" s="59">
        <v>32</v>
      </c>
      <c r="C62" s="60" t="s">
        <v>135</v>
      </c>
      <c r="D62" s="59" t="s">
        <v>2431</v>
      </c>
      <c r="E62" s="59" t="s">
        <v>2432</v>
      </c>
      <c r="F62" s="59" t="s">
        <v>2433</v>
      </c>
      <c r="G62" s="59" t="s">
        <v>340</v>
      </c>
      <c r="H62" s="59" t="s">
        <v>341</v>
      </c>
      <c r="I62" s="59">
        <v>11</v>
      </c>
      <c r="J62" s="61">
        <v>2.2152777777777778E-2</v>
      </c>
      <c r="K62" s="61">
        <v>1.1250000000000001E-3</v>
      </c>
      <c r="L62" s="61">
        <v>5.0324074074074077E-2</v>
      </c>
      <c r="M62" s="61">
        <v>1.0590277777777779E-3</v>
      </c>
      <c r="N62" s="61">
        <v>3.3730324074074079E-2</v>
      </c>
      <c r="O62" s="61">
        <v>0.10839351851851853</v>
      </c>
      <c r="P62" s="59" t="s">
        <v>2434</v>
      </c>
      <c r="Q62" s="8">
        <f t="shared" si="0"/>
        <v>763</v>
      </c>
      <c r="R62" s="14"/>
      <c r="S62" s="8"/>
      <c r="T62" s="8"/>
    </row>
    <row r="63" spans="1:20" ht="15.75" customHeight="1">
      <c r="A63" s="59">
        <v>62</v>
      </c>
      <c r="B63" s="59">
        <v>15</v>
      </c>
      <c r="C63" s="60" t="s">
        <v>135</v>
      </c>
      <c r="D63" s="59" t="s">
        <v>1123</v>
      </c>
      <c r="E63" s="59" t="s">
        <v>1124</v>
      </c>
      <c r="F63" s="59" t="s">
        <v>1125</v>
      </c>
      <c r="G63" s="59" t="s">
        <v>340</v>
      </c>
      <c r="H63" s="59" t="s">
        <v>641</v>
      </c>
      <c r="I63" s="59">
        <v>1</v>
      </c>
      <c r="J63" s="61">
        <v>2.0611111111111111E-2</v>
      </c>
      <c r="K63" s="61">
        <v>8.3333333333333339E-4</v>
      </c>
      <c r="L63" s="61">
        <v>5.4233796296296301E-2</v>
      </c>
      <c r="M63" s="61">
        <v>5.5208333333333335E-4</v>
      </c>
      <c r="N63" s="61">
        <v>3.280555555555556E-2</v>
      </c>
      <c r="O63" s="61">
        <v>0.10903935185185185</v>
      </c>
      <c r="P63" s="59" t="s">
        <v>2435</v>
      </c>
      <c r="Q63" s="8">
        <f t="shared" si="0"/>
        <v>759</v>
      </c>
      <c r="R63" s="14"/>
      <c r="S63" s="8"/>
      <c r="T63" s="8"/>
    </row>
    <row r="64" spans="1:20" ht="15.75" customHeight="1">
      <c r="A64" s="59">
        <v>63</v>
      </c>
      <c r="B64" s="59">
        <v>108</v>
      </c>
      <c r="C64" s="60" t="s">
        <v>135</v>
      </c>
      <c r="D64" s="59" t="s">
        <v>290</v>
      </c>
      <c r="E64" s="59" t="s">
        <v>291</v>
      </c>
      <c r="F64" s="59"/>
      <c r="G64" s="59" t="s">
        <v>340</v>
      </c>
      <c r="H64" s="59" t="s">
        <v>344</v>
      </c>
      <c r="I64" s="59">
        <v>10</v>
      </c>
      <c r="J64" s="61">
        <v>2.5002314814814814E-2</v>
      </c>
      <c r="K64" s="61">
        <v>1.5810185185185185E-3</v>
      </c>
      <c r="L64" s="61">
        <v>5.0212962962962959E-2</v>
      </c>
      <c r="M64" s="61">
        <v>6.5740740740740733E-4</v>
      </c>
      <c r="N64" s="61">
        <v>3.1989583333333335E-2</v>
      </c>
      <c r="O64" s="61">
        <v>0.10944675925925927</v>
      </c>
      <c r="P64" s="59" t="s">
        <v>2436</v>
      </c>
      <c r="Q64" s="8">
        <f t="shared" si="0"/>
        <v>756</v>
      </c>
      <c r="R64" s="14"/>
      <c r="S64" s="8"/>
      <c r="T64" s="8"/>
    </row>
    <row r="65" spans="1:20" ht="15.75" customHeight="1">
      <c r="A65" s="59">
        <v>64</v>
      </c>
      <c r="B65" s="59">
        <v>83</v>
      </c>
      <c r="C65" s="60" t="s">
        <v>135</v>
      </c>
      <c r="D65" s="59" t="s">
        <v>1650</v>
      </c>
      <c r="E65" s="59" t="s">
        <v>1651</v>
      </c>
      <c r="F65" s="59" t="s">
        <v>2437</v>
      </c>
      <c r="G65" s="59" t="s">
        <v>340</v>
      </c>
      <c r="H65" s="59" t="s">
        <v>344</v>
      </c>
      <c r="I65" s="59">
        <v>11</v>
      </c>
      <c r="J65" s="61">
        <v>2.4722222222222222E-2</v>
      </c>
      <c r="K65" s="61">
        <v>9.6527777777777779E-4</v>
      </c>
      <c r="L65" s="61">
        <v>4.9513888888888892E-2</v>
      </c>
      <c r="M65" s="61">
        <v>5.8449074074074078E-4</v>
      </c>
      <c r="N65" s="61">
        <v>3.3805555555555561E-2</v>
      </c>
      <c r="O65" s="61">
        <v>0.10959374999999999</v>
      </c>
      <c r="P65" s="59" t="s">
        <v>2438</v>
      </c>
      <c r="Q65" s="8">
        <f t="shared" si="0"/>
        <v>755</v>
      </c>
      <c r="R65" s="14"/>
      <c r="S65" s="8"/>
      <c r="T65" s="8"/>
    </row>
    <row r="66" spans="1:20" ht="15.75" customHeight="1">
      <c r="A66" s="59">
        <v>65</v>
      </c>
      <c r="B66" s="59">
        <v>118</v>
      </c>
      <c r="C66" s="60" t="s">
        <v>135</v>
      </c>
      <c r="D66" s="59" t="s">
        <v>1093</v>
      </c>
      <c r="E66" s="59" t="s">
        <v>1094</v>
      </c>
      <c r="F66" s="59" t="s">
        <v>138</v>
      </c>
      <c r="G66" s="59" t="s">
        <v>319</v>
      </c>
      <c r="H66" s="59" t="s">
        <v>149</v>
      </c>
      <c r="I66" s="59"/>
      <c r="J66" s="61">
        <v>1.9298611111111114E-2</v>
      </c>
      <c r="K66" s="61">
        <v>9.745370370370371E-4</v>
      </c>
      <c r="L66" s="61">
        <v>5.24849537037037E-2</v>
      </c>
      <c r="M66" s="61">
        <v>6.099537037037037E-4</v>
      </c>
      <c r="N66" s="61">
        <v>3.6552083333333332E-2</v>
      </c>
      <c r="O66" s="61">
        <v>0.1099224537037037</v>
      </c>
      <c r="P66" s="59" t="s">
        <v>2439</v>
      </c>
      <c r="Q66" s="8">
        <f t="shared" si="0"/>
        <v>753</v>
      </c>
      <c r="R66" s="14"/>
      <c r="S66" s="8"/>
      <c r="T66" s="8"/>
    </row>
    <row r="67" spans="1:20" ht="15.75" customHeight="1">
      <c r="A67" s="59">
        <v>66</v>
      </c>
      <c r="B67" s="59">
        <v>41</v>
      </c>
      <c r="C67" s="60" t="s">
        <v>135</v>
      </c>
      <c r="D67" s="59" t="s">
        <v>1111</v>
      </c>
      <c r="E67" s="59" t="s">
        <v>1112</v>
      </c>
      <c r="F67" s="59" t="s">
        <v>199</v>
      </c>
      <c r="G67" s="59" t="s">
        <v>319</v>
      </c>
      <c r="H67" s="59" t="s">
        <v>159</v>
      </c>
      <c r="I67" s="59"/>
      <c r="J67" s="61">
        <v>2.4680555555555556E-2</v>
      </c>
      <c r="K67" s="61">
        <v>1.0231481481481482E-3</v>
      </c>
      <c r="L67" s="61">
        <v>5.2039351851851851E-2</v>
      </c>
      <c r="M67" s="61">
        <v>4.8842592592592601E-4</v>
      </c>
      <c r="N67" s="61">
        <v>3.2373842592592593E-2</v>
      </c>
      <c r="O67" s="61">
        <v>0.11060648148148147</v>
      </c>
      <c r="P67" s="59" t="s">
        <v>2440</v>
      </c>
      <c r="Q67" s="8">
        <f t="shared" ref="Q67:Q130" si="1">IFERROR(ROUND($O$2/O67*1000,0),0)</f>
        <v>748</v>
      </c>
      <c r="R67" s="14"/>
      <c r="S67" s="8"/>
      <c r="T67" s="8"/>
    </row>
    <row r="68" spans="1:20" ht="15.75" customHeight="1">
      <c r="A68" s="59">
        <v>67</v>
      </c>
      <c r="B68" s="59">
        <v>101</v>
      </c>
      <c r="C68" s="60" t="s">
        <v>135</v>
      </c>
      <c r="D68" s="59" t="s">
        <v>594</v>
      </c>
      <c r="E68" s="59" t="s">
        <v>595</v>
      </c>
      <c r="F68" s="59" t="s">
        <v>199</v>
      </c>
      <c r="G68" s="59" t="s">
        <v>340</v>
      </c>
      <c r="H68" s="59" t="s">
        <v>344</v>
      </c>
      <c r="I68" s="59">
        <v>12</v>
      </c>
      <c r="J68" s="61">
        <v>2.388888888888889E-2</v>
      </c>
      <c r="K68" s="61">
        <v>1.2627314814814814E-3</v>
      </c>
      <c r="L68" s="61">
        <v>5.1398148148148151E-2</v>
      </c>
      <c r="M68" s="61">
        <v>4.1898148148148149E-4</v>
      </c>
      <c r="N68" s="61">
        <v>3.3636574074074069E-2</v>
      </c>
      <c r="O68" s="61">
        <v>0.11060763888888889</v>
      </c>
      <c r="P68" s="59" t="s">
        <v>2441</v>
      </c>
      <c r="Q68" s="8">
        <f t="shared" si="1"/>
        <v>748</v>
      </c>
      <c r="R68" s="14"/>
      <c r="S68" s="8"/>
      <c r="T68" s="8"/>
    </row>
    <row r="69" spans="1:20" ht="15.75" customHeight="1">
      <c r="A69" s="59">
        <v>68</v>
      </c>
      <c r="B69" s="59">
        <v>127</v>
      </c>
      <c r="C69" s="60" t="s">
        <v>135</v>
      </c>
      <c r="D69" s="59" t="s">
        <v>1176</v>
      </c>
      <c r="E69" s="59" t="s">
        <v>1177</v>
      </c>
      <c r="F69" s="59" t="s">
        <v>1708</v>
      </c>
      <c r="G69" s="59" t="s">
        <v>340</v>
      </c>
      <c r="H69" s="59" t="s">
        <v>348</v>
      </c>
      <c r="I69" s="59">
        <v>22</v>
      </c>
      <c r="J69" s="61">
        <v>2.3706018518518515E-2</v>
      </c>
      <c r="K69" s="61">
        <v>1.3912037037037037E-3</v>
      </c>
      <c r="L69" s="61">
        <v>5.167013888888889E-2</v>
      </c>
      <c r="M69" s="61">
        <v>6.3541666666666662E-4</v>
      </c>
      <c r="N69" s="61">
        <v>3.4082175925925925E-2</v>
      </c>
      <c r="O69" s="61">
        <v>0.11148726851851852</v>
      </c>
      <c r="P69" s="59" t="s">
        <v>2442</v>
      </c>
      <c r="Q69" s="8">
        <f t="shared" si="1"/>
        <v>742</v>
      </c>
      <c r="R69" s="14"/>
      <c r="S69" s="8"/>
      <c r="T69" s="8"/>
    </row>
    <row r="70" spans="1:20" ht="15.75" customHeight="1">
      <c r="A70" s="59">
        <v>69</v>
      </c>
      <c r="B70" s="59">
        <v>125</v>
      </c>
      <c r="C70" s="60" t="s">
        <v>135</v>
      </c>
      <c r="D70" s="59" t="s">
        <v>1640</v>
      </c>
      <c r="E70" s="59" t="s">
        <v>1641</v>
      </c>
      <c r="F70" s="59" t="s">
        <v>173</v>
      </c>
      <c r="G70" s="59" t="s">
        <v>319</v>
      </c>
      <c r="H70" s="59" t="s">
        <v>149</v>
      </c>
      <c r="I70" s="59"/>
      <c r="J70" s="61">
        <v>2.4177083333333335E-2</v>
      </c>
      <c r="K70" s="61">
        <v>1.1168981481481481E-3</v>
      </c>
      <c r="L70" s="61">
        <v>5.6069444444444443E-2</v>
      </c>
      <c r="M70" s="61">
        <v>4.8842592592592601E-4</v>
      </c>
      <c r="N70" s="61">
        <v>2.9871527777777778E-2</v>
      </c>
      <c r="O70" s="61">
        <v>0.11172685185185185</v>
      </c>
      <c r="P70" s="59" t="s">
        <v>2443</v>
      </c>
      <c r="Q70" s="8">
        <f t="shared" si="1"/>
        <v>741</v>
      </c>
      <c r="R70" s="14"/>
      <c r="S70" s="8"/>
      <c r="T70" s="8"/>
    </row>
    <row r="71" spans="1:20" ht="15.75" customHeight="1">
      <c r="A71" s="59">
        <v>70</v>
      </c>
      <c r="B71" s="59">
        <v>77</v>
      </c>
      <c r="C71" s="60" t="s">
        <v>135</v>
      </c>
      <c r="D71" s="59" t="s">
        <v>591</v>
      </c>
      <c r="E71" s="59" t="s">
        <v>592</v>
      </c>
      <c r="F71" s="59"/>
      <c r="G71" s="59" t="s">
        <v>340</v>
      </c>
      <c r="H71" s="59" t="s">
        <v>348</v>
      </c>
      <c r="I71" s="59">
        <v>23</v>
      </c>
      <c r="J71" s="61">
        <v>2.7835648148148148E-2</v>
      </c>
      <c r="K71" s="61">
        <v>1.7546296296296296E-3</v>
      </c>
      <c r="L71" s="61">
        <v>4.9658564814814815E-2</v>
      </c>
      <c r="M71" s="61">
        <v>9.5370370370370379E-4</v>
      </c>
      <c r="N71" s="61">
        <v>3.1619212962962967E-2</v>
      </c>
      <c r="O71" s="61">
        <v>0.11182407407407408</v>
      </c>
      <c r="P71" s="59" t="s">
        <v>2444</v>
      </c>
      <c r="Q71" s="8">
        <f t="shared" si="1"/>
        <v>740</v>
      </c>
      <c r="R71" s="14"/>
      <c r="S71" s="8"/>
      <c r="T71" s="8"/>
    </row>
    <row r="72" spans="1:20" ht="15.75" customHeight="1">
      <c r="A72" s="59">
        <v>71</v>
      </c>
      <c r="B72" s="59">
        <v>50</v>
      </c>
      <c r="C72" s="60" t="s">
        <v>135</v>
      </c>
      <c r="D72" s="59" t="s">
        <v>315</v>
      </c>
      <c r="E72" s="59" t="s">
        <v>316</v>
      </c>
      <c r="F72" s="59" t="s">
        <v>199</v>
      </c>
      <c r="G72" s="59" t="s">
        <v>340</v>
      </c>
      <c r="H72" s="59" t="s">
        <v>420</v>
      </c>
      <c r="I72" s="59">
        <v>4</v>
      </c>
      <c r="J72" s="61">
        <v>2.3910879629629629E-2</v>
      </c>
      <c r="K72" s="61">
        <v>1.3946759259259259E-3</v>
      </c>
      <c r="L72" s="61">
        <v>5.0692129629629629E-2</v>
      </c>
      <c r="M72" s="61">
        <v>7.0949074074074068E-4</v>
      </c>
      <c r="N72" s="61">
        <v>3.542013888888889E-2</v>
      </c>
      <c r="O72" s="61">
        <v>0.11212847222222222</v>
      </c>
      <c r="P72" s="59" t="s">
        <v>2445</v>
      </c>
      <c r="Q72" s="8">
        <f t="shared" si="1"/>
        <v>738</v>
      </c>
      <c r="R72" s="14"/>
      <c r="S72" s="8"/>
      <c r="T72" s="8"/>
    </row>
    <row r="73" spans="1:20" ht="15.75" customHeight="1">
      <c r="A73" s="59">
        <v>72</v>
      </c>
      <c r="B73" s="59">
        <v>110</v>
      </c>
      <c r="C73" s="60" t="s">
        <v>135</v>
      </c>
      <c r="D73" s="59" t="s">
        <v>280</v>
      </c>
      <c r="E73" s="59" t="s">
        <v>281</v>
      </c>
      <c r="F73" s="59" t="s">
        <v>199</v>
      </c>
      <c r="G73" s="59" t="s">
        <v>340</v>
      </c>
      <c r="H73" s="59" t="s">
        <v>357</v>
      </c>
      <c r="I73" s="59">
        <v>7</v>
      </c>
      <c r="J73" s="61">
        <v>2.6737268518518518E-2</v>
      </c>
      <c r="K73" s="61">
        <v>1.7627314814814817E-3</v>
      </c>
      <c r="L73" s="61">
        <v>4.5054398148148149E-2</v>
      </c>
      <c r="M73" s="61">
        <v>5.7060185185185187E-4</v>
      </c>
      <c r="N73" s="61">
        <v>3.8445601851851849E-2</v>
      </c>
      <c r="O73" s="61">
        <v>0.11257175925925927</v>
      </c>
      <c r="P73" s="59" t="s">
        <v>2446</v>
      </c>
      <c r="Q73" s="8">
        <f t="shared" si="1"/>
        <v>735</v>
      </c>
      <c r="R73" s="14"/>
      <c r="S73" s="8"/>
      <c r="T73" s="8"/>
    </row>
    <row r="74" spans="1:20" ht="15.75" customHeight="1">
      <c r="A74" s="59">
        <v>73</v>
      </c>
      <c r="B74" s="59">
        <v>135</v>
      </c>
      <c r="C74" s="60" t="s">
        <v>135</v>
      </c>
      <c r="D74" s="59" t="s">
        <v>250</v>
      </c>
      <c r="E74" s="59" t="s">
        <v>251</v>
      </c>
      <c r="F74" s="59" t="s">
        <v>252</v>
      </c>
      <c r="G74" s="59" t="s">
        <v>340</v>
      </c>
      <c r="H74" s="59" t="s">
        <v>348</v>
      </c>
      <c r="I74" s="59">
        <v>24</v>
      </c>
      <c r="J74" s="61">
        <v>3.4785879629629632E-2</v>
      </c>
      <c r="K74" s="61">
        <v>1.4664351851851852E-3</v>
      </c>
      <c r="L74" s="61">
        <v>4.82662037037037E-2</v>
      </c>
      <c r="M74" s="61">
        <v>4.826388888888889E-4</v>
      </c>
      <c r="N74" s="61">
        <v>2.785763888888889E-2</v>
      </c>
      <c r="O74" s="61">
        <v>0.11286111111111112</v>
      </c>
      <c r="P74" s="59" t="s">
        <v>1133</v>
      </c>
      <c r="Q74" s="8">
        <f t="shared" si="1"/>
        <v>733</v>
      </c>
      <c r="R74" s="14"/>
      <c r="S74" s="8"/>
      <c r="T74" s="8"/>
    </row>
    <row r="75" spans="1:20" ht="15.75" customHeight="1">
      <c r="A75" s="59">
        <v>74</v>
      </c>
      <c r="B75" s="59">
        <v>131</v>
      </c>
      <c r="C75" s="60" t="s">
        <v>135</v>
      </c>
      <c r="D75" s="59" t="s">
        <v>2447</v>
      </c>
      <c r="E75" s="59" t="s">
        <v>2448</v>
      </c>
      <c r="F75" s="59" t="s">
        <v>2449</v>
      </c>
      <c r="G75" s="59" t="s">
        <v>340</v>
      </c>
      <c r="H75" s="59" t="s">
        <v>344</v>
      </c>
      <c r="I75" s="59">
        <v>13</v>
      </c>
      <c r="J75" s="61">
        <v>2.4181712962962964E-2</v>
      </c>
      <c r="K75" s="61">
        <v>1.3240740740740741E-3</v>
      </c>
      <c r="L75" s="61">
        <v>5.306944444444444E-2</v>
      </c>
      <c r="M75" s="61">
        <v>7.6273148148148153E-4</v>
      </c>
      <c r="N75" s="61">
        <v>3.3545138888888888E-2</v>
      </c>
      <c r="O75" s="61">
        <v>0.11288425925925927</v>
      </c>
      <c r="P75" s="59" t="s">
        <v>2450</v>
      </c>
      <c r="Q75" s="8">
        <f t="shared" si="1"/>
        <v>733</v>
      </c>
      <c r="R75" s="14"/>
      <c r="S75" s="8"/>
      <c r="T75" s="8"/>
    </row>
    <row r="76" spans="1:20" ht="15.75" customHeight="1">
      <c r="A76" s="59">
        <v>75</v>
      </c>
      <c r="B76" s="59">
        <v>93</v>
      </c>
      <c r="C76" s="60" t="s">
        <v>135</v>
      </c>
      <c r="D76" s="59" t="s">
        <v>1596</v>
      </c>
      <c r="E76" s="59" t="s">
        <v>1597</v>
      </c>
      <c r="F76" s="59"/>
      <c r="G76" s="59" t="s">
        <v>340</v>
      </c>
      <c r="H76" s="59" t="s">
        <v>352</v>
      </c>
      <c r="I76" s="59">
        <v>8</v>
      </c>
      <c r="J76" s="61">
        <v>1.5855324074074074E-2</v>
      </c>
      <c r="K76" s="61">
        <v>1.2777777777777779E-3</v>
      </c>
      <c r="L76" s="61">
        <v>6.0380787037037031E-2</v>
      </c>
      <c r="M76" s="61">
        <v>7.5810185185185182E-4</v>
      </c>
      <c r="N76" s="61">
        <v>3.4609953703703705E-2</v>
      </c>
      <c r="O76" s="61">
        <v>0.11288425925925927</v>
      </c>
      <c r="P76" s="59" t="s">
        <v>2450</v>
      </c>
      <c r="Q76" s="8">
        <f t="shared" si="1"/>
        <v>733</v>
      </c>
      <c r="R76" s="14"/>
      <c r="S76" s="8"/>
      <c r="T76" s="8"/>
    </row>
    <row r="77" spans="1:20" ht="15.75" customHeight="1">
      <c r="A77" s="59">
        <v>76</v>
      </c>
      <c r="B77" s="59">
        <v>17</v>
      </c>
      <c r="C77" s="60" t="s">
        <v>135</v>
      </c>
      <c r="D77" s="59" t="s">
        <v>257</v>
      </c>
      <c r="E77" s="59" t="s">
        <v>258</v>
      </c>
      <c r="F77" s="59" t="s">
        <v>259</v>
      </c>
      <c r="G77" s="59" t="s">
        <v>340</v>
      </c>
      <c r="H77" s="59" t="s">
        <v>448</v>
      </c>
      <c r="I77" s="59">
        <v>2</v>
      </c>
      <c r="J77" s="61">
        <v>2.2498842592592595E-2</v>
      </c>
      <c r="K77" s="61">
        <v>1.3159722222222223E-3</v>
      </c>
      <c r="L77" s="61">
        <v>5.2090277777777784E-2</v>
      </c>
      <c r="M77" s="61">
        <v>8.437500000000001E-4</v>
      </c>
      <c r="N77" s="61">
        <v>3.6483796296296292E-2</v>
      </c>
      <c r="O77" s="61">
        <v>0.11323611111111112</v>
      </c>
      <c r="P77" s="59" t="s">
        <v>2451</v>
      </c>
      <c r="Q77" s="8">
        <f t="shared" si="1"/>
        <v>731</v>
      </c>
      <c r="R77" s="14"/>
      <c r="S77" s="8"/>
      <c r="T77" s="8"/>
    </row>
    <row r="78" spans="1:20" ht="15.75" customHeight="1">
      <c r="A78" s="59">
        <v>77</v>
      </c>
      <c r="B78" s="59">
        <v>20</v>
      </c>
      <c r="C78" s="60" t="s">
        <v>135</v>
      </c>
      <c r="D78" s="59" t="s">
        <v>2452</v>
      </c>
      <c r="E78" s="59" t="s">
        <v>2453</v>
      </c>
      <c r="F78" s="59" t="s">
        <v>148</v>
      </c>
      <c r="G78" s="59" t="s">
        <v>340</v>
      </c>
      <c r="H78" s="59" t="s">
        <v>341</v>
      </c>
      <c r="I78" s="59">
        <v>12</v>
      </c>
      <c r="J78" s="61">
        <v>2.5195601851851854E-2</v>
      </c>
      <c r="K78" s="61">
        <v>2.6805555555555554E-3</v>
      </c>
      <c r="L78" s="61">
        <v>5.0578703703703702E-2</v>
      </c>
      <c r="M78" s="61">
        <v>1.2951388888888889E-3</v>
      </c>
      <c r="N78" s="61">
        <v>3.3630787037037035E-2</v>
      </c>
      <c r="O78" s="61">
        <v>0.11338194444444445</v>
      </c>
      <c r="P78" s="59" t="s">
        <v>2454</v>
      </c>
      <c r="Q78" s="8">
        <f t="shared" si="1"/>
        <v>730</v>
      </c>
      <c r="R78" s="14"/>
      <c r="S78" s="8"/>
      <c r="T78" s="8"/>
    </row>
    <row r="79" spans="1:20" ht="15.75" customHeight="1">
      <c r="A79" s="59">
        <v>78</v>
      </c>
      <c r="B79" s="59">
        <v>28</v>
      </c>
      <c r="C79" s="60" t="s">
        <v>135</v>
      </c>
      <c r="D79" s="59" t="s">
        <v>2455</v>
      </c>
      <c r="E79" s="59" t="s">
        <v>2456</v>
      </c>
      <c r="F79" s="59"/>
      <c r="G79" s="59" t="s">
        <v>340</v>
      </c>
      <c r="H79" s="59" t="s">
        <v>348</v>
      </c>
      <c r="I79" s="59">
        <v>25</v>
      </c>
      <c r="J79" s="61">
        <v>2.0057870370370372E-2</v>
      </c>
      <c r="K79" s="61">
        <v>2.0266203703703705E-3</v>
      </c>
      <c r="L79" s="61">
        <v>5.671759259259259E-2</v>
      </c>
      <c r="M79" s="61">
        <v>3.1944444444444446E-4</v>
      </c>
      <c r="N79" s="61">
        <v>3.4706018518518518E-2</v>
      </c>
      <c r="O79" s="61">
        <v>0.11382986111111111</v>
      </c>
      <c r="P79" s="59" t="s">
        <v>2457</v>
      </c>
      <c r="Q79" s="8">
        <f t="shared" si="1"/>
        <v>727</v>
      </c>
      <c r="R79" s="14"/>
      <c r="S79" s="8"/>
      <c r="T79" s="8"/>
    </row>
    <row r="80" spans="1:20" ht="15.75" customHeight="1">
      <c r="A80" s="59">
        <v>79</v>
      </c>
      <c r="B80" s="59">
        <v>113</v>
      </c>
      <c r="C80" s="60" t="s">
        <v>135</v>
      </c>
      <c r="D80" s="59" t="s">
        <v>578</v>
      </c>
      <c r="E80" s="59" t="s">
        <v>579</v>
      </c>
      <c r="F80" s="59"/>
      <c r="G80" s="59" t="s">
        <v>340</v>
      </c>
      <c r="H80" s="59" t="s">
        <v>341</v>
      </c>
      <c r="I80" s="59">
        <v>13</v>
      </c>
      <c r="J80" s="61">
        <v>2.3659722222222224E-2</v>
      </c>
      <c r="K80" s="61">
        <v>1.7581018518518518E-3</v>
      </c>
      <c r="L80" s="61">
        <v>4.8988425925925928E-2</v>
      </c>
      <c r="M80" s="61">
        <v>6.041666666666667E-4</v>
      </c>
      <c r="N80" s="61">
        <v>3.9053240740740736E-2</v>
      </c>
      <c r="O80" s="61">
        <v>0.11406712962962963</v>
      </c>
      <c r="P80" s="59" t="s">
        <v>2458</v>
      </c>
      <c r="Q80" s="8">
        <f t="shared" si="1"/>
        <v>725</v>
      </c>
      <c r="R80" s="14"/>
      <c r="S80" s="8"/>
      <c r="T80" s="8"/>
    </row>
    <row r="81" spans="1:20" ht="15.75" customHeight="1">
      <c r="A81" s="59">
        <v>80</v>
      </c>
      <c r="B81" s="59">
        <v>4</v>
      </c>
      <c r="C81" s="60" t="s">
        <v>135</v>
      </c>
      <c r="D81" s="59" t="s">
        <v>1118</v>
      </c>
      <c r="E81" s="59" t="s">
        <v>1119</v>
      </c>
      <c r="F81" s="59" t="s">
        <v>148</v>
      </c>
      <c r="G81" s="59" t="s">
        <v>340</v>
      </c>
      <c r="H81" s="59" t="s">
        <v>341</v>
      </c>
      <c r="I81" s="59">
        <v>14</v>
      </c>
      <c r="J81" s="61">
        <v>3.0925925925925926E-2</v>
      </c>
      <c r="K81" s="61">
        <v>1.5532407407407407E-3</v>
      </c>
      <c r="L81" s="61">
        <v>4.9414351851851848E-2</v>
      </c>
      <c r="M81" s="61">
        <v>5.5324074074074075E-4</v>
      </c>
      <c r="N81" s="61">
        <v>3.1778935185185181E-2</v>
      </c>
      <c r="O81" s="61">
        <v>0.11422800925925924</v>
      </c>
      <c r="P81" s="59" t="s">
        <v>2459</v>
      </c>
      <c r="Q81" s="8">
        <f t="shared" si="1"/>
        <v>724</v>
      </c>
      <c r="R81" s="14"/>
      <c r="S81" s="8"/>
      <c r="T81" s="8"/>
    </row>
    <row r="82" spans="1:20" ht="15.75" customHeight="1">
      <c r="A82" s="59">
        <v>81</v>
      </c>
      <c r="B82" s="59">
        <v>89</v>
      </c>
      <c r="C82" s="60" t="s">
        <v>135</v>
      </c>
      <c r="D82" s="59" t="s">
        <v>2460</v>
      </c>
      <c r="E82" s="59" t="s">
        <v>1186</v>
      </c>
      <c r="F82" s="59"/>
      <c r="G82" s="59" t="s">
        <v>319</v>
      </c>
      <c r="H82" s="59" t="s">
        <v>139</v>
      </c>
      <c r="I82" s="59">
        <v>1</v>
      </c>
      <c r="J82" s="61">
        <v>2.6038194444444444E-2</v>
      </c>
      <c r="K82" s="61">
        <v>1.5034722222222222E-3</v>
      </c>
      <c r="L82" s="61">
        <v>5.2142361111111118E-2</v>
      </c>
      <c r="M82" s="61">
        <v>5.8449074074074078E-4</v>
      </c>
      <c r="N82" s="61">
        <v>3.4050925925925929E-2</v>
      </c>
      <c r="O82" s="61">
        <v>0.11432060185185185</v>
      </c>
      <c r="P82" s="59" t="s">
        <v>2461</v>
      </c>
      <c r="Q82" s="8">
        <f t="shared" si="1"/>
        <v>724</v>
      </c>
      <c r="R82" s="14"/>
      <c r="S82" s="8"/>
      <c r="T82" s="8"/>
    </row>
    <row r="83" spans="1:20" ht="15.75" customHeight="1">
      <c r="A83" s="59">
        <v>82</v>
      </c>
      <c r="B83" s="59">
        <v>7</v>
      </c>
      <c r="C83" s="60" t="s">
        <v>135</v>
      </c>
      <c r="D83" s="59" t="s">
        <v>2462</v>
      </c>
      <c r="E83" s="59" t="s">
        <v>2463</v>
      </c>
      <c r="F83" s="59"/>
      <c r="G83" s="59" t="s">
        <v>340</v>
      </c>
      <c r="H83" s="59" t="s">
        <v>341</v>
      </c>
      <c r="I83" s="59">
        <v>15</v>
      </c>
      <c r="J83" s="61">
        <v>2.3090277777777779E-2</v>
      </c>
      <c r="K83" s="61">
        <v>1.4583333333333334E-3</v>
      </c>
      <c r="L83" s="61">
        <v>5.2416666666666667E-2</v>
      </c>
      <c r="M83" s="61">
        <v>6.0532407407407399E-4</v>
      </c>
      <c r="N83" s="61">
        <v>3.6910879629629627E-2</v>
      </c>
      <c r="O83" s="61">
        <v>0.11448379629629629</v>
      </c>
      <c r="P83" s="59" t="s">
        <v>2464</v>
      </c>
      <c r="Q83" s="8">
        <f t="shared" si="1"/>
        <v>723</v>
      </c>
      <c r="R83" s="14"/>
      <c r="S83" s="8"/>
      <c r="T83" s="8"/>
    </row>
    <row r="84" spans="1:20" ht="15.75" customHeight="1">
      <c r="A84" s="59">
        <v>83</v>
      </c>
      <c r="B84" s="59">
        <v>73</v>
      </c>
      <c r="C84" s="60" t="s">
        <v>135</v>
      </c>
      <c r="D84" s="59" t="s">
        <v>1115</v>
      </c>
      <c r="E84" s="59" t="s">
        <v>1116</v>
      </c>
      <c r="F84" s="59" t="s">
        <v>148</v>
      </c>
      <c r="G84" s="59" t="s">
        <v>340</v>
      </c>
      <c r="H84" s="59" t="s">
        <v>420</v>
      </c>
      <c r="I84" s="59">
        <v>5</v>
      </c>
      <c r="J84" s="61">
        <v>2.7010416666666665E-2</v>
      </c>
      <c r="K84" s="61">
        <v>9.6064814814814819E-4</v>
      </c>
      <c r="L84" s="61">
        <v>5.0306712962962963E-2</v>
      </c>
      <c r="M84" s="61">
        <v>7.2685185185185179E-4</v>
      </c>
      <c r="N84" s="61">
        <v>3.5577546296296295E-2</v>
      </c>
      <c r="O84" s="61">
        <v>0.11458564814814816</v>
      </c>
      <c r="P84" s="59" t="s">
        <v>2465</v>
      </c>
      <c r="Q84" s="8">
        <f t="shared" si="1"/>
        <v>722</v>
      </c>
      <c r="R84" s="14"/>
      <c r="S84" s="8"/>
      <c r="T84" s="8"/>
    </row>
    <row r="85" spans="1:20" ht="15.75" customHeight="1">
      <c r="A85" s="59">
        <v>84</v>
      </c>
      <c r="B85" s="59">
        <v>38</v>
      </c>
      <c r="C85" s="60" t="s">
        <v>135</v>
      </c>
      <c r="D85" s="59" t="s">
        <v>2466</v>
      </c>
      <c r="E85" s="59" t="s">
        <v>2467</v>
      </c>
      <c r="F85" s="59" t="s">
        <v>199</v>
      </c>
      <c r="G85" s="59" t="s">
        <v>319</v>
      </c>
      <c r="H85" s="59" t="s">
        <v>139</v>
      </c>
      <c r="I85" s="59">
        <v>2</v>
      </c>
      <c r="J85" s="61">
        <v>2.4299768518518519E-2</v>
      </c>
      <c r="K85" s="61">
        <v>1.3379629629629629E-3</v>
      </c>
      <c r="L85" s="61">
        <v>5.3135416666666664E-2</v>
      </c>
      <c r="M85" s="61">
        <v>6.7592592592592596E-4</v>
      </c>
      <c r="N85" s="61">
        <v>3.5212962962962967E-2</v>
      </c>
      <c r="O85" s="61">
        <v>0.11466319444444444</v>
      </c>
      <c r="P85" s="59" t="s">
        <v>2468</v>
      </c>
      <c r="Q85" s="8">
        <f t="shared" si="1"/>
        <v>722</v>
      </c>
      <c r="R85" s="14"/>
      <c r="S85" s="8"/>
      <c r="T85" s="8"/>
    </row>
    <row r="86" spans="1:20" ht="15.75" customHeight="1">
      <c r="A86" s="59">
        <v>85</v>
      </c>
      <c r="B86" s="59">
        <v>134</v>
      </c>
      <c r="C86" s="60" t="s">
        <v>135</v>
      </c>
      <c r="D86" s="59" t="s">
        <v>1142</v>
      </c>
      <c r="E86" s="59" t="s">
        <v>1143</v>
      </c>
      <c r="F86" s="59"/>
      <c r="G86" s="59" t="s">
        <v>340</v>
      </c>
      <c r="H86" s="59" t="s">
        <v>352</v>
      </c>
      <c r="I86" s="59">
        <v>9</v>
      </c>
      <c r="J86" s="61">
        <v>2.4950231481481479E-2</v>
      </c>
      <c r="K86" s="61">
        <v>1.4363425925925926E-3</v>
      </c>
      <c r="L86" s="61">
        <v>4.9949074074074076E-2</v>
      </c>
      <c r="M86" s="61">
        <v>7.6736111111111113E-4</v>
      </c>
      <c r="N86" s="61">
        <v>3.796412037037037E-2</v>
      </c>
      <c r="O86" s="61">
        <v>0.11507060185185186</v>
      </c>
      <c r="P86" s="59" t="s">
        <v>2469</v>
      </c>
      <c r="Q86" s="8">
        <f t="shared" si="1"/>
        <v>719</v>
      </c>
      <c r="R86" s="14"/>
      <c r="S86" s="8"/>
      <c r="T86" s="8"/>
    </row>
    <row r="87" spans="1:20" ht="15.75" customHeight="1">
      <c r="A87" s="59">
        <v>86</v>
      </c>
      <c r="B87" s="59">
        <v>29</v>
      </c>
      <c r="C87" s="60" t="s">
        <v>135</v>
      </c>
      <c r="D87" s="59" t="s">
        <v>2470</v>
      </c>
      <c r="E87" s="59" t="s">
        <v>2471</v>
      </c>
      <c r="F87" s="59"/>
      <c r="G87" s="59" t="s">
        <v>340</v>
      </c>
      <c r="H87" s="59" t="s">
        <v>348</v>
      </c>
      <c r="I87" s="59">
        <v>26</v>
      </c>
      <c r="J87" s="61">
        <v>2.5000000000000001E-2</v>
      </c>
      <c r="K87" s="61">
        <v>1.2662037037037038E-3</v>
      </c>
      <c r="L87" s="61">
        <v>5.1901620370370376E-2</v>
      </c>
      <c r="M87" s="61">
        <v>1.2013888888888888E-3</v>
      </c>
      <c r="N87" s="61">
        <v>3.6001157407407405E-2</v>
      </c>
      <c r="O87" s="61">
        <v>0.11537268518518519</v>
      </c>
      <c r="P87" s="59" t="s">
        <v>2472</v>
      </c>
      <c r="Q87" s="8">
        <f t="shared" si="1"/>
        <v>717</v>
      </c>
      <c r="R87" s="14"/>
      <c r="S87" s="8"/>
      <c r="T87" s="8"/>
    </row>
    <row r="88" spans="1:20" ht="15.75" customHeight="1">
      <c r="A88" s="59">
        <v>87</v>
      </c>
      <c r="B88" s="59">
        <v>33</v>
      </c>
      <c r="C88" s="60" t="s">
        <v>135</v>
      </c>
      <c r="D88" s="59" t="s">
        <v>1701</v>
      </c>
      <c r="E88" s="59" t="s">
        <v>1702</v>
      </c>
      <c r="F88" s="59" t="s">
        <v>1703</v>
      </c>
      <c r="G88" s="59" t="s">
        <v>340</v>
      </c>
      <c r="H88" s="59" t="s">
        <v>352</v>
      </c>
      <c r="I88" s="59">
        <v>10</v>
      </c>
      <c r="J88" s="61">
        <v>2.4861111111111112E-2</v>
      </c>
      <c r="K88" s="61">
        <v>1.5995370370370369E-3</v>
      </c>
      <c r="L88" s="61">
        <v>5.1832175925925927E-2</v>
      </c>
      <c r="M88" s="61">
        <v>7.303240740740741E-4</v>
      </c>
      <c r="N88" s="61">
        <v>3.6633101851851854E-2</v>
      </c>
      <c r="O88" s="61">
        <v>0.1156585648148148</v>
      </c>
      <c r="P88" s="59" t="s">
        <v>2473</v>
      </c>
      <c r="Q88" s="8">
        <f t="shared" si="1"/>
        <v>715</v>
      </c>
      <c r="R88" s="14"/>
      <c r="S88" s="8"/>
      <c r="T88" s="8"/>
    </row>
    <row r="89" spans="1:20" ht="15.75" customHeight="1">
      <c r="A89" s="59">
        <v>88</v>
      </c>
      <c r="B89" s="59">
        <v>16</v>
      </c>
      <c r="C89" s="60" t="s">
        <v>135</v>
      </c>
      <c r="D89" s="59" t="s">
        <v>1130</v>
      </c>
      <c r="E89" s="59" t="s">
        <v>1131</v>
      </c>
      <c r="F89" s="59"/>
      <c r="G89" s="59" t="s">
        <v>340</v>
      </c>
      <c r="H89" s="59" t="s">
        <v>341</v>
      </c>
      <c r="I89" s="59">
        <v>16</v>
      </c>
      <c r="J89" s="61">
        <v>2.4771990740740744E-2</v>
      </c>
      <c r="K89" s="61">
        <v>1.6539351851851852E-3</v>
      </c>
      <c r="L89" s="61">
        <v>5.2585648148148145E-2</v>
      </c>
      <c r="M89" s="61">
        <v>7.0833333333333338E-4</v>
      </c>
      <c r="N89" s="61">
        <v>3.594791666666667E-2</v>
      </c>
      <c r="O89" s="61">
        <v>0.11567013888888888</v>
      </c>
      <c r="P89" s="59" t="s">
        <v>2474</v>
      </c>
      <c r="Q89" s="8">
        <f t="shared" si="1"/>
        <v>715</v>
      </c>
      <c r="R89" s="14"/>
      <c r="S89" s="8"/>
      <c r="T89" s="8"/>
    </row>
    <row r="90" spans="1:20" ht="15.75" customHeight="1">
      <c r="A90" s="59">
        <v>89</v>
      </c>
      <c r="B90" s="59">
        <v>106</v>
      </c>
      <c r="C90" s="60" t="s">
        <v>135</v>
      </c>
      <c r="D90" s="59" t="s">
        <v>1127</v>
      </c>
      <c r="E90" s="59" t="s">
        <v>1128</v>
      </c>
      <c r="F90" s="59" t="s">
        <v>153</v>
      </c>
      <c r="G90" s="59" t="s">
        <v>319</v>
      </c>
      <c r="H90" s="59" t="s">
        <v>154</v>
      </c>
      <c r="I90" s="59">
        <v>1</v>
      </c>
      <c r="J90" s="61">
        <v>2.5771990740740738E-2</v>
      </c>
      <c r="K90" s="61">
        <v>1.7476851851851852E-3</v>
      </c>
      <c r="L90" s="61">
        <v>5.4440972222222217E-2</v>
      </c>
      <c r="M90" s="61">
        <v>7.384259259259259E-4</v>
      </c>
      <c r="N90" s="61">
        <v>3.3730324074074079E-2</v>
      </c>
      <c r="O90" s="61">
        <v>0.11643171296296297</v>
      </c>
      <c r="P90" s="59" t="s">
        <v>2475</v>
      </c>
      <c r="Q90" s="8">
        <f t="shared" si="1"/>
        <v>711</v>
      </c>
      <c r="R90" s="14"/>
      <c r="S90" s="8"/>
      <c r="T90" s="8"/>
    </row>
    <row r="91" spans="1:20" ht="15.75" customHeight="1">
      <c r="A91" s="59">
        <v>90</v>
      </c>
      <c r="B91" s="59">
        <v>86</v>
      </c>
      <c r="C91" s="60" t="s">
        <v>135</v>
      </c>
      <c r="D91" s="59" t="s">
        <v>1148</v>
      </c>
      <c r="E91" s="59" t="s">
        <v>1149</v>
      </c>
      <c r="F91" s="59" t="s">
        <v>153</v>
      </c>
      <c r="G91" s="59" t="s">
        <v>340</v>
      </c>
      <c r="H91" s="59" t="s">
        <v>357</v>
      </c>
      <c r="I91" s="59">
        <v>8</v>
      </c>
      <c r="J91" s="61">
        <v>2.4127314814814813E-2</v>
      </c>
      <c r="K91" s="61">
        <v>1.2465277777777778E-3</v>
      </c>
      <c r="L91" s="61">
        <v>5.0564814814814819E-2</v>
      </c>
      <c r="M91" s="61">
        <v>4.7916666666666664E-4</v>
      </c>
      <c r="N91" s="61">
        <v>4.0755787037037042E-2</v>
      </c>
      <c r="O91" s="61">
        <v>0.11717592592592592</v>
      </c>
      <c r="P91" s="59" t="s">
        <v>2476</v>
      </c>
      <c r="Q91" s="8">
        <f t="shared" si="1"/>
        <v>706</v>
      </c>
      <c r="R91" s="14"/>
      <c r="S91" s="8"/>
      <c r="T91" s="8"/>
    </row>
    <row r="92" spans="1:20" ht="15.75" customHeight="1">
      <c r="A92" s="59">
        <v>91</v>
      </c>
      <c r="B92" s="59">
        <v>92</v>
      </c>
      <c r="C92" s="60" t="s">
        <v>135</v>
      </c>
      <c r="D92" s="59" t="s">
        <v>1749</v>
      </c>
      <c r="E92" s="59" t="s">
        <v>1750</v>
      </c>
      <c r="F92" s="59" t="s">
        <v>148</v>
      </c>
      <c r="G92" s="59" t="s">
        <v>340</v>
      </c>
      <c r="H92" s="59" t="s">
        <v>341</v>
      </c>
      <c r="I92" s="59">
        <v>17</v>
      </c>
      <c r="J92" s="61">
        <v>2.4945601851851854E-2</v>
      </c>
      <c r="K92" s="61">
        <v>1.5856481481481481E-3</v>
      </c>
      <c r="L92" s="61">
        <v>5.2159722222222225E-2</v>
      </c>
      <c r="M92" s="61">
        <v>9.2592592592592596E-4</v>
      </c>
      <c r="N92" s="61">
        <v>3.7667824074074076E-2</v>
      </c>
      <c r="O92" s="61">
        <v>0.11728703703703704</v>
      </c>
      <c r="P92" s="59" t="s">
        <v>2477</v>
      </c>
      <c r="Q92" s="8">
        <f t="shared" si="1"/>
        <v>705</v>
      </c>
      <c r="R92" s="14"/>
      <c r="S92" s="8"/>
      <c r="T92" s="8"/>
    </row>
    <row r="93" spans="1:20" ht="15.75" customHeight="1">
      <c r="A93" s="59">
        <v>92</v>
      </c>
      <c r="B93" s="59">
        <v>95</v>
      </c>
      <c r="C93" s="60" t="s">
        <v>135</v>
      </c>
      <c r="D93" s="59" t="s">
        <v>1896</v>
      </c>
      <c r="E93" s="59" t="s">
        <v>1897</v>
      </c>
      <c r="F93" s="59" t="s">
        <v>189</v>
      </c>
      <c r="G93" s="59" t="s">
        <v>340</v>
      </c>
      <c r="H93" s="59" t="s">
        <v>341</v>
      </c>
      <c r="I93" s="59">
        <v>18</v>
      </c>
      <c r="J93" s="61">
        <v>2.7825231481481482E-2</v>
      </c>
      <c r="K93" s="61">
        <v>2.2905092592592595E-3</v>
      </c>
      <c r="L93" s="61">
        <v>5.055671296296297E-2</v>
      </c>
      <c r="M93" s="61">
        <v>7.291666666666667E-4</v>
      </c>
      <c r="N93" s="61">
        <v>3.6046296296296299E-2</v>
      </c>
      <c r="O93" s="61">
        <v>0.1174502314814815</v>
      </c>
      <c r="P93" s="59" t="s">
        <v>2478</v>
      </c>
      <c r="Q93" s="8">
        <f t="shared" si="1"/>
        <v>704</v>
      </c>
      <c r="R93" s="14"/>
      <c r="S93" s="8"/>
      <c r="T93" s="8"/>
    </row>
    <row r="94" spans="1:20" ht="15.75" customHeight="1">
      <c r="A94" s="59">
        <v>93</v>
      </c>
      <c r="B94" s="59">
        <v>67</v>
      </c>
      <c r="C94" s="60" t="s">
        <v>135</v>
      </c>
      <c r="D94" s="59" t="s">
        <v>312</v>
      </c>
      <c r="E94" s="59" t="s">
        <v>313</v>
      </c>
      <c r="F94" s="59" t="s">
        <v>138</v>
      </c>
      <c r="G94" s="59" t="s">
        <v>340</v>
      </c>
      <c r="H94" s="59" t="s">
        <v>344</v>
      </c>
      <c r="I94" s="59">
        <v>14</v>
      </c>
      <c r="J94" s="61">
        <v>2.7141203703703702E-2</v>
      </c>
      <c r="K94" s="61">
        <v>1.2905092592592593E-3</v>
      </c>
      <c r="L94" s="61">
        <v>5.1887731481481486E-2</v>
      </c>
      <c r="M94" s="61">
        <v>6.8865740740740736E-4</v>
      </c>
      <c r="N94" s="61">
        <v>3.6878472222222222E-2</v>
      </c>
      <c r="O94" s="61">
        <v>0.11788888888888889</v>
      </c>
      <c r="P94" s="59" t="s">
        <v>2479</v>
      </c>
      <c r="Q94" s="8">
        <f t="shared" si="1"/>
        <v>702</v>
      </c>
      <c r="R94" s="14"/>
      <c r="S94" s="8"/>
      <c r="T94" s="8"/>
    </row>
    <row r="95" spans="1:20" ht="15.75" customHeight="1">
      <c r="A95" s="59">
        <v>94</v>
      </c>
      <c r="B95" s="59">
        <v>126</v>
      </c>
      <c r="C95" s="60" t="s">
        <v>135</v>
      </c>
      <c r="D95" s="59" t="s">
        <v>1838</v>
      </c>
      <c r="E95" s="59" t="s">
        <v>1839</v>
      </c>
      <c r="F95" s="59" t="s">
        <v>1808</v>
      </c>
      <c r="G95" s="59" t="s">
        <v>319</v>
      </c>
      <c r="H95" s="59" t="s">
        <v>139</v>
      </c>
      <c r="I95" s="59">
        <v>3</v>
      </c>
      <c r="J95" s="61">
        <v>2.4850694444444443E-2</v>
      </c>
      <c r="K95" s="61">
        <v>1.3912037037037037E-3</v>
      </c>
      <c r="L95" s="61">
        <v>5.5302083333333335E-2</v>
      </c>
      <c r="M95" s="61">
        <v>9.2245370370370376E-4</v>
      </c>
      <c r="N95" s="61">
        <v>3.5471064814814809E-2</v>
      </c>
      <c r="O95" s="61">
        <v>0.11793981481481482</v>
      </c>
      <c r="P95" s="59" t="s">
        <v>2480</v>
      </c>
      <c r="Q95" s="8">
        <f t="shared" si="1"/>
        <v>701</v>
      </c>
      <c r="R95" s="14"/>
      <c r="S95" s="8"/>
      <c r="T95" s="8"/>
    </row>
    <row r="96" spans="1:20" ht="15.75" customHeight="1">
      <c r="A96" s="59">
        <v>95</v>
      </c>
      <c r="B96" s="59">
        <v>75</v>
      </c>
      <c r="C96" s="60" t="s">
        <v>135</v>
      </c>
      <c r="D96" s="59" t="s">
        <v>914</v>
      </c>
      <c r="E96" s="59" t="s">
        <v>915</v>
      </c>
      <c r="F96" s="59" t="s">
        <v>189</v>
      </c>
      <c r="G96" s="59" t="s">
        <v>340</v>
      </c>
      <c r="H96" s="59" t="s">
        <v>348</v>
      </c>
      <c r="I96" s="59">
        <v>27</v>
      </c>
      <c r="J96" s="61">
        <v>2.995023148148148E-2</v>
      </c>
      <c r="K96" s="61">
        <v>1.4293981481481482E-3</v>
      </c>
      <c r="L96" s="61">
        <v>4.9603009259259256E-2</v>
      </c>
      <c r="M96" s="61">
        <v>1.3888888888888889E-3</v>
      </c>
      <c r="N96" s="61">
        <v>3.6069444444444446E-2</v>
      </c>
      <c r="O96" s="61">
        <v>0.11844328703703703</v>
      </c>
      <c r="P96" s="59" t="s">
        <v>2481</v>
      </c>
      <c r="Q96" s="8">
        <f t="shared" si="1"/>
        <v>699</v>
      </c>
      <c r="R96" s="14"/>
      <c r="S96" s="8"/>
      <c r="T96" s="8"/>
    </row>
    <row r="97" spans="1:20" ht="15.75" customHeight="1">
      <c r="A97" s="59">
        <v>96</v>
      </c>
      <c r="B97" s="59">
        <v>10</v>
      </c>
      <c r="C97" s="60" t="s">
        <v>135</v>
      </c>
      <c r="D97" s="59" t="s">
        <v>2482</v>
      </c>
      <c r="E97" s="59" t="s">
        <v>2483</v>
      </c>
      <c r="F97" s="59"/>
      <c r="G97" s="59" t="s">
        <v>319</v>
      </c>
      <c r="H97" s="59" t="s">
        <v>139</v>
      </c>
      <c r="I97" s="59">
        <v>4</v>
      </c>
      <c r="J97" s="61">
        <v>2.3400462962962963E-2</v>
      </c>
      <c r="K97" s="61">
        <v>2.2604166666666667E-3</v>
      </c>
      <c r="L97" s="61">
        <v>5.370833333333333E-2</v>
      </c>
      <c r="M97" s="61">
        <v>4.5486111111111107E-4</v>
      </c>
      <c r="N97" s="61">
        <v>3.8671296296296294E-2</v>
      </c>
      <c r="O97" s="61">
        <v>0.11849768518518519</v>
      </c>
      <c r="P97" s="59" t="s">
        <v>2484</v>
      </c>
      <c r="Q97" s="8">
        <f t="shared" si="1"/>
        <v>698</v>
      </c>
      <c r="R97" s="14"/>
      <c r="S97" s="8"/>
      <c r="T97" s="8"/>
    </row>
    <row r="98" spans="1:20" ht="15.75" customHeight="1">
      <c r="A98" s="59">
        <v>97</v>
      </c>
      <c r="B98" s="59">
        <v>40</v>
      </c>
      <c r="C98" s="60" t="s">
        <v>135</v>
      </c>
      <c r="D98" s="59" t="s">
        <v>2485</v>
      </c>
      <c r="E98" s="59" t="s">
        <v>2486</v>
      </c>
      <c r="F98" s="59" t="s">
        <v>2487</v>
      </c>
      <c r="G98" s="59" t="s">
        <v>340</v>
      </c>
      <c r="H98" s="59" t="s">
        <v>357</v>
      </c>
      <c r="I98" s="59">
        <v>9</v>
      </c>
      <c r="J98" s="61">
        <v>2.3431712962962963E-2</v>
      </c>
      <c r="K98" s="61">
        <v>1.3877314814814815E-3</v>
      </c>
      <c r="L98" s="61">
        <v>5.3049768518518517E-2</v>
      </c>
      <c r="M98" s="61">
        <v>7.384259259259259E-4</v>
      </c>
      <c r="N98" s="61">
        <v>3.9990740740740736E-2</v>
      </c>
      <c r="O98" s="61">
        <v>0.11860185185185186</v>
      </c>
      <c r="P98" s="59" t="s">
        <v>2488</v>
      </c>
      <c r="Q98" s="8">
        <f t="shared" si="1"/>
        <v>698</v>
      </c>
      <c r="R98" s="14"/>
      <c r="S98" s="8"/>
      <c r="T98" s="8"/>
    </row>
    <row r="99" spans="1:20" ht="15.75" customHeight="1">
      <c r="A99" s="59">
        <v>98</v>
      </c>
      <c r="B99" s="59">
        <v>128</v>
      </c>
      <c r="C99" s="60" t="s">
        <v>135</v>
      </c>
      <c r="D99" s="59" t="s">
        <v>2133</v>
      </c>
      <c r="E99" s="59" t="s">
        <v>2134</v>
      </c>
      <c r="F99" s="59" t="s">
        <v>148</v>
      </c>
      <c r="G99" s="59" t="s">
        <v>319</v>
      </c>
      <c r="H99" s="59" t="s">
        <v>149</v>
      </c>
      <c r="I99" s="59">
        <v>1</v>
      </c>
      <c r="J99" s="61">
        <v>2.7673611111111111E-2</v>
      </c>
      <c r="K99" s="61">
        <v>8.9351851851851853E-4</v>
      </c>
      <c r="L99" s="61">
        <v>5.2541666666666674E-2</v>
      </c>
      <c r="M99" s="61">
        <v>8.0092592592592596E-4</v>
      </c>
      <c r="N99" s="61">
        <v>3.6943287037037038E-2</v>
      </c>
      <c r="O99" s="61">
        <v>0.11885532407407408</v>
      </c>
      <c r="P99" s="59" t="s">
        <v>2489</v>
      </c>
      <c r="Q99" s="8">
        <f t="shared" si="1"/>
        <v>696</v>
      </c>
      <c r="R99" s="14"/>
      <c r="S99" s="8"/>
      <c r="T99" s="8"/>
    </row>
    <row r="100" spans="1:20" ht="15.75" customHeight="1">
      <c r="A100" s="59">
        <v>99</v>
      </c>
      <c r="B100" s="59">
        <v>80</v>
      </c>
      <c r="C100" s="60" t="s">
        <v>135</v>
      </c>
      <c r="D100" s="59" t="s">
        <v>2170</v>
      </c>
      <c r="E100" s="59" t="s">
        <v>2171</v>
      </c>
      <c r="F100" s="59"/>
      <c r="G100" s="59" t="s">
        <v>319</v>
      </c>
      <c r="H100" s="59" t="s">
        <v>139</v>
      </c>
      <c r="I100" s="59">
        <v>5</v>
      </c>
      <c r="J100" s="61">
        <v>2.7780092592592589E-2</v>
      </c>
      <c r="K100" s="61">
        <v>1.2569444444444444E-3</v>
      </c>
      <c r="L100" s="61">
        <v>5.6740740740740737E-2</v>
      </c>
      <c r="M100" s="61">
        <v>1.0763888888888889E-3</v>
      </c>
      <c r="N100" s="61">
        <v>3.2028935185185188E-2</v>
      </c>
      <c r="O100" s="61">
        <v>0.11888541666666667</v>
      </c>
      <c r="P100" s="59" t="s">
        <v>2490</v>
      </c>
      <c r="Q100" s="8">
        <f t="shared" si="1"/>
        <v>696</v>
      </c>
      <c r="R100" s="14"/>
      <c r="S100" s="8"/>
      <c r="T100" s="8"/>
    </row>
    <row r="101" spans="1:20" ht="15.75" customHeight="1">
      <c r="A101" s="59">
        <v>100</v>
      </c>
      <c r="B101" s="59">
        <v>19</v>
      </c>
      <c r="C101" s="60" t="s">
        <v>135</v>
      </c>
      <c r="D101" s="59" t="s">
        <v>1159</v>
      </c>
      <c r="E101" s="59" t="s">
        <v>1160</v>
      </c>
      <c r="F101" s="59" t="s">
        <v>199</v>
      </c>
      <c r="G101" s="59" t="s">
        <v>319</v>
      </c>
      <c r="H101" s="59" t="s">
        <v>154</v>
      </c>
      <c r="I101" s="59">
        <v>2</v>
      </c>
      <c r="J101" s="61">
        <v>2.2656249999999999E-2</v>
      </c>
      <c r="K101" s="61">
        <v>1.0185185185185184E-3</v>
      </c>
      <c r="L101" s="61">
        <v>5.6013888888888891E-2</v>
      </c>
      <c r="M101" s="61">
        <v>4.2824074074074075E-4</v>
      </c>
      <c r="N101" s="61">
        <v>3.8995370370370368E-2</v>
      </c>
      <c r="O101" s="61">
        <v>0.11911458333333333</v>
      </c>
      <c r="P101" s="59" t="s">
        <v>2491</v>
      </c>
      <c r="Q101" s="8">
        <f t="shared" si="1"/>
        <v>695</v>
      </c>
      <c r="R101" s="14"/>
      <c r="S101" s="8"/>
      <c r="T101" s="8"/>
    </row>
    <row r="102" spans="1:20" ht="15.75" customHeight="1">
      <c r="A102" s="59">
        <v>101</v>
      </c>
      <c r="B102" s="59">
        <v>48</v>
      </c>
      <c r="C102" s="60" t="s">
        <v>135</v>
      </c>
      <c r="D102" s="59" t="s">
        <v>646</v>
      </c>
      <c r="E102" s="59" t="s">
        <v>647</v>
      </c>
      <c r="F102" s="59" t="s">
        <v>648</v>
      </c>
      <c r="G102" s="59" t="s">
        <v>340</v>
      </c>
      <c r="H102" s="59" t="s">
        <v>344</v>
      </c>
      <c r="I102" s="59">
        <v>15</v>
      </c>
      <c r="J102" s="61">
        <v>2.4439814814814814E-2</v>
      </c>
      <c r="K102" s="61">
        <v>1.3553240740740741E-3</v>
      </c>
      <c r="L102" s="61">
        <v>5.5631944444444449E-2</v>
      </c>
      <c r="M102" s="61">
        <v>4.7685185185185189E-4</v>
      </c>
      <c r="N102" s="61">
        <v>3.7793981481481484E-2</v>
      </c>
      <c r="O102" s="61">
        <v>0.1197013888888889</v>
      </c>
      <c r="P102" s="59" t="s">
        <v>2492</v>
      </c>
      <c r="Q102" s="8">
        <f t="shared" si="1"/>
        <v>691</v>
      </c>
      <c r="R102" s="14"/>
      <c r="S102" s="8"/>
      <c r="T102" s="8"/>
    </row>
    <row r="103" spans="1:20" ht="15.75" customHeight="1">
      <c r="A103" s="59">
        <v>102</v>
      </c>
      <c r="B103" s="59">
        <v>65</v>
      </c>
      <c r="C103" s="60" t="s">
        <v>135</v>
      </c>
      <c r="D103" s="59" t="s">
        <v>1277</v>
      </c>
      <c r="E103" s="59" t="s">
        <v>1278</v>
      </c>
      <c r="F103" s="59"/>
      <c r="G103" s="59" t="s">
        <v>340</v>
      </c>
      <c r="H103" s="59" t="s">
        <v>344</v>
      </c>
      <c r="I103" s="59">
        <v>16</v>
      </c>
      <c r="J103" s="61">
        <v>3.0087962962962962E-2</v>
      </c>
      <c r="K103" s="61">
        <v>1.4224537037037038E-3</v>
      </c>
      <c r="L103" s="61">
        <v>4.9781250000000006E-2</v>
      </c>
      <c r="M103" s="61">
        <v>7.1064814814814819E-4</v>
      </c>
      <c r="N103" s="61">
        <v>3.7751157407407407E-2</v>
      </c>
      <c r="O103" s="61">
        <v>0.11975578703703703</v>
      </c>
      <c r="P103" s="59" t="s">
        <v>2493</v>
      </c>
      <c r="Q103" s="8">
        <f t="shared" si="1"/>
        <v>691</v>
      </c>
      <c r="R103" s="14"/>
      <c r="S103" s="8"/>
      <c r="T103" s="8"/>
    </row>
    <row r="104" spans="1:20" ht="15.75" customHeight="1">
      <c r="A104" s="59">
        <v>103</v>
      </c>
      <c r="B104" s="59">
        <v>132</v>
      </c>
      <c r="C104" s="60" t="s">
        <v>135</v>
      </c>
      <c r="D104" s="59" t="s">
        <v>1145</v>
      </c>
      <c r="E104" s="59" t="s">
        <v>1146</v>
      </c>
      <c r="F104" s="59" t="s">
        <v>538</v>
      </c>
      <c r="G104" s="59" t="s">
        <v>340</v>
      </c>
      <c r="H104" s="59" t="s">
        <v>624</v>
      </c>
      <c r="I104" s="59">
        <v>1</v>
      </c>
      <c r="J104" s="61">
        <v>2.9965277777777778E-2</v>
      </c>
      <c r="K104" s="61">
        <v>1.5555555555555557E-3</v>
      </c>
      <c r="L104" s="61">
        <v>5.0222222222222217E-2</v>
      </c>
      <c r="M104" s="61">
        <v>1.0208333333333334E-3</v>
      </c>
      <c r="N104" s="61">
        <v>3.7197916666666671E-2</v>
      </c>
      <c r="O104" s="61">
        <v>0.11996412037037037</v>
      </c>
      <c r="P104" s="59" t="s">
        <v>2494</v>
      </c>
      <c r="Q104" s="8">
        <f t="shared" si="1"/>
        <v>690</v>
      </c>
      <c r="R104" s="14"/>
      <c r="S104" s="8"/>
      <c r="T104" s="8"/>
    </row>
    <row r="105" spans="1:20" ht="15.75" customHeight="1">
      <c r="A105" s="59">
        <v>104</v>
      </c>
      <c r="B105" s="59">
        <v>49</v>
      </c>
      <c r="C105" s="60" t="s">
        <v>135</v>
      </c>
      <c r="D105" s="59" t="s">
        <v>612</v>
      </c>
      <c r="E105" s="59" t="s">
        <v>613</v>
      </c>
      <c r="F105" s="59" t="s">
        <v>138</v>
      </c>
      <c r="G105" s="59" t="s">
        <v>319</v>
      </c>
      <c r="H105" s="59" t="s">
        <v>149</v>
      </c>
      <c r="I105" s="59">
        <v>2</v>
      </c>
      <c r="J105" s="61">
        <v>2.9949074074074072E-2</v>
      </c>
      <c r="K105" s="61">
        <v>1.4872685185185186E-3</v>
      </c>
      <c r="L105" s="61">
        <v>4.7084490740740739E-2</v>
      </c>
      <c r="M105" s="61">
        <v>1.0208333333333334E-3</v>
      </c>
      <c r="N105" s="61">
        <v>4.066087962962963E-2</v>
      </c>
      <c r="O105" s="61">
        <v>0.1202060185185185</v>
      </c>
      <c r="P105" s="59" t="s">
        <v>2495</v>
      </c>
      <c r="Q105" s="8">
        <f t="shared" si="1"/>
        <v>688</v>
      </c>
      <c r="R105" s="14"/>
      <c r="S105" s="8"/>
      <c r="T105" s="8"/>
    </row>
    <row r="106" spans="1:20" ht="15.75" customHeight="1">
      <c r="A106" s="59">
        <v>105</v>
      </c>
      <c r="B106" s="59">
        <v>117</v>
      </c>
      <c r="C106" s="60" t="s">
        <v>135</v>
      </c>
      <c r="D106" s="59" t="s">
        <v>659</v>
      </c>
      <c r="E106" s="59" t="s">
        <v>660</v>
      </c>
      <c r="F106" s="59" t="s">
        <v>199</v>
      </c>
      <c r="G106" s="59" t="s">
        <v>340</v>
      </c>
      <c r="H106" s="59" t="s">
        <v>344</v>
      </c>
      <c r="I106" s="59">
        <v>17</v>
      </c>
      <c r="J106" s="61">
        <v>2.4446759259259258E-2</v>
      </c>
      <c r="K106" s="61">
        <v>1.5763888888888887E-3</v>
      </c>
      <c r="L106" s="61">
        <v>5.5473379629629622E-2</v>
      </c>
      <c r="M106" s="61">
        <v>1.2534722222222222E-3</v>
      </c>
      <c r="N106" s="61">
        <v>3.7780092592592587E-2</v>
      </c>
      <c r="O106" s="61">
        <v>0.12053240740740741</v>
      </c>
      <c r="P106" s="59" t="s">
        <v>2496</v>
      </c>
      <c r="Q106" s="8">
        <f t="shared" si="1"/>
        <v>686</v>
      </c>
      <c r="R106" s="14"/>
      <c r="S106" s="8"/>
      <c r="T106" s="8"/>
    </row>
    <row r="107" spans="1:20" ht="15.75" customHeight="1">
      <c r="A107" s="59">
        <v>106</v>
      </c>
      <c r="B107" s="59">
        <v>62</v>
      </c>
      <c r="C107" s="60" t="s">
        <v>135</v>
      </c>
      <c r="D107" s="59" t="s">
        <v>2497</v>
      </c>
      <c r="E107" s="59" t="s">
        <v>2498</v>
      </c>
      <c r="F107" s="59"/>
      <c r="G107" s="59" t="s">
        <v>340</v>
      </c>
      <c r="H107" s="59" t="s">
        <v>348</v>
      </c>
      <c r="I107" s="59">
        <v>28</v>
      </c>
      <c r="J107" s="61">
        <v>3.4719907407407408E-2</v>
      </c>
      <c r="K107" s="61">
        <v>1.5428240740740743E-3</v>
      </c>
      <c r="L107" s="61">
        <v>4.8581018518518516E-2</v>
      </c>
      <c r="M107" s="61">
        <v>8.1018518518518516E-4</v>
      </c>
      <c r="N107" s="61">
        <v>3.5527777777777776E-2</v>
      </c>
      <c r="O107" s="61">
        <v>0.12118402777777777</v>
      </c>
      <c r="P107" s="59" t="s">
        <v>2499</v>
      </c>
      <c r="Q107" s="8">
        <f t="shared" si="1"/>
        <v>683</v>
      </c>
      <c r="R107" s="14"/>
      <c r="S107" s="8"/>
      <c r="T107" s="8"/>
    </row>
    <row r="108" spans="1:20" ht="15.75" customHeight="1">
      <c r="A108" s="59">
        <v>107</v>
      </c>
      <c r="B108" s="59">
        <v>136</v>
      </c>
      <c r="C108" s="60" t="s">
        <v>135</v>
      </c>
      <c r="D108" s="59" t="s">
        <v>2500</v>
      </c>
      <c r="E108" s="59" t="s">
        <v>2501</v>
      </c>
      <c r="F108" s="59" t="s">
        <v>2392</v>
      </c>
      <c r="G108" s="59" t="s">
        <v>340</v>
      </c>
      <c r="H108" s="59" t="s">
        <v>341</v>
      </c>
      <c r="I108" s="59">
        <v>19</v>
      </c>
      <c r="J108" s="61">
        <v>2.5803240740740741E-2</v>
      </c>
      <c r="K108" s="61">
        <v>1.7719907407407406E-3</v>
      </c>
      <c r="L108" s="61">
        <v>5.5487268518518526E-2</v>
      </c>
      <c r="M108" s="61">
        <v>1.0104166666666666E-3</v>
      </c>
      <c r="N108" s="61">
        <v>3.7660879629629627E-2</v>
      </c>
      <c r="O108" s="61">
        <v>0.1217349537037037</v>
      </c>
      <c r="P108" s="59" t="s">
        <v>2502</v>
      </c>
      <c r="Q108" s="8">
        <f t="shared" si="1"/>
        <v>680</v>
      </c>
      <c r="R108" s="14"/>
      <c r="S108" s="8"/>
      <c r="T108" s="8"/>
    </row>
    <row r="109" spans="1:20" ht="15.75" customHeight="1">
      <c r="A109" s="59">
        <v>108</v>
      </c>
      <c r="B109" s="59">
        <v>57</v>
      </c>
      <c r="C109" s="60" t="s">
        <v>1848</v>
      </c>
      <c r="D109" s="59" t="s">
        <v>1849</v>
      </c>
      <c r="E109" s="59" t="s">
        <v>1850</v>
      </c>
      <c r="F109" s="59" t="s">
        <v>1851</v>
      </c>
      <c r="G109" s="59" t="s">
        <v>340</v>
      </c>
      <c r="H109" s="59" t="s">
        <v>420</v>
      </c>
      <c r="I109" s="59">
        <v>6</v>
      </c>
      <c r="J109" s="61">
        <v>2.7766203703703703E-2</v>
      </c>
      <c r="K109" s="61">
        <v>2.181712962962963E-3</v>
      </c>
      <c r="L109" s="61">
        <v>5.5385416666666666E-2</v>
      </c>
      <c r="M109" s="61">
        <v>9.791666666666666E-4</v>
      </c>
      <c r="N109" s="61">
        <v>3.592824074074074E-2</v>
      </c>
      <c r="O109" s="61">
        <v>0.12224305555555555</v>
      </c>
      <c r="P109" s="59" t="s">
        <v>2503</v>
      </c>
      <c r="Q109" s="8">
        <f t="shared" si="1"/>
        <v>677</v>
      </c>
      <c r="R109" s="14"/>
      <c r="S109" s="8"/>
      <c r="T109" s="8"/>
    </row>
    <row r="110" spans="1:20" ht="15.75" customHeight="1">
      <c r="A110" s="59">
        <v>109</v>
      </c>
      <c r="B110" s="59">
        <v>88</v>
      </c>
      <c r="C110" s="60" t="s">
        <v>135</v>
      </c>
      <c r="D110" s="59" t="s">
        <v>619</v>
      </c>
      <c r="E110" s="59" t="s">
        <v>620</v>
      </c>
      <c r="F110" s="59"/>
      <c r="G110" s="59" t="s">
        <v>340</v>
      </c>
      <c r="H110" s="59" t="s">
        <v>341</v>
      </c>
      <c r="I110" s="59">
        <v>20</v>
      </c>
      <c r="J110" s="61">
        <v>2.7263888888888886E-2</v>
      </c>
      <c r="K110" s="61">
        <v>1.3703703703703705E-3</v>
      </c>
      <c r="L110" s="61">
        <v>5.7249999999999995E-2</v>
      </c>
      <c r="M110" s="61">
        <v>6.076388888888889E-4</v>
      </c>
      <c r="N110" s="61">
        <v>3.5836805555555559E-2</v>
      </c>
      <c r="O110" s="61">
        <v>0.12233217592592592</v>
      </c>
      <c r="P110" s="59" t="s">
        <v>2504</v>
      </c>
      <c r="Q110" s="8">
        <f t="shared" si="1"/>
        <v>676</v>
      </c>
      <c r="R110" s="14"/>
      <c r="S110" s="8"/>
      <c r="T110" s="8"/>
    </row>
    <row r="111" spans="1:20" ht="15.75" customHeight="1">
      <c r="A111" s="59">
        <v>110</v>
      </c>
      <c r="B111" s="59">
        <v>39</v>
      </c>
      <c r="C111" s="60" t="s">
        <v>135</v>
      </c>
      <c r="D111" s="59" t="s">
        <v>588</v>
      </c>
      <c r="E111" s="59" t="s">
        <v>589</v>
      </c>
      <c r="F111" s="59" t="s">
        <v>199</v>
      </c>
      <c r="G111" s="59" t="s">
        <v>340</v>
      </c>
      <c r="H111" s="59" t="s">
        <v>348</v>
      </c>
      <c r="I111" s="59">
        <v>29</v>
      </c>
      <c r="J111" s="61">
        <v>2.4406249999999997E-2</v>
      </c>
      <c r="K111" s="61">
        <v>1.4224537037037038E-3</v>
      </c>
      <c r="L111" s="61">
        <v>4.8394675925925931E-2</v>
      </c>
      <c r="M111" s="61">
        <v>9.756944444444444E-4</v>
      </c>
      <c r="N111" s="61">
        <v>4.7174768518518519E-2</v>
      </c>
      <c r="O111" s="61">
        <v>0.12237500000000001</v>
      </c>
      <c r="P111" s="59" t="s">
        <v>2505</v>
      </c>
      <c r="Q111" s="8">
        <f t="shared" si="1"/>
        <v>676</v>
      </c>
      <c r="R111" s="14"/>
      <c r="S111" s="8"/>
      <c r="T111" s="8"/>
    </row>
    <row r="112" spans="1:20" ht="15.75" customHeight="1">
      <c r="A112" s="59">
        <v>111</v>
      </c>
      <c r="B112" s="59">
        <v>85</v>
      </c>
      <c r="C112" s="60" t="s">
        <v>135</v>
      </c>
      <c r="D112" s="59" t="s">
        <v>865</v>
      </c>
      <c r="E112" s="59" t="s">
        <v>866</v>
      </c>
      <c r="F112" s="59"/>
      <c r="G112" s="59" t="s">
        <v>340</v>
      </c>
      <c r="H112" s="59" t="s">
        <v>348</v>
      </c>
      <c r="I112" s="59">
        <v>30</v>
      </c>
      <c r="J112" s="61">
        <v>2.7688657407407408E-2</v>
      </c>
      <c r="K112" s="61">
        <v>1.3391203703703705E-3</v>
      </c>
      <c r="L112" s="61">
        <v>5.7254629629629634E-2</v>
      </c>
      <c r="M112" s="61">
        <v>1.0601851851851851E-3</v>
      </c>
      <c r="N112" s="61">
        <v>3.6087962962962961E-2</v>
      </c>
      <c r="O112" s="61">
        <v>0.12343287037037037</v>
      </c>
      <c r="P112" s="59" t="s">
        <v>2506</v>
      </c>
      <c r="Q112" s="8">
        <f t="shared" si="1"/>
        <v>670</v>
      </c>
      <c r="R112" s="14"/>
      <c r="S112" s="8"/>
      <c r="T112" s="8"/>
    </row>
    <row r="113" spans="1:20" ht="15.75" customHeight="1">
      <c r="A113" s="59">
        <v>112</v>
      </c>
      <c r="B113" s="59">
        <v>59</v>
      </c>
      <c r="C113" s="60" t="s">
        <v>135</v>
      </c>
      <c r="D113" s="59" t="s">
        <v>2507</v>
      </c>
      <c r="E113" s="59" t="s">
        <v>2508</v>
      </c>
      <c r="F113" s="59"/>
      <c r="G113" s="59" t="s">
        <v>340</v>
      </c>
      <c r="H113" s="59" t="s">
        <v>420</v>
      </c>
      <c r="I113" s="59">
        <v>7</v>
      </c>
      <c r="J113" s="61">
        <v>2.3771990740740743E-2</v>
      </c>
      <c r="K113" s="61">
        <v>1.7905092592592591E-3</v>
      </c>
      <c r="L113" s="61">
        <v>5.6310185185185185E-2</v>
      </c>
      <c r="M113" s="61">
        <v>9.0509259259259265E-4</v>
      </c>
      <c r="N113" s="61">
        <v>4.2826388888888886E-2</v>
      </c>
      <c r="O113" s="61">
        <v>0.1256076388888889</v>
      </c>
      <c r="P113" s="59" t="s">
        <v>2509</v>
      </c>
      <c r="Q113" s="8">
        <f t="shared" si="1"/>
        <v>659</v>
      </c>
      <c r="R113" s="14"/>
      <c r="S113" s="8"/>
      <c r="T113" s="8"/>
    </row>
    <row r="114" spans="1:20" ht="15.75" customHeight="1">
      <c r="A114" s="59">
        <v>113</v>
      </c>
      <c r="B114" s="59">
        <v>104</v>
      </c>
      <c r="C114" s="60" t="s">
        <v>135</v>
      </c>
      <c r="D114" s="59" t="s">
        <v>2510</v>
      </c>
      <c r="E114" s="59" t="s">
        <v>2511</v>
      </c>
      <c r="F114" s="59"/>
      <c r="G114" s="59" t="s">
        <v>340</v>
      </c>
      <c r="H114" s="59" t="s">
        <v>352</v>
      </c>
      <c r="I114" s="59">
        <v>11</v>
      </c>
      <c r="J114" s="61">
        <v>2.6343749999999999E-2</v>
      </c>
      <c r="K114" s="61">
        <v>1.8969907407407408E-3</v>
      </c>
      <c r="L114" s="61">
        <v>5.5202546296296298E-2</v>
      </c>
      <c r="M114" s="61">
        <v>1.1701388888888887E-3</v>
      </c>
      <c r="N114" s="61">
        <v>4.1259259259259259E-2</v>
      </c>
      <c r="O114" s="61">
        <v>0.12587500000000001</v>
      </c>
      <c r="P114" s="59" t="s">
        <v>2512</v>
      </c>
      <c r="Q114" s="8">
        <f t="shared" si="1"/>
        <v>657</v>
      </c>
      <c r="R114" s="14"/>
      <c r="S114" s="8"/>
      <c r="T114" s="8"/>
    </row>
    <row r="115" spans="1:20" ht="15.75" customHeight="1">
      <c r="A115" s="59">
        <v>114</v>
      </c>
      <c r="B115" s="59">
        <v>103</v>
      </c>
      <c r="C115" s="60" t="s">
        <v>135</v>
      </c>
      <c r="D115" s="59" t="s">
        <v>2513</v>
      </c>
      <c r="E115" s="59" t="s">
        <v>2514</v>
      </c>
      <c r="F115" s="59"/>
      <c r="G115" s="59" t="s">
        <v>340</v>
      </c>
      <c r="H115" s="59" t="s">
        <v>448</v>
      </c>
      <c r="I115" s="59">
        <v>3</v>
      </c>
      <c r="J115" s="61">
        <v>2.7737268518518519E-2</v>
      </c>
      <c r="K115" s="61">
        <v>2.3842592592592591E-3</v>
      </c>
      <c r="L115" s="61">
        <v>5.5461805555555549E-2</v>
      </c>
      <c r="M115" s="61">
        <v>6.6203703703703704E-4</v>
      </c>
      <c r="N115" s="61">
        <v>4.1131944444444443E-2</v>
      </c>
      <c r="O115" s="61">
        <v>0.12737962962962962</v>
      </c>
      <c r="P115" s="59" t="s">
        <v>2515</v>
      </c>
      <c r="Q115" s="8">
        <f t="shared" si="1"/>
        <v>650</v>
      </c>
      <c r="R115" s="14"/>
      <c r="S115" s="8"/>
      <c r="T115" s="8"/>
    </row>
    <row r="116" spans="1:20" ht="15.75" customHeight="1">
      <c r="A116" s="59">
        <v>115</v>
      </c>
      <c r="B116" s="59">
        <v>124</v>
      </c>
      <c r="C116" s="60" t="s">
        <v>135</v>
      </c>
      <c r="D116" s="59" t="s">
        <v>2516</v>
      </c>
      <c r="E116" s="59" t="s">
        <v>2517</v>
      </c>
      <c r="F116" s="59"/>
      <c r="G116" s="59" t="s">
        <v>340</v>
      </c>
      <c r="H116" s="59" t="s">
        <v>641</v>
      </c>
      <c r="I116" s="59">
        <v>2</v>
      </c>
      <c r="J116" s="61">
        <v>2.7844907407407408E-2</v>
      </c>
      <c r="K116" s="61">
        <v>2.1122685185185185E-3</v>
      </c>
      <c r="L116" s="61">
        <v>6.0449074074074079E-2</v>
      </c>
      <c r="M116" s="61">
        <v>4.3634259259259261E-4</v>
      </c>
      <c r="N116" s="61">
        <v>3.6597222222222225E-2</v>
      </c>
      <c r="O116" s="61">
        <v>0.12744212962962964</v>
      </c>
      <c r="P116" s="59" t="s">
        <v>2518</v>
      </c>
      <c r="Q116" s="8">
        <f t="shared" si="1"/>
        <v>649</v>
      </c>
      <c r="R116" s="14"/>
      <c r="S116" s="8"/>
      <c r="T116" s="8"/>
    </row>
    <row r="117" spans="1:20" ht="15.75" customHeight="1">
      <c r="A117" s="59">
        <v>116</v>
      </c>
      <c r="B117" s="59">
        <v>87</v>
      </c>
      <c r="C117" s="60" t="s">
        <v>135</v>
      </c>
      <c r="D117" s="59" t="s">
        <v>1203</v>
      </c>
      <c r="E117" s="59" t="s">
        <v>1204</v>
      </c>
      <c r="F117" s="59"/>
      <c r="G117" s="59" t="s">
        <v>340</v>
      </c>
      <c r="H117" s="59" t="s">
        <v>448</v>
      </c>
      <c r="I117" s="59">
        <v>4</v>
      </c>
      <c r="J117" s="61">
        <v>2.7712962962962964E-2</v>
      </c>
      <c r="K117" s="61">
        <v>1.5462962962962963E-3</v>
      </c>
      <c r="L117" s="61">
        <v>5.7651620370370374E-2</v>
      </c>
      <c r="M117" s="61">
        <v>5.1041666666666672E-4</v>
      </c>
      <c r="N117" s="61">
        <v>4.1025462962962965E-2</v>
      </c>
      <c r="O117" s="61">
        <v>0.12845023148148149</v>
      </c>
      <c r="P117" s="59" t="s">
        <v>2519</v>
      </c>
      <c r="Q117" s="8">
        <f t="shared" si="1"/>
        <v>644</v>
      </c>
      <c r="R117" s="14"/>
      <c r="S117" s="8"/>
      <c r="T117" s="8"/>
    </row>
    <row r="118" spans="1:20" ht="15.75" customHeight="1">
      <c r="A118" s="59">
        <v>117</v>
      </c>
      <c r="B118" s="59">
        <v>137</v>
      </c>
      <c r="C118" s="60" t="s">
        <v>135</v>
      </c>
      <c r="D118" s="59" t="s">
        <v>2246</v>
      </c>
      <c r="E118" s="59" t="s">
        <v>2247</v>
      </c>
      <c r="F118" s="59" t="s">
        <v>2248</v>
      </c>
      <c r="G118" s="59" t="s">
        <v>340</v>
      </c>
      <c r="H118" s="59" t="s">
        <v>448</v>
      </c>
      <c r="I118" s="59">
        <v>5</v>
      </c>
      <c r="J118" s="61">
        <v>2.8747685185185189E-2</v>
      </c>
      <c r="K118" s="61">
        <v>1.4120370370370369E-3</v>
      </c>
      <c r="L118" s="61">
        <v>5.837268518518518E-2</v>
      </c>
      <c r="M118" s="61">
        <v>1.6018518518518519E-3</v>
      </c>
      <c r="N118" s="61">
        <v>3.9024305555555555E-2</v>
      </c>
      <c r="O118" s="61">
        <v>0.12916087962962963</v>
      </c>
      <c r="P118" s="59" t="s">
        <v>2520</v>
      </c>
      <c r="Q118" s="8">
        <f t="shared" si="1"/>
        <v>641</v>
      </c>
      <c r="R118" s="14"/>
      <c r="S118" s="8"/>
      <c r="T118" s="8"/>
    </row>
    <row r="119" spans="1:20" ht="15.75" customHeight="1">
      <c r="A119" s="59">
        <v>118</v>
      </c>
      <c r="B119" s="59">
        <v>100</v>
      </c>
      <c r="C119" s="60" t="s">
        <v>135</v>
      </c>
      <c r="D119" s="59" t="s">
        <v>2521</v>
      </c>
      <c r="E119" s="59" t="s">
        <v>2522</v>
      </c>
      <c r="F119" s="59"/>
      <c r="G119" s="59" t="s">
        <v>319</v>
      </c>
      <c r="H119" s="59" t="s">
        <v>139</v>
      </c>
      <c r="I119" s="59">
        <v>6</v>
      </c>
      <c r="J119" s="61">
        <v>2.9744212962962965E-2</v>
      </c>
      <c r="K119" s="61">
        <v>2.5219907407407409E-3</v>
      </c>
      <c r="L119" s="61">
        <v>5.8766203703703702E-2</v>
      </c>
      <c r="M119" s="61">
        <v>1.0150462962962962E-3</v>
      </c>
      <c r="N119" s="61">
        <v>3.7313657407407406E-2</v>
      </c>
      <c r="O119" s="61">
        <v>0.12936342592592592</v>
      </c>
      <c r="P119" s="59" t="s">
        <v>2523</v>
      </c>
      <c r="Q119" s="8">
        <f t="shared" si="1"/>
        <v>640</v>
      </c>
      <c r="R119" s="14"/>
      <c r="S119" s="8"/>
      <c r="T119" s="8"/>
    </row>
    <row r="120" spans="1:20" ht="15.75" customHeight="1">
      <c r="A120" s="59">
        <v>119</v>
      </c>
      <c r="B120" s="59">
        <v>21</v>
      </c>
      <c r="C120" s="60" t="s">
        <v>135</v>
      </c>
      <c r="D120" s="59" t="s">
        <v>1959</v>
      </c>
      <c r="E120" s="59" t="s">
        <v>1960</v>
      </c>
      <c r="F120" s="59" t="s">
        <v>2524</v>
      </c>
      <c r="G120" s="59" t="s">
        <v>340</v>
      </c>
      <c r="H120" s="59" t="s">
        <v>348</v>
      </c>
      <c r="I120" s="59">
        <v>31</v>
      </c>
      <c r="J120" s="61">
        <v>3.0060185185185183E-2</v>
      </c>
      <c r="K120" s="61">
        <v>1.5625000000000001E-3</v>
      </c>
      <c r="L120" s="61">
        <v>5.5037037037037037E-2</v>
      </c>
      <c r="M120" s="61">
        <v>1.2743055555555554E-3</v>
      </c>
      <c r="N120" s="61">
        <v>4.1452546296296293E-2</v>
      </c>
      <c r="O120" s="61">
        <v>0.12938888888888889</v>
      </c>
      <c r="P120" s="59" t="s">
        <v>2525</v>
      </c>
      <c r="Q120" s="8">
        <f t="shared" si="1"/>
        <v>639</v>
      </c>
      <c r="R120" s="14"/>
      <c r="S120" s="8"/>
      <c r="T120" s="8"/>
    </row>
    <row r="121" spans="1:20" ht="15.75" customHeight="1">
      <c r="A121" s="59">
        <v>120</v>
      </c>
      <c r="B121" s="59">
        <v>13</v>
      </c>
      <c r="C121" s="60" t="s">
        <v>135</v>
      </c>
      <c r="D121" s="59" t="s">
        <v>2526</v>
      </c>
      <c r="E121" s="59" t="s">
        <v>2527</v>
      </c>
      <c r="F121" s="59"/>
      <c r="G121" s="59" t="s">
        <v>340</v>
      </c>
      <c r="H121" s="59" t="s">
        <v>352</v>
      </c>
      <c r="I121" s="59">
        <v>12</v>
      </c>
      <c r="J121" s="61">
        <v>2.9961805555555554E-2</v>
      </c>
      <c r="K121" s="61">
        <v>1.204861111111111E-3</v>
      </c>
      <c r="L121" s="61">
        <v>5.9777777777777777E-2</v>
      </c>
      <c r="M121" s="61">
        <v>9.3518518518518516E-4</v>
      </c>
      <c r="N121" s="61">
        <v>3.8428240740740742E-2</v>
      </c>
      <c r="O121" s="61">
        <v>0.13031018518518517</v>
      </c>
      <c r="P121" s="59" t="s">
        <v>2528</v>
      </c>
      <c r="Q121" s="8">
        <f t="shared" si="1"/>
        <v>635</v>
      </c>
      <c r="R121" s="14"/>
      <c r="S121" s="8"/>
      <c r="T121" s="8"/>
    </row>
    <row r="122" spans="1:20" ht="15.75" customHeight="1">
      <c r="A122" s="59">
        <v>121</v>
      </c>
      <c r="B122" s="59">
        <v>3</v>
      </c>
      <c r="C122" s="60" t="s">
        <v>135</v>
      </c>
      <c r="D122" s="59" t="s">
        <v>2529</v>
      </c>
      <c r="E122" s="59" t="s">
        <v>2530</v>
      </c>
      <c r="F122" s="59" t="s">
        <v>199</v>
      </c>
      <c r="G122" s="59" t="s">
        <v>319</v>
      </c>
      <c r="H122" s="59" t="s">
        <v>139</v>
      </c>
      <c r="I122" s="59">
        <v>7</v>
      </c>
      <c r="J122" s="61">
        <v>2.7802083333333331E-2</v>
      </c>
      <c r="K122" s="61">
        <v>1.7418981481481482E-3</v>
      </c>
      <c r="L122" s="61">
        <v>5.7856481481481481E-2</v>
      </c>
      <c r="M122" s="61">
        <v>6.4583333333333333E-4</v>
      </c>
      <c r="N122" s="61">
        <v>4.3062499999999997E-2</v>
      </c>
      <c r="O122" s="61">
        <v>0.13111111111111112</v>
      </c>
      <c r="P122" s="59" t="s">
        <v>2531</v>
      </c>
      <c r="Q122" s="8">
        <f t="shared" si="1"/>
        <v>631</v>
      </c>
      <c r="R122" s="14"/>
      <c r="S122" s="8"/>
      <c r="T122" s="8"/>
    </row>
    <row r="123" spans="1:20" ht="15.75" customHeight="1">
      <c r="A123" s="59">
        <v>122</v>
      </c>
      <c r="B123" s="59">
        <v>115</v>
      </c>
      <c r="C123" s="60" t="s">
        <v>135</v>
      </c>
      <c r="D123" s="59" t="s">
        <v>2532</v>
      </c>
      <c r="E123" s="59" t="s">
        <v>2533</v>
      </c>
      <c r="F123" s="59"/>
      <c r="G123" s="59" t="s">
        <v>319</v>
      </c>
      <c r="H123" s="59" t="s">
        <v>159</v>
      </c>
      <c r="I123" s="59">
        <v>1</v>
      </c>
      <c r="J123" s="61">
        <v>2.2716435185185187E-2</v>
      </c>
      <c r="K123" s="61">
        <v>1.5208333333333335E-3</v>
      </c>
      <c r="L123" s="61">
        <v>5.8702546296296294E-2</v>
      </c>
      <c r="M123" s="61">
        <v>1.2523148148148148E-3</v>
      </c>
      <c r="N123" s="61">
        <v>4.818055555555556E-2</v>
      </c>
      <c r="O123" s="61">
        <v>0.13237500000000002</v>
      </c>
      <c r="P123" s="59" t="s">
        <v>2534</v>
      </c>
      <c r="Q123" s="8">
        <f t="shared" si="1"/>
        <v>625</v>
      </c>
      <c r="R123" s="14"/>
      <c r="S123" s="8"/>
      <c r="T123" s="8"/>
    </row>
    <row r="124" spans="1:20" ht="15.75" customHeight="1">
      <c r="A124" s="59">
        <v>123</v>
      </c>
      <c r="B124" s="59">
        <v>76</v>
      </c>
      <c r="C124" s="60" t="s">
        <v>135</v>
      </c>
      <c r="D124" s="59" t="s">
        <v>327</v>
      </c>
      <c r="E124" s="59" t="s">
        <v>328</v>
      </c>
      <c r="F124" s="59"/>
      <c r="G124" s="59" t="s">
        <v>340</v>
      </c>
      <c r="H124" s="59" t="s">
        <v>348</v>
      </c>
      <c r="I124" s="59">
        <v>32</v>
      </c>
      <c r="J124" s="61">
        <v>2.5983796296296297E-2</v>
      </c>
      <c r="K124" s="61">
        <v>2.4189814814814816E-3</v>
      </c>
      <c r="L124" s="61">
        <v>6.1046296296296293E-2</v>
      </c>
      <c r="M124" s="61">
        <v>7.6620370370370373E-4</v>
      </c>
      <c r="N124" s="61">
        <v>4.3354166666666666E-2</v>
      </c>
      <c r="O124" s="61">
        <v>0.13357060185185185</v>
      </c>
      <c r="P124" s="59" t="s">
        <v>2535</v>
      </c>
      <c r="Q124" s="8">
        <f t="shared" si="1"/>
        <v>619</v>
      </c>
      <c r="R124" s="14"/>
      <c r="S124" s="8"/>
      <c r="T124" s="8"/>
    </row>
    <row r="125" spans="1:20" ht="15.75" customHeight="1">
      <c r="A125" s="59">
        <v>124</v>
      </c>
      <c r="B125" s="59">
        <v>102</v>
      </c>
      <c r="C125" s="60" t="s">
        <v>135</v>
      </c>
      <c r="D125" s="59" t="s">
        <v>2536</v>
      </c>
      <c r="E125" s="59" t="s">
        <v>2537</v>
      </c>
      <c r="F125" s="59"/>
      <c r="G125" s="59" t="s">
        <v>340</v>
      </c>
      <c r="H125" s="59" t="s">
        <v>348</v>
      </c>
      <c r="I125" s="59">
        <v>33</v>
      </c>
      <c r="J125" s="61">
        <v>2.5891203703703704E-2</v>
      </c>
      <c r="K125" s="61">
        <v>1.4618055555555556E-3</v>
      </c>
      <c r="L125" s="61">
        <v>6.4337962962962972E-2</v>
      </c>
      <c r="M125" s="61">
        <v>1.7662037037037036E-3</v>
      </c>
      <c r="N125" s="61">
        <v>4.1858796296296297E-2</v>
      </c>
      <c r="O125" s="61">
        <v>0.13531712962962963</v>
      </c>
      <c r="P125" s="59" t="s">
        <v>2538</v>
      </c>
      <c r="Q125" s="8">
        <f t="shared" si="1"/>
        <v>611</v>
      </c>
      <c r="R125" s="14"/>
      <c r="S125" s="8"/>
      <c r="T125" s="8"/>
    </row>
    <row r="126" spans="1:20" ht="15.75" customHeight="1">
      <c r="A126" s="59">
        <v>125</v>
      </c>
      <c r="B126" s="59">
        <v>81</v>
      </c>
      <c r="C126" s="60" t="s">
        <v>135</v>
      </c>
      <c r="D126" s="59" t="s">
        <v>2539</v>
      </c>
      <c r="E126" s="59" t="s">
        <v>2540</v>
      </c>
      <c r="F126" s="59" t="s">
        <v>148</v>
      </c>
      <c r="G126" s="59" t="s">
        <v>319</v>
      </c>
      <c r="H126" s="59" t="s">
        <v>149</v>
      </c>
      <c r="I126" s="59">
        <v>3</v>
      </c>
      <c r="J126" s="61">
        <v>2.5193287037037035E-2</v>
      </c>
      <c r="K126" s="61">
        <v>1.8807870370370369E-3</v>
      </c>
      <c r="L126" s="61">
        <v>6.5018518518518517E-2</v>
      </c>
      <c r="M126" s="61">
        <v>9.7685185185185201E-4</v>
      </c>
      <c r="N126" s="61">
        <v>4.5678240740740741E-2</v>
      </c>
      <c r="O126" s="61">
        <v>0.13875000000000001</v>
      </c>
      <c r="P126" s="59" t="s">
        <v>2541</v>
      </c>
      <c r="Q126" s="8">
        <f t="shared" si="1"/>
        <v>596</v>
      </c>
      <c r="R126" s="14"/>
      <c r="S126" s="8"/>
      <c r="T126" s="8"/>
    </row>
    <row r="127" spans="1:20" ht="15.75" customHeight="1">
      <c r="A127" s="59">
        <v>126</v>
      </c>
      <c r="B127" s="59">
        <v>52</v>
      </c>
      <c r="C127" s="60" t="s">
        <v>135</v>
      </c>
      <c r="D127" s="59" t="s">
        <v>2542</v>
      </c>
      <c r="E127" s="59" t="s">
        <v>2543</v>
      </c>
      <c r="F127" s="59"/>
      <c r="G127" s="59" t="s">
        <v>340</v>
      </c>
      <c r="H127" s="59" t="s">
        <v>352</v>
      </c>
      <c r="I127" s="59">
        <v>13</v>
      </c>
      <c r="J127" s="61">
        <v>3.0136574074074076E-2</v>
      </c>
      <c r="K127" s="61">
        <v>1.5717592592592593E-3</v>
      </c>
      <c r="L127" s="61">
        <v>5.9318287037037044E-2</v>
      </c>
      <c r="M127" s="61">
        <v>1.6446759259259259E-3</v>
      </c>
      <c r="N127" s="61">
        <v>4.73125E-2</v>
      </c>
      <c r="O127" s="61">
        <v>0.1399872685185185</v>
      </c>
      <c r="P127" s="59" t="s">
        <v>2544</v>
      </c>
      <c r="Q127" s="8">
        <f t="shared" si="1"/>
        <v>591</v>
      </c>
      <c r="R127" s="14"/>
      <c r="S127" s="8"/>
      <c r="T127" s="8"/>
    </row>
    <row r="128" spans="1:20" ht="15.75" customHeight="1">
      <c r="A128" s="59">
        <v>127</v>
      </c>
      <c r="B128" s="59">
        <v>34</v>
      </c>
      <c r="C128" s="60" t="s">
        <v>135</v>
      </c>
      <c r="D128" s="59" t="s">
        <v>2545</v>
      </c>
      <c r="E128" s="59" t="s">
        <v>2546</v>
      </c>
      <c r="F128" s="59" t="s">
        <v>2392</v>
      </c>
      <c r="G128" s="59" t="s">
        <v>340</v>
      </c>
      <c r="H128" s="59" t="s">
        <v>344</v>
      </c>
      <c r="I128" s="59">
        <v>18</v>
      </c>
      <c r="J128" s="61">
        <v>2.6584490740740742E-2</v>
      </c>
      <c r="K128" s="61">
        <v>2.7905092592592591E-3</v>
      </c>
      <c r="L128" s="61">
        <v>6.5090277777777775E-2</v>
      </c>
      <c r="M128" s="61">
        <v>1.0324074074074074E-3</v>
      </c>
      <c r="N128" s="61">
        <v>4.6446759259259257E-2</v>
      </c>
      <c r="O128" s="61">
        <v>0.14194791666666665</v>
      </c>
      <c r="P128" s="59" t="s">
        <v>2547</v>
      </c>
      <c r="Q128" s="8">
        <f t="shared" si="1"/>
        <v>583</v>
      </c>
      <c r="R128" s="14"/>
      <c r="S128" s="8"/>
      <c r="T128" s="8"/>
    </row>
    <row r="129" spans="1:20" ht="15.75" customHeight="1">
      <c r="A129" s="59">
        <v>128</v>
      </c>
      <c r="B129" s="59">
        <v>140</v>
      </c>
      <c r="C129" s="60" t="s">
        <v>135</v>
      </c>
      <c r="D129" s="59" t="s">
        <v>330</v>
      </c>
      <c r="E129" s="59" t="s">
        <v>331</v>
      </c>
      <c r="F129" s="59" t="s">
        <v>173</v>
      </c>
      <c r="G129" s="59" t="s">
        <v>340</v>
      </c>
      <c r="H129" s="59" t="s">
        <v>420</v>
      </c>
      <c r="I129" s="59">
        <v>8</v>
      </c>
      <c r="J129" s="61">
        <v>2.3317129629629629E-2</v>
      </c>
      <c r="K129" s="61">
        <v>1.7521990740740741E-2</v>
      </c>
      <c r="L129" s="61">
        <v>5.3743055555555551E-2</v>
      </c>
      <c r="M129" s="61">
        <v>6.2384259259259261E-4</v>
      </c>
      <c r="N129" s="61">
        <v>4.707638888888889E-2</v>
      </c>
      <c r="O129" s="61">
        <v>0.1422835648148148</v>
      </c>
      <c r="P129" s="59" t="s">
        <v>2548</v>
      </c>
      <c r="Q129" s="8">
        <f t="shared" si="1"/>
        <v>581</v>
      </c>
      <c r="R129" s="14"/>
      <c r="S129" s="8"/>
      <c r="T129" s="8"/>
    </row>
    <row r="130" spans="1:20" ht="15.75" customHeight="1">
      <c r="A130" s="59">
        <v>129</v>
      </c>
      <c r="B130" s="59">
        <v>84</v>
      </c>
      <c r="C130" s="60" t="s">
        <v>135</v>
      </c>
      <c r="D130" s="59" t="s">
        <v>622</v>
      </c>
      <c r="E130" s="59" t="s">
        <v>623</v>
      </c>
      <c r="F130" s="59" t="s">
        <v>173</v>
      </c>
      <c r="G130" s="59" t="s">
        <v>340</v>
      </c>
      <c r="H130" s="59" t="s">
        <v>624</v>
      </c>
      <c r="I130" s="59">
        <v>2</v>
      </c>
      <c r="J130" s="61">
        <v>3.019675925925926E-2</v>
      </c>
      <c r="K130" s="61">
        <v>2.0358796296296297E-3</v>
      </c>
      <c r="L130" s="61">
        <v>6.9578703703703712E-2</v>
      </c>
      <c r="M130" s="61">
        <v>1.0462962962962963E-3</v>
      </c>
      <c r="N130" s="61">
        <v>4.8265046296296299E-2</v>
      </c>
      <c r="O130" s="61">
        <v>0.15112384259259259</v>
      </c>
      <c r="P130" s="59" t="s">
        <v>2549</v>
      </c>
      <c r="Q130" s="8">
        <f t="shared" si="1"/>
        <v>547</v>
      </c>
      <c r="R130" s="14"/>
      <c r="S130" s="8"/>
      <c r="T130" s="8"/>
    </row>
    <row r="131" spans="1:20" ht="15.75" customHeight="1">
      <c r="A131" s="59">
        <v>130</v>
      </c>
      <c r="B131" s="59">
        <v>97</v>
      </c>
      <c r="C131" s="60" t="s">
        <v>135</v>
      </c>
      <c r="D131" s="59" t="s">
        <v>2550</v>
      </c>
      <c r="E131" s="59" t="s">
        <v>2551</v>
      </c>
      <c r="F131" s="59"/>
      <c r="G131" s="59" t="s">
        <v>340</v>
      </c>
      <c r="H131" s="59" t="s">
        <v>641</v>
      </c>
      <c r="I131" s="59">
        <v>3</v>
      </c>
      <c r="J131" s="61">
        <v>2.6365740740740742E-2</v>
      </c>
      <c r="K131" s="61">
        <v>2.9768518518518516E-3</v>
      </c>
      <c r="L131" s="61">
        <v>6.5650462962962966E-2</v>
      </c>
      <c r="M131" s="61">
        <v>7.6273148148148153E-4</v>
      </c>
      <c r="N131" s="61">
        <v>5.9069444444444445E-2</v>
      </c>
      <c r="O131" s="61">
        <v>0.1548275462962963</v>
      </c>
      <c r="P131" s="59" t="s">
        <v>2552</v>
      </c>
      <c r="Q131" s="8">
        <f t="shared" ref="Q131:Q135" si="2">IFERROR(ROUND($O$2/O131*1000,0),0)</f>
        <v>534</v>
      </c>
      <c r="R131" s="14"/>
      <c r="S131" s="8"/>
      <c r="T131" s="8"/>
    </row>
    <row r="132" spans="1:20" ht="15.75" customHeight="1">
      <c r="A132" s="59" t="s">
        <v>683</v>
      </c>
      <c r="B132" s="59">
        <v>54</v>
      </c>
      <c r="C132" s="60" t="s">
        <v>135</v>
      </c>
      <c r="D132" s="59" t="s">
        <v>2553</v>
      </c>
      <c r="E132" s="59" t="s">
        <v>2554</v>
      </c>
      <c r="F132" s="59"/>
      <c r="G132" s="59" t="s">
        <v>319</v>
      </c>
      <c r="H132" s="59" t="s">
        <v>139</v>
      </c>
      <c r="I132" s="59"/>
      <c r="J132" s="61">
        <v>2.9358796296296296E-2</v>
      </c>
      <c r="K132" s="59"/>
      <c r="L132" s="59"/>
      <c r="M132" s="59"/>
      <c r="N132" s="59"/>
      <c r="O132" s="59" t="s">
        <v>686</v>
      </c>
      <c r="P132" s="59"/>
      <c r="Q132" s="8">
        <f t="shared" si="2"/>
        <v>0</v>
      </c>
      <c r="R132" s="14"/>
      <c r="S132" s="8"/>
      <c r="T132" s="8"/>
    </row>
    <row r="133" spans="1:20" ht="15.75" customHeight="1">
      <c r="A133" s="59" t="s">
        <v>683</v>
      </c>
      <c r="B133" s="59">
        <v>111</v>
      </c>
      <c r="C133" s="60" t="s">
        <v>135</v>
      </c>
      <c r="D133" s="59" t="s">
        <v>2555</v>
      </c>
      <c r="E133" s="59" t="s">
        <v>2556</v>
      </c>
      <c r="F133" s="59"/>
      <c r="G133" s="59" t="s">
        <v>340</v>
      </c>
      <c r="H133" s="59" t="s">
        <v>641</v>
      </c>
      <c r="I133" s="59"/>
      <c r="J133" s="61">
        <v>2.5638888888888888E-2</v>
      </c>
      <c r="K133" s="59"/>
      <c r="L133" s="59"/>
      <c r="M133" s="59"/>
      <c r="N133" s="59"/>
      <c r="O133" s="59" t="s">
        <v>686</v>
      </c>
      <c r="P133" s="59"/>
      <c r="Q133" s="8">
        <f t="shared" si="2"/>
        <v>0</v>
      </c>
      <c r="R133" s="14"/>
      <c r="S133" s="8"/>
      <c r="T133" s="8"/>
    </row>
    <row r="134" spans="1:20" ht="15.75" customHeight="1">
      <c r="A134" s="59" t="s">
        <v>683</v>
      </c>
      <c r="B134" s="59">
        <v>47</v>
      </c>
      <c r="C134" s="60" t="s">
        <v>135</v>
      </c>
      <c r="D134" s="59" t="s">
        <v>1536</v>
      </c>
      <c r="E134" s="59" t="s">
        <v>1537</v>
      </c>
      <c r="F134" s="59" t="s">
        <v>199</v>
      </c>
      <c r="G134" s="59" t="s">
        <v>340</v>
      </c>
      <c r="H134" s="59" t="s">
        <v>344</v>
      </c>
      <c r="I134" s="59"/>
      <c r="J134" s="61">
        <v>2.1574074074074075E-2</v>
      </c>
      <c r="K134" s="61">
        <v>1.0624999999999999E-3</v>
      </c>
      <c r="L134" s="61">
        <v>4.9787037037037039E-2</v>
      </c>
      <c r="M134" s="61">
        <v>6.111111111111111E-4</v>
      </c>
      <c r="N134" s="59"/>
      <c r="O134" s="59" t="s">
        <v>686</v>
      </c>
      <c r="P134" s="59"/>
      <c r="Q134" s="8">
        <f t="shared" si="2"/>
        <v>0</v>
      </c>
      <c r="R134" s="14"/>
      <c r="S134" s="8"/>
      <c r="T134" s="8"/>
    </row>
    <row r="135" spans="1:20" ht="15.75" customHeight="1">
      <c r="A135" s="59" t="s">
        <v>683</v>
      </c>
      <c r="B135" s="59">
        <v>55</v>
      </c>
      <c r="C135" s="60" t="s">
        <v>135</v>
      </c>
      <c r="D135" s="59" t="s">
        <v>2557</v>
      </c>
      <c r="E135" s="59" t="s">
        <v>2558</v>
      </c>
      <c r="F135" s="59"/>
      <c r="G135" s="59" t="s">
        <v>340</v>
      </c>
      <c r="H135" s="59" t="s">
        <v>352</v>
      </c>
      <c r="I135" s="59"/>
      <c r="J135" s="61">
        <v>2.5754629629629627E-2</v>
      </c>
      <c r="K135" s="61">
        <v>1.4340277777777778E-3</v>
      </c>
      <c r="L135" s="61">
        <v>6.1980324074074077E-2</v>
      </c>
      <c r="M135" s="61">
        <v>7.1527777777777779E-4</v>
      </c>
      <c r="N135" s="59"/>
      <c r="O135" s="59" t="s">
        <v>1216</v>
      </c>
      <c r="P135" s="59"/>
      <c r="Q135" s="8">
        <f t="shared" si="2"/>
        <v>0</v>
      </c>
      <c r="R135" s="14"/>
      <c r="S135" s="8"/>
      <c r="T135" s="8"/>
    </row>
    <row r="136" spans="1:20" ht="15.75" customHeight="1">
      <c r="A136" s="59">
        <v>1</v>
      </c>
      <c r="B136" s="59">
        <v>201</v>
      </c>
      <c r="C136" s="60" t="s">
        <v>135</v>
      </c>
      <c r="D136" s="59" t="s">
        <v>197</v>
      </c>
      <c r="E136" s="59" t="s">
        <v>198</v>
      </c>
      <c r="F136" s="59" t="s">
        <v>199</v>
      </c>
      <c r="G136" s="59" t="s">
        <v>340</v>
      </c>
      <c r="H136" s="59" t="s">
        <v>348</v>
      </c>
      <c r="I136" s="59"/>
      <c r="J136" s="61">
        <v>1.0445601851851852E-2</v>
      </c>
      <c r="K136" s="61">
        <v>9.1087962962962965E-4</v>
      </c>
      <c r="L136" s="61">
        <v>2.0207175925925927E-2</v>
      </c>
      <c r="M136" s="61">
        <v>4.2013888888888884E-4</v>
      </c>
      <c r="N136" s="61">
        <v>1.3935185185185186E-2</v>
      </c>
      <c r="O136" s="61">
        <v>4.5921296296296293E-2</v>
      </c>
      <c r="P136" s="59"/>
      <c r="Q136" s="8">
        <f>IFERROR(ROUND($O$136/O136*900,0),0)</f>
        <v>900</v>
      </c>
      <c r="R136" s="14"/>
      <c r="S136" s="8"/>
      <c r="T136" s="8"/>
    </row>
    <row r="137" spans="1:20" ht="15.75" customHeight="1">
      <c r="A137" s="59">
        <v>2</v>
      </c>
      <c r="B137" s="59">
        <v>236</v>
      </c>
      <c r="C137" s="60" t="s">
        <v>135</v>
      </c>
      <c r="D137" s="59" t="s">
        <v>2061</v>
      </c>
      <c r="E137" s="59" t="s">
        <v>2062</v>
      </c>
      <c r="F137" s="59" t="s">
        <v>2559</v>
      </c>
      <c r="G137" s="59" t="s">
        <v>340</v>
      </c>
      <c r="H137" s="59" t="s">
        <v>641</v>
      </c>
      <c r="I137" s="59"/>
      <c r="J137" s="61">
        <v>7.7777777777777776E-3</v>
      </c>
      <c r="K137" s="61">
        <v>6.122685185185185E-4</v>
      </c>
      <c r="L137" s="61">
        <v>2.2688657407407407E-2</v>
      </c>
      <c r="M137" s="61">
        <v>3.8773148148148147E-4</v>
      </c>
      <c r="N137" s="61">
        <v>1.477199074074074E-2</v>
      </c>
      <c r="O137" s="61">
        <v>4.624189814814815E-2</v>
      </c>
      <c r="P137" s="59">
        <v>27.7</v>
      </c>
      <c r="Q137" s="8">
        <f t="shared" ref="Q137:Q200" si="3">IFERROR(ROUND($O$136/O137*900,0),0)</f>
        <v>894</v>
      </c>
      <c r="R137" s="14"/>
      <c r="S137" s="8"/>
      <c r="T137" s="8"/>
    </row>
    <row r="138" spans="1:20" ht="15.75" customHeight="1">
      <c r="A138" s="59">
        <v>3</v>
      </c>
      <c r="B138" s="59">
        <v>162</v>
      </c>
      <c r="C138" s="60" t="s">
        <v>135</v>
      </c>
      <c r="D138" s="59" t="s">
        <v>698</v>
      </c>
      <c r="E138" s="59" t="s">
        <v>699</v>
      </c>
      <c r="F138" s="59" t="s">
        <v>252</v>
      </c>
      <c r="G138" s="59" t="s">
        <v>340</v>
      </c>
      <c r="H138" s="59" t="s">
        <v>341</v>
      </c>
      <c r="I138" s="59"/>
      <c r="J138" s="61">
        <v>9.5439814814814814E-3</v>
      </c>
      <c r="K138" s="61">
        <v>6.9907407407407407E-4</v>
      </c>
      <c r="L138" s="61">
        <v>2.1876157407407407E-2</v>
      </c>
      <c r="M138" s="61">
        <v>4.7453703703703704E-4</v>
      </c>
      <c r="N138" s="61">
        <v>1.3775462962962963E-2</v>
      </c>
      <c r="O138" s="61">
        <v>4.6371527777777775E-2</v>
      </c>
      <c r="P138" s="59">
        <v>38.9</v>
      </c>
      <c r="Q138" s="8">
        <f t="shared" si="3"/>
        <v>891</v>
      </c>
      <c r="R138" s="14"/>
      <c r="S138" s="8"/>
      <c r="T138" s="8"/>
    </row>
    <row r="139" spans="1:20" ht="15.75" customHeight="1">
      <c r="A139" s="59">
        <v>4</v>
      </c>
      <c r="B139" s="59">
        <v>189</v>
      </c>
      <c r="C139" s="60" t="s">
        <v>135</v>
      </c>
      <c r="D139" s="59" t="s">
        <v>701</v>
      </c>
      <c r="E139" s="59" t="s">
        <v>702</v>
      </c>
      <c r="F139" s="59" t="s">
        <v>199</v>
      </c>
      <c r="G139" s="59" t="s">
        <v>340</v>
      </c>
      <c r="H139" s="59" t="s">
        <v>344</v>
      </c>
      <c r="I139" s="59">
        <v>1</v>
      </c>
      <c r="J139" s="61">
        <v>8.2719907407407412E-3</v>
      </c>
      <c r="K139" s="61">
        <v>1.0150462962962962E-3</v>
      </c>
      <c r="L139" s="61">
        <v>2.1835648148148146E-2</v>
      </c>
      <c r="M139" s="61">
        <v>3.5300925925925924E-4</v>
      </c>
      <c r="N139" s="61">
        <v>1.5162037037037036E-2</v>
      </c>
      <c r="O139" s="61">
        <v>4.6641203703703706E-2</v>
      </c>
      <c r="P139" s="59" t="s">
        <v>2560</v>
      </c>
      <c r="Q139" s="8">
        <f t="shared" si="3"/>
        <v>886</v>
      </c>
      <c r="R139" s="14"/>
      <c r="S139" s="8"/>
      <c r="T139" s="8"/>
    </row>
    <row r="140" spans="1:20" ht="15.75" customHeight="1">
      <c r="A140" s="59">
        <v>5</v>
      </c>
      <c r="B140" s="59">
        <v>173</v>
      </c>
      <c r="C140" s="60" t="s">
        <v>135</v>
      </c>
      <c r="D140" s="59" t="s">
        <v>708</v>
      </c>
      <c r="E140" s="59" t="s">
        <v>709</v>
      </c>
      <c r="F140" s="59" t="s">
        <v>138</v>
      </c>
      <c r="G140" s="59" t="s">
        <v>340</v>
      </c>
      <c r="H140" s="59" t="s">
        <v>420</v>
      </c>
      <c r="I140" s="59">
        <v>1</v>
      </c>
      <c r="J140" s="61">
        <v>8.7777777777777767E-3</v>
      </c>
      <c r="K140" s="61">
        <v>7.7083333333333322E-4</v>
      </c>
      <c r="L140" s="61">
        <v>2.334375E-2</v>
      </c>
      <c r="M140" s="61">
        <v>4.826388888888889E-4</v>
      </c>
      <c r="N140" s="61">
        <v>1.5027777777777779E-2</v>
      </c>
      <c r="O140" s="61">
        <v>4.8406250000000005E-2</v>
      </c>
      <c r="P140" s="59" t="s">
        <v>2561</v>
      </c>
      <c r="Q140" s="8">
        <f t="shared" si="3"/>
        <v>854</v>
      </c>
      <c r="R140" s="14"/>
      <c r="S140" s="8"/>
      <c r="T140" s="8"/>
    </row>
    <row r="141" spans="1:20" ht="15.75" customHeight="1">
      <c r="A141" s="59">
        <v>6</v>
      </c>
      <c r="B141" s="59">
        <v>206</v>
      </c>
      <c r="C141" s="60" t="s">
        <v>135</v>
      </c>
      <c r="D141" s="59" t="s">
        <v>2562</v>
      </c>
      <c r="E141" s="59" t="s">
        <v>2563</v>
      </c>
      <c r="F141" s="59" t="s">
        <v>2564</v>
      </c>
      <c r="G141" s="59" t="s">
        <v>340</v>
      </c>
      <c r="H141" s="59" t="s">
        <v>641</v>
      </c>
      <c r="I141" s="59">
        <v>1</v>
      </c>
      <c r="J141" s="61">
        <v>8.6250000000000007E-3</v>
      </c>
      <c r="K141" s="61">
        <v>6.180555555555555E-4</v>
      </c>
      <c r="L141" s="61">
        <v>2.4990740740740737E-2</v>
      </c>
      <c r="M141" s="61">
        <v>3.3333333333333332E-4</v>
      </c>
      <c r="N141" s="61">
        <v>1.4173611111111111E-2</v>
      </c>
      <c r="O141" s="61">
        <v>4.8743055555555553E-2</v>
      </c>
      <c r="P141" s="59" t="s">
        <v>2565</v>
      </c>
      <c r="Q141" s="8">
        <f t="shared" si="3"/>
        <v>848</v>
      </c>
      <c r="R141" s="14"/>
      <c r="S141" s="8"/>
      <c r="T141" s="8"/>
    </row>
    <row r="142" spans="1:20" ht="15.75" customHeight="1">
      <c r="A142" s="59">
        <v>7</v>
      </c>
      <c r="B142" s="59">
        <v>211</v>
      </c>
      <c r="C142" s="60" t="s">
        <v>135</v>
      </c>
      <c r="D142" s="59" t="s">
        <v>156</v>
      </c>
      <c r="E142" s="59" t="s">
        <v>157</v>
      </c>
      <c r="F142" s="59" t="s">
        <v>2566</v>
      </c>
      <c r="G142" s="59" t="s">
        <v>340</v>
      </c>
      <c r="H142" s="59" t="s">
        <v>352</v>
      </c>
      <c r="I142" s="59">
        <v>1</v>
      </c>
      <c r="J142" s="61">
        <v>9.1712962962962954E-3</v>
      </c>
      <c r="K142" s="61">
        <v>5.7523148148148147E-4</v>
      </c>
      <c r="L142" s="61">
        <v>2.4175925925925927E-2</v>
      </c>
      <c r="M142" s="61">
        <v>3.7615740740740741E-4</v>
      </c>
      <c r="N142" s="61">
        <v>1.5032407407407408E-2</v>
      </c>
      <c r="O142" s="61">
        <v>4.9332175925925925E-2</v>
      </c>
      <c r="P142" s="59" t="s">
        <v>2567</v>
      </c>
      <c r="Q142" s="8">
        <f t="shared" si="3"/>
        <v>838</v>
      </c>
      <c r="R142" s="14"/>
      <c r="S142" s="8"/>
      <c r="T142" s="8"/>
    </row>
    <row r="143" spans="1:20" ht="15.75" customHeight="1">
      <c r="A143" s="59">
        <v>8</v>
      </c>
      <c r="B143" s="59">
        <v>218</v>
      </c>
      <c r="C143" s="60" t="s">
        <v>135</v>
      </c>
      <c r="D143" s="59" t="s">
        <v>217</v>
      </c>
      <c r="E143" s="59" t="s">
        <v>218</v>
      </c>
      <c r="F143" s="59" t="s">
        <v>219</v>
      </c>
      <c r="G143" s="59" t="s">
        <v>340</v>
      </c>
      <c r="H143" s="59" t="s">
        <v>344</v>
      </c>
      <c r="I143" s="59">
        <v>2</v>
      </c>
      <c r="J143" s="61">
        <v>1.0469907407407407E-2</v>
      </c>
      <c r="K143" s="61">
        <v>1.0324074074074074E-3</v>
      </c>
      <c r="L143" s="61">
        <v>2.3012731481481481E-2</v>
      </c>
      <c r="M143" s="61">
        <v>3.9351851851851852E-4</v>
      </c>
      <c r="N143" s="61">
        <v>1.4828703703703705E-2</v>
      </c>
      <c r="O143" s="61">
        <v>4.973958333333333E-2</v>
      </c>
      <c r="P143" s="59" t="s">
        <v>2568</v>
      </c>
      <c r="Q143" s="8">
        <f t="shared" si="3"/>
        <v>831</v>
      </c>
      <c r="R143" s="14"/>
      <c r="S143" s="8"/>
      <c r="T143" s="8"/>
    </row>
    <row r="144" spans="1:20" ht="15.75" customHeight="1">
      <c r="A144" s="59">
        <v>9</v>
      </c>
      <c r="B144" s="59">
        <v>231</v>
      </c>
      <c r="C144" s="60" t="s">
        <v>135</v>
      </c>
      <c r="D144" s="59" t="s">
        <v>739</v>
      </c>
      <c r="E144" s="59" t="s">
        <v>740</v>
      </c>
      <c r="F144" s="59"/>
      <c r="G144" s="59" t="s">
        <v>340</v>
      </c>
      <c r="H144" s="59" t="s">
        <v>344</v>
      </c>
      <c r="I144" s="59">
        <v>3</v>
      </c>
      <c r="J144" s="61">
        <v>9.8587962962962961E-3</v>
      </c>
      <c r="K144" s="61">
        <v>7.0949074074074068E-4</v>
      </c>
      <c r="L144" s="61">
        <v>2.3208333333333334E-2</v>
      </c>
      <c r="M144" s="61">
        <v>4.2361111111111115E-4</v>
      </c>
      <c r="N144" s="61">
        <v>1.5664351851851853E-2</v>
      </c>
      <c r="O144" s="61">
        <v>4.9865740740740738E-2</v>
      </c>
      <c r="P144" s="59" t="s">
        <v>2569</v>
      </c>
      <c r="Q144" s="8">
        <f t="shared" si="3"/>
        <v>829</v>
      </c>
      <c r="R144" s="14"/>
      <c r="S144" s="8"/>
      <c r="T144" s="8"/>
    </row>
    <row r="145" spans="1:20" ht="15.75" customHeight="1">
      <c r="A145" s="59">
        <v>10</v>
      </c>
      <c r="B145" s="59">
        <v>187</v>
      </c>
      <c r="C145" s="60" t="s">
        <v>140</v>
      </c>
      <c r="D145" s="59" t="s">
        <v>736</v>
      </c>
      <c r="E145" s="59" t="s">
        <v>737</v>
      </c>
      <c r="F145" s="59" t="s">
        <v>2570</v>
      </c>
      <c r="G145" s="59" t="s">
        <v>340</v>
      </c>
      <c r="H145" s="59" t="s">
        <v>641</v>
      </c>
      <c r="I145" s="59">
        <v>2</v>
      </c>
      <c r="J145" s="61">
        <v>9.0925925925925931E-3</v>
      </c>
      <c r="K145" s="61">
        <v>6.6898148148148145E-4</v>
      </c>
      <c r="L145" s="61">
        <v>2.4035879629629626E-2</v>
      </c>
      <c r="M145" s="61">
        <v>3.2407407407407406E-4</v>
      </c>
      <c r="N145" s="61">
        <v>1.59375E-2</v>
      </c>
      <c r="O145" s="61">
        <v>5.006018518518518E-2</v>
      </c>
      <c r="P145" s="59" t="s">
        <v>2571</v>
      </c>
      <c r="Q145" s="8">
        <f t="shared" si="3"/>
        <v>826</v>
      </c>
      <c r="R145" s="14"/>
      <c r="S145" s="8"/>
      <c r="T145" s="8"/>
    </row>
    <row r="146" spans="1:20" ht="15.75" customHeight="1">
      <c r="A146" s="59">
        <v>11</v>
      </c>
      <c r="B146" s="59">
        <v>212</v>
      </c>
      <c r="C146" s="60" t="s">
        <v>135</v>
      </c>
      <c r="D146" s="59" t="s">
        <v>780</v>
      </c>
      <c r="E146" s="59" t="s">
        <v>781</v>
      </c>
      <c r="F146" s="59" t="s">
        <v>782</v>
      </c>
      <c r="G146" s="59" t="s">
        <v>340</v>
      </c>
      <c r="H146" s="59" t="s">
        <v>344</v>
      </c>
      <c r="I146" s="59">
        <v>4</v>
      </c>
      <c r="J146" s="61">
        <v>8.2245370370370371E-3</v>
      </c>
      <c r="K146" s="61">
        <v>8.7962962962962962E-4</v>
      </c>
      <c r="L146" s="61">
        <v>2.483101851851852E-2</v>
      </c>
      <c r="M146" s="61">
        <v>5.2662037037037033E-4</v>
      </c>
      <c r="N146" s="61">
        <v>1.6001157407407408E-2</v>
      </c>
      <c r="O146" s="61">
        <v>5.0466435185185191E-2</v>
      </c>
      <c r="P146" s="59" t="s">
        <v>2572</v>
      </c>
      <c r="Q146" s="8">
        <f t="shared" si="3"/>
        <v>819</v>
      </c>
      <c r="R146" s="14"/>
      <c r="S146" s="8"/>
      <c r="T146" s="8"/>
    </row>
    <row r="147" spans="1:20" ht="15.75" customHeight="1">
      <c r="A147" s="59">
        <v>12</v>
      </c>
      <c r="B147" s="59">
        <v>152</v>
      </c>
      <c r="C147" s="60" t="s">
        <v>135</v>
      </c>
      <c r="D147" s="59" t="s">
        <v>768</v>
      </c>
      <c r="E147" s="59" t="s">
        <v>769</v>
      </c>
      <c r="F147" s="59" t="s">
        <v>199</v>
      </c>
      <c r="G147" s="59" t="s">
        <v>340</v>
      </c>
      <c r="H147" s="59" t="s">
        <v>357</v>
      </c>
      <c r="I147" s="59">
        <v>1</v>
      </c>
      <c r="J147" s="61">
        <v>1.1003472222222224E-2</v>
      </c>
      <c r="K147" s="61">
        <v>1.1122685185185185E-3</v>
      </c>
      <c r="L147" s="61">
        <v>2.291550925925926E-2</v>
      </c>
      <c r="M147" s="61">
        <v>4.0277777777777773E-4</v>
      </c>
      <c r="N147" s="61">
        <v>1.5040509259259259E-2</v>
      </c>
      <c r="O147" s="61">
        <v>5.0476851851851849E-2</v>
      </c>
      <c r="P147" s="59" t="s">
        <v>2573</v>
      </c>
      <c r="Q147" s="8">
        <f t="shared" si="3"/>
        <v>819</v>
      </c>
      <c r="R147" s="14"/>
      <c r="S147" s="8"/>
      <c r="T147" s="8"/>
    </row>
    <row r="148" spans="1:20" ht="15.75" customHeight="1">
      <c r="A148" s="59">
        <v>13</v>
      </c>
      <c r="B148" s="59">
        <v>215</v>
      </c>
      <c r="C148" s="60" t="s">
        <v>135</v>
      </c>
      <c r="D148" s="59" t="s">
        <v>474</v>
      </c>
      <c r="E148" s="59" t="s">
        <v>475</v>
      </c>
      <c r="F148" s="59" t="s">
        <v>148</v>
      </c>
      <c r="G148" s="59" t="s">
        <v>340</v>
      </c>
      <c r="H148" s="59" t="s">
        <v>344</v>
      </c>
      <c r="I148" s="59">
        <v>5</v>
      </c>
      <c r="J148" s="61">
        <v>9.6620370370370367E-3</v>
      </c>
      <c r="K148" s="61">
        <v>8.3796296296296299E-4</v>
      </c>
      <c r="L148" s="61">
        <v>2.452199074074074E-2</v>
      </c>
      <c r="M148" s="61">
        <v>4.5601851851851852E-4</v>
      </c>
      <c r="N148" s="61">
        <v>1.561226851851852E-2</v>
      </c>
      <c r="O148" s="61">
        <v>5.1091435185185184E-2</v>
      </c>
      <c r="P148" s="59" t="s">
        <v>2574</v>
      </c>
      <c r="Q148" s="8">
        <f t="shared" si="3"/>
        <v>809</v>
      </c>
      <c r="R148" s="14"/>
      <c r="S148" s="8"/>
      <c r="T148" s="8"/>
    </row>
    <row r="149" spans="1:20" ht="15.75" customHeight="1">
      <c r="A149" s="59">
        <v>14</v>
      </c>
      <c r="B149" s="59">
        <v>165</v>
      </c>
      <c r="C149" s="60" t="s">
        <v>135</v>
      </c>
      <c r="D149" s="59" t="s">
        <v>230</v>
      </c>
      <c r="E149" s="59" t="s">
        <v>231</v>
      </c>
      <c r="F149" s="59" t="s">
        <v>138</v>
      </c>
      <c r="G149" s="59" t="s">
        <v>340</v>
      </c>
      <c r="H149" s="59" t="s">
        <v>344</v>
      </c>
      <c r="I149" s="59">
        <v>6</v>
      </c>
      <c r="J149" s="61">
        <v>1.1768518518518518E-2</v>
      </c>
      <c r="K149" s="61">
        <v>1.0243055555555556E-3</v>
      </c>
      <c r="L149" s="61">
        <v>2.2927083333333334E-2</v>
      </c>
      <c r="M149" s="61">
        <v>4.9768518518518521E-4</v>
      </c>
      <c r="N149" s="61">
        <v>1.4872685185185185E-2</v>
      </c>
      <c r="O149" s="61">
        <v>5.1092592592592585E-2</v>
      </c>
      <c r="P149" s="59" t="s">
        <v>2575</v>
      </c>
      <c r="Q149" s="8">
        <f t="shared" si="3"/>
        <v>809</v>
      </c>
      <c r="R149" s="14"/>
      <c r="S149" s="8"/>
      <c r="T149" s="8"/>
    </row>
    <row r="150" spans="1:20" ht="15.75" customHeight="1">
      <c r="A150" s="59">
        <v>15</v>
      </c>
      <c r="B150" s="59">
        <v>161</v>
      </c>
      <c r="C150" s="60" t="s">
        <v>135</v>
      </c>
      <c r="D150" s="59" t="s">
        <v>2576</v>
      </c>
      <c r="E150" s="59" t="s">
        <v>2577</v>
      </c>
      <c r="F150" s="59" t="s">
        <v>138</v>
      </c>
      <c r="G150" s="59" t="s">
        <v>340</v>
      </c>
      <c r="H150" s="59" t="s">
        <v>420</v>
      </c>
      <c r="I150" s="59">
        <v>2</v>
      </c>
      <c r="J150" s="61">
        <v>1.1341435185185185E-2</v>
      </c>
      <c r="K150" s="61">
        <v>8.2754629629629628E-4</v>
      </c>
      <c r="L150" s="61">
        <v>2.3542824074074074E-2</v>
      </c>
      <c r="M150" s="61">
        <v>4.7800925925925924E-4</v>
      </c>
      <c r="N150" s="61">
        <v>1.5013888888888889E-2</v>
      </c>
      <c r="O150" s="61">
        <v>5.1204861111111118E-2</v>
      </c>
      <c r="P150" s="59" t="s">
        <v>2578</v>
      </c>
      <c r="Q150" s="8">
        <f t="shared" si="3"/>
        <v>807</v>
      </c>
      <c r="R150" s="14"/>
      <c r="S150" s="8"/>
      <c r="T150" s="8"/>
    </row>
    <row r="151" spans="1:20" ht="15.75" customHeight="1">
      <c r="A151" s="59">
        <v>16</v>
      </c>
      <c r="B151" s="59">
        <v>171</v>
      </c>
      <c r="C151" s="60" t="s">
        <v>135</v>
      </c>
      <c r="D151" s="59" t="s">
        <v>777</v>
      </c>
      <c r="E151" s="59" t="s">
        <v>778</v>
      </c>
      <c r="F151" s="59" t="s">
        <v>173</v>
      </c>
      <c r="G151" s="59" t="s">
        <v>319</v>
      </c>
      <c r="H151" s="59" t="s">
        <v>159</v>
      </c>
      <c r="I151" s="59"/>
      <c r="J151" s="61">
        <v>1.1814814814814814E-2</v>
      </c>
      <c r="K151" s="61">
        <v>8.1712962962962956E-4</v>
      </c>
      <c r="L151" s="61">
        <v>2.4300925925925924E-2</v>
      </c>
      <c r="M151" s="61">
        <v>4.3634259259259261E-4</v>
      </c>
      <c r="N151" s="61">
        <v>1.4372685185185185E-2</v>
      </c>
      <c r="O151" s="61">
        <v>5.1744212962962964E-2</v>
      </c>
      <c r="P151" s="59" t="s">
        <v>2579</v>
      </c>
      <c r="Q151" s="8">
        <f t="shared" si="3"/>
        <v>799</v>
      </c>
      <c r="R151" s="14"/>
      <c r="S151" s="8"/>
      <c r="T151" s="8"/>
    </row>
    <row r="152" spans="1:20" ht="15.75" customHeight="1">
      <c r="A152" s="59">
        <v>17</v>
      </c>
      <c r="B152" s="59">
        <v>209</v>
      </c>
      <c r="C152" s="60" t="s">
        <v>135</v>
      </c>
      <c r="D152" s="59" t="s">
        <v>797</v>
      </c>
      <c r="E152" s="59" t="s">
        <v>798</v>
      </c>
      <c r="F152" s="59" t="s">
        <v>799</v>
      </c>
      <c r="G152" s="59" t="s">
        <v>340</v>
      </c>
      <c r="H152" s="59" t="s">
        <v>344</v>
      </c>
      <c r="I152" s="59">
        <v>7</v>
      </c>
      <c r="J152" s="61">
        <v>9.0092592592592585E-3</v>
      </c>
      <c r="K152" s="61">
        <v>1.1192129629629629E-3</v>
      </c>
      <c r="L152" s="61">
        <v>2.6026620370370367E-2</v>
      </c>
      <c r="M152" s="61">
        <v>4.7222222222222218E-4</v>
      </c>
      <c r="N152" s="61">
        <v>1.5208333333333334E-2</v>
      </c>
      <c r="O152" s="61">
        <v>5.1837962962962968E-2</v>
      </c>
      <c r="P152" s="59" t="s">
        <v>2580</v>
      </c>
      <c r="Q152" s="8">
        <f t="shared" si="3"/>
        <v>797</v>
      </c>
      <c r="R152" s="14"/>
      <c r="S152" s="8"/>
      <c r="T152" s="8"/>
    </row>
    <row r="153" spans="1:20" ht="15.75" customHeight="1">
      <c r="A153" s="59">
        <v>18</v>
      </c>
      <c r="B153" s="59">
        <v>234</v>
      </c>
      <c r="C153" s="60" t="s">
        <v>135</v>
      </c>
      <c r="D153" s="59" t="s">
        <v>756</v>
      </c>
      <c r="E153" s="59" t="s">
        <v>757</v>
      </c>
      <c r="F153" s="59"/>
      <c r="G153" s="59" t="s">
        <v>340</v>
      </c>
      <c r="H153" s="59" t="s">
        <v>357</v>
      </c>
      <c r="I153" s="59">
        <v>2</v>
      </c>
      <c r="J153" s="61">
        <v>1.3603009259259259E-2</v>
      </c>
      <c r="K153" s="61">
        <v>7.9513888888888896E-4</v>
      </c>
      <c r="L153" s="61">
        <v>2.2350694444444444E-2</v>
      </c>
      <c r="M153" s="61">
        <v>4.2361111111111115E-4</v>
      </c>
      <c r="N153" s="61">
        <v>1.5189814814814816E-2</v>
      </c>
      <c r="O153" s="61">
        <v>5.2365740740740734E-2</v>
      </c>
      <c r="P153" s="59" t="s">
        <v>2581</v>
      </c>
      <c r="Q153" s="8">
        <f t="shared" si="3"/>
        <v>789</v>
      </c>
      <c r="R153" s="14"/>
      <c r="S153" s="8"/>
      <c r="T153" s="8"/>
    </row>
    <row r="154" spans="1:20" ht="15.75" customHeight="1">
      <c r="A154" s="59">
        <v>19</v>
      </c>
      <c r="B154" s="59">
        <v>176</v>
      </c>
      <c r="C154" s="60" t="s">
        <v>135</v>
      </c>
      <c r="D154" s="59" t="s">
        <v>550</v>
      </c>
      <c r="E154" s="59" t="s">
        <v>551</v>
      </c>
      <c r="F154" s="59" t="s">
        <v>1099</v>
      </c>
      <c r="G154" s="59" t="s">
        <v>340</v>
      </c>
      <c r="H154" s="59" t="s">
        <v>348</v>
      </c>
      <c r="I154" s="59">
        <v>1</v>
      </c>
      <c r="J154" s="61">
        <v>1.1248842592592592E-2</v>
      </c>
      <c r="K154" s="61">
        <v>1.0300925925925926E-3</v>
      </c>
      <c r="L154" s="61">
        <v>2.450810185185185E-2</v>
      </c>
      <c r="M154" s="61">
        <v>5.8564814814814818E-4</v>
      </c>
      <c r="N154" s="61">
        <v>1.5535879629629629E-2</v>
      </c>
      <c r="O154" s="61">
        <v>5.2912037037037042E-2</v>
      </c>
      <c r="P154" s="59" t="s">
        <v>2582</v>
      </c>
      <c r="Q154" s="8">
        <f t="shared" si="3"/>
        <v>781</v>
      </c>
      <c r="R154" s="14"/>
      <c r="S154" s="8"/>
      <c r="T154" s="8"/>
    </row>
    <row r="155" spans="1:20" ht="15.75" customHeight="1">
      <c r="A155" s="59">
        <v>20</v>
      </c>
      <c r="B155" s="59">
        <v>183</v>
      </c>
      <c r="C155" s="60" t="s">
        <v>135</v>
      </c>
      <c r="D155" s="59" t="s">
        <v>2583</v>
      </c>
      <c r="E155" s="59" t="s">
        <v>2584</v>
      </c>
      <c r="F155" s="59" t="s">
        <v>153</v>
      </c>
      <c r="G155" s="59" t="s">
        <v>319</v>
      </c>
      <c r="H155" s="59" t="s">
        <v>154</v>
      </c>
      <c r="I155" s="59"/>
      <c r="J155" s="61">
        <v>1.311226851851852E-2</v>
      </c>
      <c r="K155" s="61">
        <v>8.4606481481481479E-4</v>
      </c>
      <c r="L155" s="61">
        <v>2.2951388888888889E-2</v>
      </c>
      <c r="M155" s="61">
        <v>5.2893518518518524E-4</v>
      </c>
      <c r="N155" s="61">
        <v>1.5697916666666666E-2</v>
      </c>
      <c r="O155" s="61">
        <v>5.3137731481481487E-2</v>
      </c>
      <c r="P155" s="59" t="s">
        <v>2585</v>
      </c>
      <c r="Q155" s="8">
        <f t="shared" si="3"/>
        <v>778</v>
      </c>
      <c r="R155" s="14"/>
      <c r="S155" s="8"/>
      <c r="T155" s="8"/>
    </row>
    <row r="156" spans="1:20" ht="15.75" customHeight="1">
      <c r="A156" s="59">
        <v>21</v>
      </c>
      <c r="B156" s="59">
        <v>232</v>
      </c>
      <c r="C156" s="60" t="s">
        <v>135</v>
      </c>
      <c r="D156" s="59" t="s">
        <v>2586</v>
      </c>
      <c r="E156" s="59" t="s">
        <v>2587</v>
      </c>
      <c r="F156" s="59"/>
      <c r="G156" s="59" t="s">
        <v>340</v>
      </c>
      <c r="H156" s="59" t="s">
        <v>341</v>
      </c>
      <c r="I156" s="59">
        <v>1</v>
      </c>
      <c r="J156" s="61">
        <v>9.0520833333333339E-3</v>
      </c>
      <c r="K156" s="61">
        <v>1.0949074074074073E-3</v>
      </c>
      <c r="L156" s="61">
        <v>2.6400462962962962E-2</v>
      </c>
      <c r="M156" s="61">
        <v>4.6643518518518513E-4</v>
      </c>
      <c r="N156" s="61">
        <v>1.6259259259259258E-2</v>
      </c>
      <c r="O156" s="61">
        <v>5.3275462962962962E-2</v>
      </c>
      <c r="P156" s="59" t="s">
        <v>2588</v>
      </c>
      <c r="Q156" s="8">
        <f t="shared" si="3"/>
        <v>776</v>
      </c>
      <c r="R156" s="14"/>
      <c r="S156" s="8"/>
      <c r="T156" s="8"/>
    </row>
    <row r="157" spans="1:20" ht="15.75" customHeight="1">
      <c r="A157" s="59">
        <v>22</v>
      </c>
      <c r="B157" s="59">
        <v>221</v>
      </c>
      <c r="C157" s="60" t="s">
        <v>135</v>
      </c>
      <c r="D157" s="59" t="s">
        <v>784</v>
      </c>
      <c r="E157" s="59" t="s">
        <v>785</v>
      </c>
      <c r="F157" s="59"/>
      <c r="G157" s="59" t="s">
        <v>340</v>
      </c>
      <c r="H157" s="59" t="s">
        <v>348</v>
      </c>
      <c r="I157" s="59">
        <v>2</v>
      </c>
      <c r="J157" s="61">
        <v>1.109837962962963E-2</v>
      </c>
      <c r="K157" s="61">
        <v>8.7962962962962962E-4</v>
      </c>
      <c r="L157" s="61">
        <v>2.4738425925925928E-2</v>
      </c>
      <c r="M157" s="61">
        <v>4.2476851851851855E-4</v>
      </c>
      <c r="N157" s="61">
        <v>1.6531250000000001E-2</v>
      </c>
      <c r="O157" s="61">
        <v>5.3673611111111109E-2</v>
      </c>
      <c r="P157" s="59" t="s">
        <v>2589</v>
      </c>
      <c r="Q157" s="8">
        <f t="shared" si="3"/>
        <v>770</v>
      </c>
      <c r="R157" s="14"/>
      <c r="S157" s="8"/>
      <c r="T157" s="8"/>
    </row>
    <row r="158" spans="1:20" ht="15.75" customHeight="1">
      <c r="A158" s="59">
        <v>23</v>
      </c>
      <c r="B158" s="59">
        <v>159</v>
      </c>
      <c r="C158" s="60" t="s">
        <v>135</v>
      </c>
      <c r="D158" s="59" t="s">
        <v>2590</v>
      </c>
      <c r="E158" s="59" t="s">
        <v>2591</v>
      </c>
      <c r="F158" s="59"/>
      <c r="G158" s="59" t="s">
        <v>340</v>
      </c>
      <c r="H158" s="59" t="s">
        <v>357</v>
      </c>
      <c r="I158" s="59">
        <v>3</v>
      </c>
      <c r="J158" s="61">
        <v>1.0968750000000001E-2</v>
      </c>
      <c r="K158" s="61">
        <v>1.1168981481481481E-3</v>
      </c>
      <c r="L158" s="61">
        <v>2.5113425925925928E-2</v>
      </c>
      <c r="M158" s="61">
        <v>5.983796296296297E-4</v>
      </c>
      <c r="N158" s="61">
        <v>1.7135416666666667E-2</v>
      </c>
      <c r="O158" s="61">
        <v>5.4935185185185184E-2</v>
      </c>
      <c r="P158" s="59" t="s">
        <v>2592</v>
      </c>
      <c r="Q158" s="8">
        <f t="shared" si="3"/>
        <v>752</v>
      </c>
      <c r="R158" s="14"/>
      <c r="S158" s="8"/>
      <c r="T158" s="8"/>
    </row>
    <row r="159" spans="1:20" ht="15.75" customHeight="1">
      <c r="A159" s="59">
        <v>24</v>
      </c>
      <c r="B159" s="59">
        <v>217</v>
      </c>
      <c r="C159" s="60" t="s">
        <v>135</v>
      </c>
      <c r="D159" s="59" t="s">
        <v>2593</v>
      </c>
      <c r="E159" s="59" t="s">
        <v>2594</v>
      </c>
      <c r="F159" s="59" t="s">
        <v>153</v>
      </c>
      <c r="G159" s="59" t="s">
        <v>319</v>
      </c>
      <c r="H159" s="59" t="s">
        <v>149</v>
      </c>
      <c r="I159" s="59"/>
      <c r="J159" s="61">
        <v>1.2671296296296295E-2</v>
      </c>
      <c r="K159" s="61">
        <v>8.7152777777777771E-4</v>
      </c>
      <c r="L159" s="61">
        <v>2.4086805555555556E-2</v>
      </c>
      <c r="M159" s="61">
        <v>5.1273148148148141E-4</v>
      </c>
      <c r="N159" s="61">
        <v>1.7607638888888888E-2</v>
      </c>
      <c r="O159" s="61">
        <v>5.5752314814814817E-2</v>
      </c>
      <c r="P159" s="59" t="s">
        <v>2595</v>
      </c>
      <c r="Q159" s="8">
        <f t="shared" si="3"/>
        <v>741</v>
      </c>
      <c r="R159" s="14"/>
      <c r="S159" s="8"/>
      <c r="T159" s="8"/>
    </row>
    <row r="160" spans="1:20" ht="15.75" customHeight="1">
      <c r="A160" s="59">
        <v>25</v>
      </c>
      <c r="B160" s="59">
        <v>172</v>
      </c>
      <c r="C160" s="60" t="s">
        <v>135</v>
      </c>
      <c r="D160" s="59" t="s">
        <v>811</v>
      </c>
      <c r="E160" s="59" t="s">
        <v>812</v>
      </c>
      <c r="F160" s="59" t="s">
        <v>138</v>
      </c>
      <c r="G160" s="59" t="s">
        <v>340</v>
      </c>
      <c r="H160" s="59" t="s">
        <v>641</v>
      </c>
      <c r="I160" s="59">
        <v>3</v>
      </c>
      <c r="J160" s="61">
        <v>9.3252314814814812E-3</v>
      </c>
      <c r="K160" s="61">
        <v>8.8310185185185182E-4</v>
      </c>
      <c r="L160" s="61">
        <v>2.7807870370370368E-2</v>
      </c>
      <c r="M160" s="61">
        <v>3.6805555555555555E-4</v>
      </c>
      <c r="N160" s="61">
        <v>1.7674768518518517E-2</v>
      </c>
      <c r="O160" s="61">
        <v>5.6061342592592593E-2</v>
      </c>
      <c r="P160" s="59" t="s">
        <v>2596</v>
      </c>
      <c r="Q160" s="8">
        <f t="shared" si="3"/>
        <v>737</v>
      </c>
      <c r="R160" s="14"/>
      <c r="S160" s="8"/>
      <c r="T160" s="8"/>
    </row>
    <row r="161" spans="1:20" ht="15.75" customHeight="1">
      <c r="A161" s="59">
        <v>26</v>
      </c>
      <c r="B161" s="59">
        <v>153</v>
      </c>
      <c r="C161" s="60" t="s">
        <v>135</v>
      </c>
      <c r="D161" s="59" t="s">
        <v>855</v>
      </c>
      <c r="E161" s="59" t="s">
        <v>856</v>
      </c>
      <c r="F161" s="59"/>
      <c r="G161" s="59" t="s">
        <v>340</v>
      </c>
      <c r="H161" s="59" t="s">
        <v>344</v>
      </c>
      <c r="I161" s="59">
        <v>8</v>
      </c>
      <c r="J161" s="61">
        <v>1.0863425925925926E-2</v>
      </c>
      <c r="K161" s="61">
        <v>1.1168981481481481E-3</v>
      </c>
      <c r="L161" s="61">
        <v>2.6843750000000003E-2</v>
      </c>
      <c r="M161" s="61">
        <v>5.8101851851851858E-4</v>
      </c>
      <c r="N161" s="61">
        <v>1.6658564814814814E-2</v>
      </c>
      <c r="O161" s="61">
        <v>5.6065972222222225E-2</v>
      </c>
      <c r="P161" s="59" t="s">
        <v>2597</v>
      </c>
      <c r="Q161" s="8">
        <f t="shared" si="3"/>
        <v>737</v>
      </c>
      <c r="R161" s="14"/>
      <c r="S161" s="8"/>
      <c r="T161" s="8"/>
    </row>
    <row r="162" spans="1:20" ht="15.75" customHeight="1">
      <c r="A162" s="59">
        <v>27</v>
      </c>
      <c r="B162" s="59">
        <v>227</v>
      </c>
      <c r="C162" s="60" t="s">
        <v>135</v>
      </c>
      <c r="D162" s="59" t="s">
        <v>1821</v>
      </c>
      <c r="E162" s="59" t="s">
        <v>1822</v>
      </c>
      <c r="F162" s="59"/>
      <c r="G162" s="59" t="s">
        <v>340</v>
      </c>
      <c r="H162" s="59" t="s">
        <v>348</v>
      </c>
      <c r="I162" s="59">
        <v>3</v>
      </c>
      <c r="J162" s="61">
        <v>1.3097222222222222E-2</v>
      </c>
      <c r="K162" s="61">
        <v>1.3634259259259259E-3</v>
      </c>
      <c r="L162" s="61">
        <v>2.4269675925925927E-2</v>
      </c>
      <c r="M162" s="61">
        <v>9.3518518518518516E-4</v>
      </c>
      <c r="N162" s="61">
        <v>1.7093750000000001E-2</v>
      </c>
      <c r="O162" s="61">
        <v>5.6761574074074075E-2</v>
      </c>
      <c r="P162" s="59" t="s">
        <v>2598</v>
      </c>
      <c r="Q162" s="8">
        <f t="shared" si="3"/>
        <v>728</v>
      </c>
      <c r="R162" s="14"/>
      <c r="S162" s="8"/>
      <c r="T162" s="8"/>
    </row>
    <row r="163" spans="1:20" ht="15.75" customHeight="1">
      <c r="A163" s="59">
        <v>28</v>
      </c>
      <c r="B163" s="59">
        <v>180</v>
      </c>
      <c r="C163" s="60" t="s">
        <v>135</v>
      </c>
      <c r="D163" s="59" t="s">
        <v>2125</v>
      </c>
      <c r="E163" s="59" t="s">
        <v>2126</v>
      </c>
      <c r="F163" s="59"/>
      <c r="G163" s="59" t="s">
        <v>340</v>
      </c>
      <c r="H163" s="59" t="s">
        <v>352</v>
      </c>
      <c r="I163" s="59">
        <v>2</v>
      </c>
      <c r="J163" s="61">
        <v>1.080324074074074E-2</v>
      </c>
      <c r="K163" s="61">
        <v>8.0555555555555545E-4</v>
      </c>
      <c r="L163" s="61">
        <v>2.6668981481481481E-2</v>
      </c>
      <c r="M163" s="61">
        <v>4.6527777777777784E-4</v>
      </c>
      <c r="N163" s="61">
        <v>1.8271990740740741E-2</v>
      </c>
      <c r="O163" s="61">
        <v>5.7017361111111116E-2</v>
      </c>
      <c r="P163" s="59" t="s">
        <v>2599</v>
      </c>
      <c r="Q163" s="8">
        <f t="shared" si="3"/>
        <v>725</v>
      </c>
      <c r="R163" s="14"/>
      <c r="S163" s="8"/>
      <c r="T163" s="8"/>
    </row>
    <row r="164" spans="1:20" ht="15.75" customHeight="1">
      <c r="A164" s="59">
        <v>29</v>
      </c>
      <c r="B164" s="59">
        <v>194</v>
      </c>
      <c r="C164" s="60" t="s">
        <v>135</v>
      </c>
      <c r="D164" s="59" t="s">
        <v>920</v>
      </c>
      <c r="E164" s="59" t="s">
        <v>921</v>
      </c>
      <c r="F164" s="59" t="s">
        <v>203</v>
      </c>
      <c r="G164" s="59" t="s">
        <v>319</v>
      </c>
      <c r="H164" s="59" t="s">
        <v>139</v>
      </c>
      <c r="I164" s="59">
        <v>1</v>
      </c>
      <c r="J164" s="61">
        <v>1.2137731481481482E-2</v>
      </c>
      <c r="K164" s="61">
        <v>9.3518518518518516E-4</v>
      </c>
      <c r="L164" s="61">
        <v>2.5083333333333332E-2</v>
      </c>
      <c r="M164" s="61">
        <v>5.4976851851851855E-4</v>
      </c>
      <c r="N164" s="61">
        <v>1.8314814814814815E-2</v>
      </c>
      <c r="O164" s="61">
        <v>5.7023148148148149E-2</v>
      </c>
      <c r="P164" s="59" t="s">
        <v>2600</v>
      </c>
      <c r="Q164" s="8">
        <f t="shared" si="3"/>
        <v>725</v>
      </c>
      <c r="R164" s="14"/>
      <c r="S164" s="8"/>
      <c r="T164" s="8"/>
    </row>
    <row r="165" spans="1:20" ht="15.75" customHeight="1">
      <c r="A165" s="59">
        <v>30</v>
      </c>
      <c r="B165" s="59">
        <v>192</v>
      </c>
      <c r="C165" s="60" t="s">
        <v>135</v>
      </c>
      <c r="D165" s="59" t="s">
        <v>2601</v>
      </c>
      <c r="E165" s="59" t="s">
        <v>2602</v>
      </c>
      <c r="F165" s="59"/>
      <c r="G165" s="59" t="s">
        <v>340</v>
      </c>
      <c r="H165" s="59"/>
      <c r="I165" s="59"/>
      <c r="J165" s="61">
        <v>9.1388888888888891E-3</v>
      </c>
      <c r="K165" s="61">
        <v>1.0694444444444445E-3</v>
      </c>
      <c r="L165" s="61">
        <v>2.9752314814814815E-2</v>
      </c>
      <c r="M165" s="61">
        <v>2.5115740740740741E-4</v>
      </c>
      <c r="N165" s="61">
        <v>1.7275462962962961E-2</v>
      </c>
      <c r="O165" s="61">
        <v>5.7489583333333337E-2</v>
      </c>
      <c r="P165" s="59" t="s">
        <v>2603</v>
      </c>
      <c r="Q165" s="8">
        <f t="shared" si="3"/>
        <v>719</v>
      </c>
      <c r="R165" s="14"/>
      <c r="S165" s="8"/>
      <c r="T165" s="8"/>
    </row>
    <row r="166" spans="1:20" ht="15.75" customHeight="1">
      <c r="A166" s="59">
        <v>31</v>
      </c>
      <c r="B166" s="59">
        <v>190</v>
      </c>
      <c r="C166" s="60" t="s">
        <v>135</v>
      </c>
      <c r="D166" s="59" t="s">
        <v>2142</v>
      </c>
      <c r="E166" s="59" t="s">
        <v>2143</v>
      </c>
      <c r="F166" s="59" t="s">
        <v>138</v>
      </c>
      <c r="G166" s="59" t="s">
        <v>340</v>
      </c>
      <c r="H166" s="59" t="s">
        <v>341</v>
      </c>
      <c r="I166" s="59">
        <v>2</v>
      </c>
      <c r="J166" s="61">
        <v>1.0571759259259258E-2</v>
      </c>
      <c r="K166" s="61">
        <v>1.1967592592592594E-3</v>
      </c>
      <c r="L166" s="61">
        <v>2.5847222222222219E-2</v>
      </c>
      <c r="M166" s="61">
        <v>8.1018518518518516E-4</v>
      </c>
      <c r="N166" s="61">
        <v>1.9128472222222224E-2</v>
      </c>
      <c r="O166" s="61">
        <v>5.7556712962962955E-2</v>
      </c>
      <c r="P166" s="59" t="s">
        <v>2604</v>
      </c>
      <c r="Q166" s="8">
        <f t="shared" si="3"/>
        <v>718</v>
      </c>
      <c r="R166" s="14"/>
      <c r="S166" s="8"/>
      <c r="T166" s="8"/>
    </row>
    <row r="167" spans="1:20" ht="15.75" customHeight="1">
      <c r="A167" s="59">
        <v>32</v>
      </c>
      <c r="B167" s="59">
        <v>210</v>
      </c>
      <c r="C167" s="60" t="s">
        <v>135</v>
      </c>
      <c r="D167" s="59" t="s">
        <v>296</v>
      </c>
      <c r="E167" s="59" t="s">
        <v>297</v>
      </c>
      <c r="F167" s="59" t="s">
        <v>199</v>
      </c>
      <c r="G167" s="59" t="s">
        <v>340</v>
      </c>
      <c r="H167" s="59" t="s">
        <v>420</v>
      </c>
      <c r="I167" s="59">
        <v>3</v>
      </c>
      <c r="J167" s="61">
        <v>1.0936342592592593E-2</v>
      </c>
      <c r="K167" s="61">
        <v>1.1469907407407407E-3</v>
      </c>
      <c r="L167" s="61">
        <v>2.4782407407407406E-2</v>
      </c>
      <c r="M167" s="61">
        <v>5.1620370370370372E-4</v>
      </c>
      <c r="N167" s="61">
        <v>2.0217592592592593E-2</v>
      </c>
      <c r="O167" s="61">
        <v>5.7601851851851855E-2</v>
      </c>
      <c r="P167" s="59" t="s">
        <v>2605</v>
      </c>
      <c r="Q167" s="8">
        <f t="shared" si="3"/>
        <v>717</v>
      </c>
      <c r="R167" s="14"/>
      <c r="S167" s="8"/>
      <c r="T167" s="8"/>
    </row>
    <row r="168" spans="1:20" ht="15.75" customHeight="1">
      <c r="A168" s="59">
        <v>33</v>
      </c>
      <c r="B168" s="59">
        <v>155</v>
      </c>
      <c r="C168" s="60" t="s">
        <v>135</v>
      </c>
      <c r="D168" s="59" t="s">
        <v>875</v>
      </c>
      <c r="E168" s="59" t="s">
        <v>876</v>
      </c>
      <c r="F168" s="59" t="s">
        <v>877</v>
      </c>
      <c r="G168" s="59" t="s">
        <v>340</v>
      </c>
      <c r="H168" s="59" t="s">
        <v>624</v>
      </c>
      <c r="I168" s="59">
        <v>1</v>
      </c>
      <c r="J168" s="61">
        <v>1.2489583333333332E-2</v>
      </c>
      <c r="K168" s="61">
        <v>1.2395833333333332E-3</v>
      </c>
      <c r="L168" s="61">
        <v>2.5598379629629627E-2</v>
      </c>
      <c r="M168" s="61">
        <v>6.2152777777777781E-4</v>
      </c>
      <c r="N168" s="61">
        <v>1.768634259259259E-2</v>
      </c>
      <c r="O168" s="61">
        <v>5.7637731481481477E-2</v>
      </c>
      <c r="P168" s="59" t="s">
        <v>2606</v>
      </c>
      <c r="Q168" s="8">
        <f t="shared" si="3"/>
        <v>717</v>
      </c>
      <c r="R168" s="14"/>
      <c r="S168" s="8"/>
      <c r="T168" s="8"/>
    </row>
    <row r="169" spans="1:20" ht="15.75" customHeight="1">
      <c r="A169" s="59">
        <v>34</v>
      </c>
      <c r="B169" s="59">
        <v>177</v>
      </c>
      <c r="C169" s="60" t="s">
        <v>135</v>
      </c>
      <c r="D169" s="59" t="s">
        <v>872</v>
      </c>
      <c r="E169" s="59" t="s">
        <v>873</v>
      </c>
      <c r="F169" s="59"/>
      <c r="G169" s="59" t="s">
        <v>340</v>
      </c>
      <c r="H169" s="59" t="s">
        <v>448</v>
      </c>
      <c r="I169" s="59">
        <v>1</v>
      </c>
      <c r="J169" s="61">
        <v>1.2703703703703703E-2</v>
      </c>
      <c r="K169" s="61">
        <v>1.1041666666666667E-3</v>
      </c>
      <c r="L169" s="61">
        <v>2.5828703703703701E-2</v>
      </c>
      <c r="M169" s="61">
        <v>1.0393518518518519E-3</v>
      </c>
      <c r="N169" s="61">
        <v>1.7526620370370369E-2</v>
      </c>
      <c r="O169" s="61">
        <v>5.820486111111111E-2</v>
      </c>
      <c r="P169" s="59" t="s">
        <v>2607</v>
      </c>
      <c r="Q169" s="8">
        <f t="shared" si="3"/>
        <v>710</v>
      </c>
      <c r="R169" s="14"/>
      <c r="S169" s="8"/>
      <c r="T169" s="8"/>
    </row>
    <row r="170" spans="1:20" ht="15.75" customHeight="1">
      <c r="A170" s="59">
        <v>35</v>
      </c>
      <c r="B170" s="59">
        <v>186</v>
      </c>
      <c r="C170" s="60" t="s">
        <v>135</v>
      </c>
      <c r="D170" s="59" t="s">
        <v>2608</v>
      </c>
      <c r="E170" s="59" t="s">
        <v>2609</v>
      </c>
      <c r="F170" s="59"/>
      <c r="G170" s="59" t="s">
        <v>340</v>
      </c>
      <c r="H170" s="59" t="s">
        <v>357</v>
      </c>
      <c r="I170" s="59">
        <v>4</v>
      </c>
      <c r="J170" s="61">
        <v>1.1690972222222222E-2</v>
      </c>
      <c r="K170" s="61">
        <v>1.0243055555555556E-3</v>
      </c>
      <c r="L170" s="61">
        <v>2.6641203703703705E-2</v>
      </c>
      <c r="M170" s="61">
        <v>6.5393518518518513E-4</v>
      </c>
      <c r="N170" s="61">
        <v>1.8300925925925925E-2</v>
      </c>
      <c r="O170" s="61">
        <v>5.8313657407407411E-2</v>
      </c>
      <c r="P170" s="59" t="s">
        <v>2610</v>
      </c>
      <c r="Q170" s="8">
        <f t="shared" si="3"/>
        <v>709</v>
      </c>
      <c r="R170" s="14"/>
      <c r="S170" s="8"/>
      <c r="T170" s="8"/>
    </row>
    <row r="171" spans="1:20" ht="15.75" customHeight="1">
      <c r="A171" s="59">
        <v>36</v>
      </c>
      <c r="B171" s="59">
        <v>156</v>
      </c>
      <c r="C171" s="60" t="s">
        <v>135</v>
      </c>
      <c r="D171" s="59" t="s">
        <v>2611</v>
      </c>
      <c r="E171" s="59" t="s">
        <v>2612</v>
      </c>
      <c r="F171" s="59" t="s">
        <v>199</v>
      </c>
      <c r="G171" s="59" t="s">
        <v>340</v>
      </c>
      <c r="H171" s="59" t="s">
        <v>348</v>
      </c>
      <c r="I171" s="59">
        <v>4</v>
      </c>
      <c r="J171" s="61">
        <v>1.2721064814814814E-2</v>
      </c>
      <c r="K171" s="61">
        <v>1.4155092592592592E-3</v>
      </c>
      <c r="L171" s="61">
        <v>2.6613425925925926E-2</v>
      </c>
      <c r="M171" s="61">
        <v>5.8449074074074078E-4</v>
      </c>
      <c r="N171" s="61">
        <v>1.7023148148148148E-2</v>
      </c>
      <c r="O171" s="61">
        <v>5.8359953703703706E-2</v>
      </c>
      <c r="P171" s="59" t="s">
        <v>2613</v>
      </c>
      <c r="Q171" s="8">
        <f t="shared" si="3"/>
        <v>708</v>
      </c>
      <c r="R171" s="14"/>
      <c r="S171" s="8"/>
      <c r="T171" s="8"/>
    </row>
    <row r="172" spans="1:20" ht="15.75" customHeight="1">
      <c r="A172" s="59">
        <v>37</v>
      </c>
      <c r="B172" s="59">
        <v>219</v>
      </c>
      <c r="C172" s="60" t="s">
        <v>135</v>
      </c>
      <c r="D172" s="59" t="s">
        <v>2614</v>
      </c>
      <c r="E172" s="59" t="s">
        <v>2615</v>
      </c>
      <c r="F172" s="59" t="s">
        <v>203</v>
      </c>
      <c r="G172" s="59" t="s">
        <v>340</v>
      </c>
      <c r="H172" s="59" t="s">
        <v>348</v>
      </c>
      <c r="I172" s="59">
        <v>5</v>
      </c>
      <c r="J172" s="61">
        <v>1.2825231481481481E-2</v>
      </c>
      <c r="K172" s="61">
        <v>1.0196759259259258E-3</v>
      </c>
      <c r="L172" s="61">
        <v>2.5723379629629631E-2</v>
      </c>
      <c r="M172" s="61">
        <v>3.1134259259259255E-4</v>
      </c>
      <c r="N172" s="61">
        <v>1.8945601851851852E-2</v>
      </c>
      <c r="O172" s="61">
        <v>5.8827546296296294E-2</v>
      </c>
      <c r="P172" s="59" t="s">
        <v>2616</v>
      </c>
      <c r="Q172" s="8">
        <f t="shared" si="3"/>
        <v>703</v>
      </c>
      <c r="R172" s="14"/>
      <c r="S172" s="8"/>
      <c r="T172" s="8"/>
    </row>
    <row r="173" spans="1:20" ht="15.75" customHeight="1">
      <c r="A173" s="59">
        <v>38</v>
      </c>
      <c r="B173" s="59">
        <v>229</v>
      </c>
      <c r="C173" s="60" t="s">
        <v>1736</v>
      </c>
      <c r="D173" s="59" t="s">
        <v>2162</v>
      </c>
      <c r="E173" s="59" t="s">
        <v>2163</v>
      </c>
      <c r="F173" s="59"/>
      <c r="G173" s="59" t="s">
        <v>340</v>
      </c>
      <c r="H173" s="59" t="s">
        <v>344</v>
      </c>
      <c r="I173" s="59">
        <v>9</v>
      </c>
      <c r="J173" s="61">
        <v>1.2946759259259259E-2</v>
      </c>
      <c r="K173" s="61">
        <v>9.1782407407407405E-4</v>
      </c>
      <c r="L173" s="61">
        <v>2.5724537037037035E-2</v>
      </c>
      <c r="M173" s="61">
        <v>6.9791666666666667E-4</v>
      </c>
      <c r="N173" s="61">
        <v>1.8560185185185183E-2</v>
      </c>
      <c r="O173" s="61">
        <v>5.884953703703704E-2</v>
      </c>
      <c r="P173" s="59" t="s">
        <v>1263</v>
      </c>
      <c r="Q173" s="8">
        <f t="shared" si="3"/>
        <v>702</v>
      </c>
      <c r="R173" s="14"/>
      <c r="S173" s="8"/>
      <c r="T173" s="8"/>
    </row>
    <row r="174" spans="1:20" ht="15.75" customHeight="1">
      <c r="A174" s="59">
        <v>39</v>
      </c>
      <c r="B174" s="59">
        <v>214</v>
      </c>
      <c r="C174" s="60" t="s">
        <v>140</v>
      </c>
      <c r="D174" s="59" t="s">
        <v>2617</v>
      </c>
      <c r="E174" s="59" t="s">
        <v>2618</v>
      </c>
      <c r="F174" s="59" t="s">
        <v>2619</v>
      </c>
      <c r="G174" s="59" t="s">
        <v>340</v>
      </c>
      <c r="H174" s="59" t="s">
        <v>352</v>
      </c>
      <c r="I174" s="59">
        <v>3</v>
      </c>
      <c r="J174" s="61">
        <v>1.0385416666666666E-2</v>
      </c>
      <c r="K174" s="61">
        <v>1.005787037037037E-3</v>
      </c>
      <c r="L174" s="61">
        <v>2.6484953703703705E-2</v>
      </c>
      <c r="M174" s="61">
        <v>9.0393518518518514E-4</v>
      </c>
      <c r="N174" s="61">
        <v>2.0302083333333332E-2</v>
      </c>
      <c r="O174" s="61">
        <v>5.9084490740740736E-2</v>
      </c>
      <c r="P174" s="59" t="s">
        <v>2620</v>
      </c>
      <c r="Q174" s="8">
        <f t="shared" si="3"/>
        <v>699</v>
      </c>
      <c r="R174" s="14"/>
      <c r="S174" s="8"/>
      <c r="T174" s="8"/>
    </row>
    <row r="175" spans="1:20" ht="15.75" customHeight="1">
      <c r="A175" s="59">
        <v>40</v>
      </c>
      <c r="B175" s="59">
        <v>193</v>
      </c>
      <c r="C175" s="60" t="s">
        <v>135</v>
      </c>
      <c r="D175" s="59" t="s">
        <v>2204</v>
      </c>
      <c r="E175" s="59" t="s">
        <v>2205</v>
      </c>
      <c r="F175" s="59" t="s">
        <v>138</v>
      </c>
      <c r="G175" s="59" t="s">
        <v>319</v>
      </c>
      <c r="H175" s="59" t="s">
        <v>139</v>
      </c>
      <c r="I175" s="59">
        <v>2</v>
      </c>
      <c r="J175" s="61">
        <v>1.1474537037037037E-2</v>
      </c>
      <c r="K175" s="61">
        <v>1.181712962962963E-3</v>
      </c>
      <c r="L175" s="61">
        <v>2.7642361111111114E-2</v>
      </c>
      <c r="M175" s="61">
        <v>4.2939814814814815E-4</v>
      </c>
      <c r="N175" s="61">
        <v>1.8695601851851852E-2</v>
      </c>
      <c r="O175" s="61">
        <v>5.9425925925925924E-2</v>
      </c>
      <c r="P175" s="59" t="s">
        <v>2621</v>
      </c>
      <c r="Q175" s="8">
        <f t="shared" si="3"/>
        <v>695</v>
      </c>
      <c r="R175" s="14"/>
      <c r="S175" s="8"/>
      <c r="T175" s="8"/>
    </row>
    <row r="176" spans="1:20" ht="15.75" customHeight="1">
      <c r="A176" s="59">
        <v>41</v>
      </c>
      <c r="B176" s="59">
        <v>168</v>
      </c>
      <c r="C176" s="60" t="s">
        <v>135</v>
      </c>
      <c r="D176" s="59" t="s">
        <v>299</v>
      </c>
      <c r="E176" s="59" t="s">
        <v>300</v>
      </c>
      <c r="F176" s="59" t="s">
        <v>138</v>
      </c>
      <c r="G176" s="59" t="s">
        <v>340</v>
      </c>
      <c r="H176" s="59" t="s">
        <v>420</v>
      </c>
      <c r="I176" s="59">
        <v>4</v>
      </c>
      <c r="J176" s="61">
        <v>1.3525462962962961E-2</v>
      </c>
      <c r="K176" s="61">
        <v>1.1909722222222224E-3</v>
      </c>
      <c r="L176" s="61">
        <v>2.7125E-2</v>
      </c>
      <c r="M176" s="61">
        <v>1.0115740740740742E-3</v>
      </c>
      <c r="N176" s="61">
        <v>1.6591435185185185E-2</v>
      </c>
      <c r="O176" s="61">
        <v>5.9446759259259255E-2</v>
      </c>
      <c r="P176" s="59" t="s">
        <v>2622</v>
      </c>
      <c r="Q176" s="8">
        <f t="shared" si="3"/>
        <v>695</v>
      </c>
      <c r="R176" s="14"/>
      <c r="S176" s="8"/>
      <c r="T176" s="8"/>
    </row>
    <row r="177" spans="1:20" ht="15.75" customHeight="1">
      <c r="A177" s="59">
        <v>42</v>
      </c>
      <c r="B177" s="59">
        <v>222</v>
      </c>
      <c r="C177" s="60" t="s">
        <v>135</v>
      </c>
      <c r="D177" s="59" t="s">
        <v>926</v>
      </c>
      <c r="E177" s="59" t="s">
        <v>927</v>
      </c>
      <c r="F177" s="59"/>
      <c r="G177" s="59" t="s">
        <v>340</v>
      </c>
      <c r="H177" s="59" t="s">
        <v>624</v>
      </c>
      <c r="I177" s="59">
        <v>2</v>
      </c>
      <c r="J177" s="61">
        <v>1.2780092592592593E-2</v>
      </c>
      <c r="K177" s="61">
        <v>1.2893518518518519E-3</v>
      </c>
      <c r="L177" s="61">
        <v>2.6863425925925926E-2</v>
      </c>
      <c r="M177" s="61">
        <v>9.0972222222222214E-4</v>
      </c>
      <c r="N177" s="61">
        <v>1.7853009259259259E-2</v>
      </c>
      <c r="O177" s="61">
        <v>5.9697916666666663E-2</v>
      </c>
      <c r="P177" s="59" t="s">
        <v>2623</v>
      </c>
      <c r="Q177" s="8">
        <f t="shared" si="3"/>
        <v>692</v>
      </c>
      <c r="R177" s="14"/>
      <c r="S177" s="8"/>
      <c r="T177" s="8"/>
    </row>
    <row r="178" spans="1:20" ht="15.75" customHeight="1">
      <c r="A178" s="59">
        <v>43</v>
      </c>
      <c r="B178" s="59">
        <v>235</v>
      </c>
      <c r="C178" s="60" t="s">
        <v>135</v>
      </c>
      <c r="D178" s="59" t="s">
        <v>2624</v>
      </c>
      <c r="E178" s="59" t="s">
        <v>2625</v>
      </c>
      <c r="F178" s="59"/>
      <c r="G178" s="59" t="s">
        <v>340</v>
      </c>
      <c r="H178" s="59" t="s">
        <v>341</v>
      </c>
      <c r="I178" s="59">
        <v>3</v>
      </c>
      <c r="J178" s="61">
        <v>1.1664351851851851E-2</v>
      </c>
      <c r="K178" s="61">
        <v>1.3217592592592593E-3</v>
      </c>
      <c r="L178" s="61">
        <v>2.6186342592592591E-2</v>
      </c>
      <c r="M178" s="61">
        <v>9.2708333333333325E-4</v>
      </c>
      <c r="N178" s="61">
        <v>1.973263888888889E-2</v>
      </c>
      <c r="O178" s="61">
        <v>5.9834490740740737E-2</v>
      </c>
      <c r="P178" s="59" t="s">
        <v>2626</v>
      </c>
      <c r="Q178" s="8">
        <f t="shared" si="3"/>
        <v>691</v>
      </c>
      <c r="R178" s="14"/>
      <c r="S178" s="8"/>
      <c r="T178" s="8"/>
    </row>
    <row r="179" spans="1:20" ht="15.75" customHeight="1">
      <c r="A179" s="59">
        <v>44</v>
      </c>
      <c r="B179" s="59">
        <v>213</v>
      </c>
      <c r="C179" s="60" t="s">
        <v>135</v>
      </c>
      <c r="D179" s="59" t="s">
        <v>2627</v>
      </c>
      <c r="E179" s="59" t="s">
        <v>2628</v>
      </c>
      <c r="F179" s="59" t="s">
        <v>199</v>
      </c>
      <c r="G179" s="59" t="s">
        <v>319</v>
      </c>
      <c r="H179" s="59" t="s">
        <v>139</v>
      </c>
      <c r="I179" s="59">
        <v>3</v>
      </c>
      <c r="J179" s="61">
        <v>1.2596064814814815E-2</v>
      </c>
      <c r="K179" s="61">
        <v>1.0231481481481482E-3</v>
      </c>
      <c r="L179" s="61">
        <v>2.714467592592593E-2</v>
      </c>
      <c r="M179" s="61">
        <v>5.9374999999999999E-4</v>
      </c>
      <c r="N179" s="61">
        <v>1.8682870370370371E-2</v>
      </c>
      <c r="O179" s="61">
        <v>6.0041666666666674E-2</v>
      </c>
      <c r="P179" s="59" t="s">
        <v>2629</v>
      </c>
      <c r="Q179" s="8">
        <f t="shared" si="3"/>
        <v>688</v>
      </c>
      <c r="R179" s="14"/>
      <c r="S179" s="8"/>
      <c r="T179" s="8"/>
    </row>
    <row r="180" spans="1:20" ht="15.75" customHeight="1">
      <c r="A180" s="59">
        <v>45</v>
      </c>
      <c r="B180" s="59">
        <v>198</v>
      </c>
      <c r="C180" s="60" t="s">
        <v>135</v>
      </c>
      <c r="D180" s="59" t="s">
        <v>923</v>
      </c>
      <c r="E180" s="59" t="s">
        <v>924</v>
      </c>
      <c r="F180" s="59" t="s">
        <v>199</v>
      </c>
      <c r="G180" s="59" t="s">
        <v>319</v>
      </c>
      <c r="H180" s="59" t="s">
        <v>149</v>
      </c>
      <c r="I180" s="59">
        <v>1</v>
      </c>
      <c r="J180" s="61">
        <v>1.0585648148148148E-2</v>
      </c>
      <c r="K180" s="61">
        <v>1.0543981481481481E-3</v>
      </c>
      <c r="L180" s="61">
        <v>2.7739583333333331E-2</v>
      </c>
      <c r="M180" s="61">
        <v>8.8657407407407402E-4</v>
      </c>
      <c r="N180" s="61">
        <v>1.9814814814814816E-2</v>
      </c>
      <c r="O180" s="61">
        <v>6.0084490740740744E-2</v>
      </c>
      <c r="P180" s="59" t="s">
        <v>2630</v>
      </c>
      <c r="Q180" s="8">
        <f t="shared" si="3"/>
        <v>688</v>
      </c>
      <c r="R180" s="14"/>
      <c r="S180" s="8"/>
      <c r="T180" s="8"/>
    </row>
    <row r="181" spans="1:20" ht="15.75" customHeight="1">
      <c r="A181" s="59">
        <v>46</v>
      </c>
      <c r="B181" s="59">
        <v>182</v>
      </c>
      <c r="C181" s="60" t="s">
        <v>135</v>
      </c>
      <c r="D181" s="59" t="s">
        <v>2631</v>
      </c>
      <c r="E181" s="59" t="s">
        <v>2632</v>
      </c>
      <c r="F181" s="59" t="s">
        <v>153</v>
      </c>
      <c r="G181" s="59" t="s">
        <v>340</v>
      </c>
      <c r="H181" s="59" t="s">
        <v>420</v>
      </c>
      <c r="I181" s="59">
        <v>5</v>
      </c>
      <c r="J181" s="61">
        <v>1.1793981481481482E-2</v>
      </c>
      <c r="K181" s="61">
        <v>1.1863425925925926E-3</v>
      </c>
      <c r="L181" s="61">
        <v>2.7729166666666669E-2</v>
      </c>
      <c r="M181" s="61">
        <v>9.9189814814814822E-4</v>
      </c>
      <c r="N181" s="61">
        <v>1.9226851851851853E-2</v>
      </c>
      <c r="O181" s="61">
        <v>6.0931712962962965E-2</v>
      </c>
      <c r="P181" s="59" t="s">
        <v>2633</v>
      </c>
      <c r="Q181" s="8">
        <f t="shared" si="3"/>
        <v>678</v>
      </c>
      <c r="R181" s="14"/>
      <c r="S181" s="8"/>
      <c r="T181" s="8"/>
    </row>
    <row r="182" spans="1:20" ht="15.75" customHeight="1">
      <c r="A182" s="59">
        <v>47</v>
      </c>
      <c r="B182" s="59">
        <v>208</v>
      </c>
      <c r="C182" s="60" t="s">
        <v>135</v>
      </c>
      <c r="D182" s="59" t="s">
        <v>961</v>
      </c>
      <c r="E182" s="59" t="s">
        <v>962</v>
      </c>
      <c r="F182" s="59"/>
      <c r="G182" s="59" t="s">
        <v>319</v>
      </c>
      <c r="H182" s="59" t="s">
        <v>159</v>
      </c>
      <c r="I182" s="59">
        <v>1</v>
      </c>
      <c r="J182" s="61">
        <v>1.2793981481481483E-2</v>
      </c>
      <c r="K182" s="61">
        <v>1.4398148148148148E-3</v>
      </c>
      <c r="L182" s="61">
        <v>2.8840277777777781E-2</v>
      </c>
      <c r="M182" s="61">
        <v>8.9351851851851853E-4</v>
      </c>
      <c r="N182" s="61">
        <v>1.6984953703703703E-2</v>
      </c>
      <c r="O182" s="61">
        <v>6.0954861111111112E-2</v>
      </c>
      <c r="P182" s="59" t="s">
        <v>2634</v>
      </c>
      <c r="Q182" s="8">
        <f t="shared" si="3"/>
        <v>678</v>
      </c>
      <c r="R182" s="14"/>
      <c r="S182" s="8"/>
      <c r="T182" s="8"/>
    </row>
    <row r="183" spans="1:20" ht="15.75" customHeight="1">
      <c r="A183" s="59">
        <v>48</v>
      </c>
      <c r="B183" s="59">
        <v>191</v>
      </c>
      <c r="C183" s="60" t="s">
        <v>140</v>
      </c>
      <c r="D183" s="59" t="s">
        <v>892</v>
      </c>
      <c r="E183" s="59" t="s">
        <v>893</v>
      </c>
      <c r="F183" s="59" t="s">
        <v>2570</v>
      </c>
      <c r="G183" s="59" t="s">
        <v>319</v>
      </c>
      <c r="H183" s="59"/>
      <c r="I183" s="59"/>
      <c r="J183" s="61">
        <v>1.1121527777777777E-2</v>
      </c>
      <c r="K183" s="61">
        <v>8.1712962962962956E-4</v>
      </c>
      <c r="L183" s="61">
        <v>2.8190972222222221E-2</v>
      </c>
      <c r="M183" s="61">
        <v>3.2407407407407406E-4</v>
      </c>
      <c r="N183" s="61">
        <v>2.0762731481481483E-2</v>
      </c>
      <c r="O183" s="61">
        <v>6.1218750000000002E-2</v>
      </c>
      <c r="P183" s="59" t="s">
        <v>2635</v>
      </c>
      <c r="Q183" s="8">
        <f t="shared" si="3"/>
        <v>675</v>
      </c>
      <c r="R183" s="14"/>
      <c r="S183" s="8"/>
      <c r="T183" s="8"/>
    </row>
    <row r="184" spans="1:20" ht="15.75" customHeight="1">
      <c r="A184" s="59">
        <v>49</v>
      </c>
      <c r="B184" s="59">
        <v>233</v>
      </c>
      <c r="C184" s="60" t="s">
        <v>135</v>
      </c>
      <c r="D184" s="59" t="s">
        <v>2636</v>
      </c>
      <c r="E184" s="59" t="s">
        <v>2637</v>
      </c>
      <c r="F184" s="59"/>
      <c r="G184" s="59" t="s">
        <v>319</v>
      </c>
      <c r="H184" s="59" t="s">
        <v>139</v>
      </c>
      <c r="I184" s="59">
        <v>4</v>
      </c>
      <c r="J184" s="61">
        <v>1.3357638888888888E-2</v>
      </c>
      <c r="K184" s="61">
        <v>1.528935185185185E-3</v>
      </c>
      <c r="L184" s="61">
        <v>2.8503472222222222E-2</v>
      </c>
      <c r="M184" s="61">
        <v>6.5277777777777773E-4</v>
      </c>
      <c r="N184" s="61">
        <v>1.7186342592592593E-2</v>
      </c>
      <c r="O184" s="61">
        <v>6.1230324074074076E-2</v>
      </c>
      <c r="P184" s="59" t="s">
        <v>2638</v>
      </c>
      <c r="Q184" s="8">
        <f t="shared" si="3"/>
        <v>675</v>
      </c>
      <c r="R184" s="14"/>
      <c r="S184" s="8"/>
      <c r="T184" s="8"/>
    </row>
    <row r="185" spans="1:20" ht="15.75" customHeight="1">
      <c r="A185" s="59">
        <v>50</v>
      </c>
      <c r="B185" s="59">
        <v>179</v>
      </c>
      <c r="C185" s="60" t="s">
        <v>135</v>
      </c>
      <c r="D185" s="59" t="s">
        <v>2219</v>
      </c>
      <c r="E185" s="59" t="s">
        <v>2220</v>
      </c>
      <c r="F185" s="59" t="s">
        <v>2221</v>
      </c>
      <c r="G185" s="59" t="s">
        <v>340</v>
      </c>
      <c r="H185" s="59" t="s">
        <v>348</v>
      </c>
      <c r="I185" s="59">
        <v>6</v>
      </c>
      <c r="J185" s="61">
        <v>1.3428240740740741E-2</v>
      </c>
      <c r="K185" s="61">
        <v>1.4479166666666666E-3</v>
      </c>
      <c r="L185" s="61">
        <v>2.5753472222222223E-2</v>
      </c>
      <c r="M185" s="61">
        <v>8.5416666666666659E-4</v>
      </c>
      <c r="N185" s="61">
        <v>2.0109953703703703E-2</v>
      </c>
      <c r="O185" s="61">
        <v>6.1596064814814812E-2</v>
      </c>
      <c r="P185" s="59" t="s">
        <v>2639</v>
      </c>
      <c r="Q185" s="8">
        <f t="shared" si="3"/>
        <v>671</v>
      </c>
      <c r="R185" s="14"/>
      <c r="S185" s="8"/>
      <c r="T185" s="8"/>
    </row>
    <row r="186" spans="1:20" ht="15.75" customHeight="1">
      <c r="A186" s="59">
        <v>51</v>
      </c>
      <c r="B186" s="59">
        <v>184</v>
      </c>
      <c r="C186" s="60" t="s">
        <v>135</v>
      </c>
      <c r="D186" s="59" t="s">
        <v>929</v>
      </c>
      <c r="E186" s="59" t="s">
        <v>930</v>
      </c>
      <c r="F186" s="59" t="s">
        <v>138</v>
      </c>
      <c r="G186" s="59" t="s">
        <v>319</v>
      </c>
      <c r="H186" s="59" t="s">
        <v>163</v>
      </c>
      <c r="I186" s="59">
        <v>1</v>
      </c>
      <c r="J186" s="61">
        <v>1.1954861111111112E-2</v>
      </c>
      <c r="K186" s="61">
        <v>1.517361111111111E-3</v>
      </c>
      <c r="L186" s="61">
        <v>2.8142361111111111E-2</v>
      </c>
      <c r="M186" s="61">
        <v>6.4236111111111113E-4</v>
      </c>
      <c r="N186" s="61">
        <v>1.9483796296296298E-2</v>
      </c>
      <c r="O186" s="61">
        <v>6.1743055555555558E-2</v>
      </c>
      <c r="P186" s="59" t="s">
        <v>2640</v>
      </c>
      <c r="Q186" s="8">
        <f t="shared" si="3"/>
        <v>669</v>
      </c>
      <c r="R186" s="14"/>
      <c r="S186" s="8"/>
      <c r="T186" s="8"/>
    </row>
    <row r="187" spans="1:20" ht="15.75" customHeight="1">
      <c r="A187" s="59">
        <v>52</v>
      </c>
      <c r="B187" s="59">
        <v>157</v>
      </c>
      <c r="C187" s="60" t="s">
        <v>135</v>
      </c>
      <c r="D187" s="59" t="s">
        <v>1294</v>
      </c>
      <c r="E187" s="59" t="s">
        <v>1295</v>
      </c>
      <c r="F187" s="59"/>
      <c r="G187" s="59" t="s">
        <v>340</v>
      </c>
      <c r="H187" s="59" t="s">
        <v>352</v>
      </c>
      <c r="I187" s="59">
        <v>4</v>
      </c>
      <c r="J187" s="61">
        <v>1.2563657407407407E-2</v>
      </c>
      <c r="K187" s="61">
        <v>1.0833333333333333E-3</v>
      </c>
      <c r="L187" s="61">
        <v>2.7353009259259261E-2</v>
      </c>
      <c r="M187" s="61">
        <v>5.9027777777777778E-4</v>
      </c>
      <c r="N187" s="61">
        <v>2.0297453703703703E-2</v>
      </c>
      <c r="O187" s="61">
        <v>6.1890046296296297E-2</v>
      </c>
      <c r="P187" s="59" t="s">
        <v>2641</v>
      </c>
      <c r="Q187" s="8">
        <f t="shared" si="3"/>
        <v>668</v>
      </c>
      <c r="R187" s="14"/>
      <c r="S187" s="8"/>
      <c r="T187" s="8"/>
    </row>
    <row r="188" spans="1:20" ht="15.75" customHeight="1">
      <c r="A188" s="59">
        <v>53</v>
      </c>
      <c r="B188" s="59">
        <v>163</v>
      </c>
      <c r="C188" s="60" t="s">
        <v>135</v>
      </c>
      <c r="D188" s="59" t="s">
        <v>902</v>
      </c>
      <c r="E188" s="59" t="s">
        <v>903</v>
      </c>
      <c r="F188" s="59"/>
      <c r="G188" s="59" t="s">
        <v>340</v>
      </c>
      <c r="H188" s="59" t="s">
        <v>420</v>
      </c>
      <c r="I188" s="59">
        <v>6</v>
      </c>
      <c r="J188" s="61">
        <v>1.4549768518518517E-2</v>
      </c>
      <c r="K188" s="61">
        <v>1.1712962962962964E-3</v>
      </c>
      <c r="L188" s="61">
        <v>2.7103009259259257E-2</v>
      </c>
      <c r="M188" s="61">
        <v>5.0925925925925921E-4</v>
      </c>
      <c r="N188" s="61">
        <v>1.8756944444444444E-2</v>
      </c>
      <c r="O188" s="61">
        <v>6.209143518518518E-2</v>
      </c>
      <c r="P188" s="59" t="s">
        <v>2642</v>
      </c>
      <c r="Q188" s="8">
        <f t="shared" si="3"/>
        <v>666</v>
      </c>
      <c r="R188" s="14"/>
      <c r="S188" s="8"/>
      <c r="T188" s="8"/>
    </row>
    <row r="189" spans="1:20" ht="15.75" customHeight="1">
      <c r="A189" s="59">
        <v>54</v>
      </c>
      <c r="B189" s="59">
        <v>154</v>
      </c>
      <c r="C189" s="60" t="s">
        <v>135</v>
      </c>
      <c r="D189" s="59" t="s">
        <v>2643</v>
      </c>
      <c r="E189" s="59" t="s">
        <v>2644</v>
      </c>
      <c r="F189" s="59"/>
      <c r="G189" s="59" t="s">
        <v>340</v>
      </c>
      <c r="H189" s="59" t="s">
        <v>641</v>
      </c>
      <c r="I189" s="59">
        <v>4</v>
      </c>
      <c r="J189" s="61">
        <v>1.1238425925925926E-2</v>
      </c>
      <c r="K189" s="61">
        <v>1.6435185185185185E-3</v>
      </c>
      <c r="L189" s="61">
        <v>2.9156249999999998E-2</v>
      </c>
      <c r="M189" s="61">
        <v>1.0752314814814815E-3</v>
      </c>
      <c r="N189" s="61">
        <v>1.9413194444444445E-2</v>
      </c>
      <c r="O189" s="61">
        <v>6.252893518518518E-2</v>
      </c>
      <c r="P189" s="59" t="s">
        <v>2645</v>
      </c>
      <c r="Q189" s="8">
        <f t="shared" si="3"/>
        <v>661</v>
      </c>
      <c r="R189" s="14"/>
      <c r="S189" s="8"/>
      <c r="T189" s="8"/>
    </row>
    <row r="190" spans="1:20" ht="15.75" customHeight="1">
      <c r="A190" s="59">
        <v>55</v>
      </c>
      <c r="B190" s="59">
        <v>166</v>
      </c>
      <c r="C190" s="60" t="s">
        <v>135</v>
      </c>
      <c r="D190" s="59" t="s">
        <v>2646</v>
      </c>
      <c r="E190" s="59" t="s">
        <v>2647</v>
      </c>
      <c r="F190" s="59"/>
      <c r="G190" s="59" t="s">
        <v>340</v>
      </c>
      <c r="H190" s="59" t="s">
        <v>341</v>
      </c>
      <c r="I190" s="59">
        <v>4</v>
      </c>
      <c r="J190" s="61">
        <v>1.244675925925926E-2</v>
      </c>
      <c r="K190" s="61">
        <v>1.724537037037037E-3</v>
      </c>
      <c r="L190" s="61">
        <v>2.8415509259259258E-2</v>
      </c>
      <c r="M190" s="61">
        <v>8.6226851851851851E-4</v>
      </c>
      <c r="N190" s="61">
        <v>1.9217592592592595E-2</v>
      </c>
      <c r="O190" s="61">
        <v>6.2668981481481492E-2</v>
      </c>
      <c r="P190" s="59" t="s">
        <v>2648</v>
      </c>
      <c r="Q190" s="8">
        <f t="shared" si="3"/>
        <v>659</v>
      </c>
      <c r="R190" s="14"/>
      <c r="S190" s="8"/>
      <c r="T190" s="8"/>
    </row>
    <row r="191" spans="1:20" ht="15.75" customHeight="1">
      <c r="A191" s="59">
        <v>56</v>
      </c>
      <c r="B191" s="59">
        <v>207</v>
      </c>
      <c r="C191" s="60" t="s">
        <v>135</v>
      </c>
      <c r="D191" s="59" t="s">
        <v>2649</v>
      </c>
      <c r="E191" s="59" t="s">
        <v>2650</v>
      </c>
      <c r="F191" s="59"/>
      <c r="G191" s="59" t="s">
        <v>319</v>
      </c>
      <c r="H191" s="59" t="s">
        <v>139</v>
      </c>
      <c r="I191" s="59">
        <v>5</v>
      </c>
      <c r="J191" s="61">
        <v>1.254050925925926E-2</v>
      </c>
      <c r="K191" s="61">
        <v>1.5578703703703703E-3</v>
      </c>
      <c r="L191" s="61">
        <v>2.8153935185185185E-2</v>
      </c>
      <c r="M191" s="61">
        <v>5.8101851851851858E-4</v>
      </c>
      <c r="N191" s="61">
        <v>1.9916666666666666E-2</v>
      </c>
      <c r="O191" s="61">
        <v>6.2753472222222217E-2</v>
      </c>
      <c r="P191" s="59" t="s">
        <v>2651</v>
      </c>
      <c r="Q191" s="8">
        <f t="shared" si="3"/>
        <v>659</v>
      </c>
      <c r="R191" s="14"/>
      <c r="S191" s="8"/>
      <c r="T191" s="8"/>
    </row>
    <row r="192" spans="1:20" ht="15.75" customHeight="1">
      <c r="A192" s="59">
        <v>57</v>
      </c>
      <c r="B192" s="59">
        <v>185</v>
      </c>
      <c r="C192" s="60" t="s">
        <v>135</v>
      </c>
      <c r="D192" s="59" t="s">
        <v>1311</v>
      </c>
      <c r="E192" s="59" t="s">
        <v>1312</v>
      </c>
      <c r="F192" s="59"/>
      <c r="G192" s="59" t="s">
        <v>340</v>
      </c>
      <c r="H192" s="59" t="s">
        <v>341</v>
      </c>
      <c r="I192" s="59">
        <v>5</v>
      </c>
      <c r="J192" s="61">
        <v>1.2092592592592592E-2</v>
      </c>
      <c r="K192" s="61">
        <v>1.0902777777777779E-3</v>
      </c>
      <c r="L192" s="61">
        <v>2.810763888888889E-2</v>
      </c>
      <c r="M192" s="61">
        <v>9.0393518518518514E-4</v>
      </c>
      <c r="N192" s="61">
        <v>2.0921296296296295E-2</v>
      </c>
      <c r="O192" s="61">
        <v>6.3116898148148151E-2</v>
      </c>
      <c r="P192" s="59" t="s">
        <v>2652</v>
      </c>
      <c r="Q192" s="8">
        <f t="shared" si="3"/>
        <v>655</v>
      </c>
      <c r="R192" s="14"/>
      <c r="S192" s="8"/>
      <c r="T192" s="8"/>
    </row>
    <row r="193" spans="1:20" ht="15.75" customHeight="1">
      <c r="A193" s="59">
        <v>58</v>
      </c>
      <c r="B193" s="59">
        <v>167</v>
      </c>
      <c r="C193" s="60" t="s">
        <v>135</v>
      </c>
      <c r="D193" s="59" t="s">
        <v>1291</v>
      </c>
      <c r="E193" s="59" t="s">
        <v>1292</v>
      </c>
      <c r="F193" s="59" t="s">
        <v>138</v>
      </c>
      <c r="G193" s="59" t="s">
        <v>319</v>
      </c>
      <c r="H193" s="59" t="s">
        <v>163</v>
      </c>
      <c r="I193" s="59">
        <v>2</v>
      </c>
      <c r="J193" s="61">
        <v>1.6383101851851854E-2</v>
      </c>
      <c r="K193" s="61">
        <v>1.6412037037037037E-3</v>
      </c>
      <c r="L193" s="61">
        <v>2.7594907407407405E-2</v>
      </c>
      <c r="M193" s="61">
        <v>9.0856481481481485E-4</v>
      </c>
      <c r="N193" s="61">
        <v>1.6620370370370369E-2</v>
      </c>
      <c r="O193" s="61">
        <v>6.3151620370370379E-2</v>
      </c>
      <c r="P193" s="59" t="s">
        <v>2653</v>
      </c>
      <c r="Q193" s="8">
        <f t="shared" si="3"/>
        <v>654</v>
      </c>
      <c r="R193" s="14"/>
      <c r="S193" s="8"/>
      <c r="T193" s="8"/>
    </row>
    <row r="194" spans="1:20" ht="15.75" customHeight="1">
      <c r="A194" s="59">
        <v>59</v>
      </c>
      <c r="B194" s="59">
        <v>202</v>
      </c>
      <c r="C194" s="60" t="s">
        <v>135</v>
      </c>
      <c r="D194" s="59" t="s">
        <v>2271</v>
      </c>
      <c r="E194" s="59" t="s">
        <v>2272</v>
      </c>
      <c r="F194" s="59"/>
      <c r="G194" s="59" t="s">
        <v>340</v>
      </c>
      <c r="H194" s="59" t="s">
        <v>348</v>
      </c>
      <c r="I194" s="59">
        <v>7</v>
      </c>
      <c r="J194" s="61">
        <v>1.3104166666666667E-2</v>
      </c>
      <c r="K194" s="61">
        <v>1.1030092592592593E-3</v>
      </c>
      <c r="L194" s="61">
        <v>2.7203703703703706E-2</v>
      </c>
      <c r="M194" s="61">
        <v>1.0694444444444445E-3</v>
      </c>
      <c r="N194" s="61">
        <v>2.0925925925925924E-2</v>
      </c>
      <c r="O194" s="61">
        <v>6.3408564814814813E-2</v>
      </c>
      <c r="P194" s="59" t="s">
        <v>2654</v>
      </c>
      <c r="Q194" s="8">
        <f t="shared" si="3"/>
        <v>652</v>
      </c>
      <c r="R194" s="14"/>
      <c r="S194" s="8"/>
      <c r="T194" s="8"/>
    </row>
    <row r="195" spans="1:20" ht="15.75" customHeight="1">
      <c r="A195" s="59">
        <v>60</v>
      </c>
      <c r="B195" s="59">
        <v>181</v>
      </c>
      <c r="C195" s="60" t="s">
        <v>135</v>
      </c>
      <c r="D195" s="59" t="s">
        <v>2655</v>
      </c>
      <c r="E195" s="59" t="s">
        <v>2656</v>
      </c>
      <c r="F195" s="59"/>
      <c r="G195" s="59" t="s">
        <v>340</v>
      </c>
      <c r="H195" s="59" t="s">
        <v>352</v>
      </c>
      <c r="I195" s="59">
        <v>5</v>
      </c>
      <c r="J195" s="61">
        <v>1.104976851851852E-2</v>
      </c>
      <c r="K195" s="61">
        <v>1.6122685185185187E-3</v>
      </c>
      <c r="L195" s="61">
        <v>3.1940972222222218E-2</v>
      </c>
      <c r="M195" s="61">
        <v>2.9166666666666664E-4</v>
      </c>
      <c r="N195" s="61">
        <v>1.8518518518518517E-2</v>
      </c>
      <c r="O195" s="61">
        <v>6.3415509259259262E-2</v>
      </c>
      <c r="P195" s="59" t="s">
        <v>2657</v>
      </c>
      <c r="Q195" s="8">
        <f t="shared" si="3"/>
        <v>652</v>
      </c>
      <c r="R195" s="14"/>
      <c r="S195" s="8"/>
      <c r="T195" s="8"/>
    </row>
    <row r="196" spans="1:20" ht="15.75" customHeight="1">
      <c r="A196" s="59">
        <v>61</v>
      </c>
      <c r="B196" s="59">
        <v>175</v>
      </c>
      <c r="C196" s="60" t="s">
        <v>135</v>
      </c>
      <c r="D196" s="59" t="s">
        <v>938</v>
      </c>
      <c r="E196" s="59" t="s">
        <v>939</v>
      </c>
      <c r="F196" s="59" t="s">
        <v>940</v>
      </c>
      <c r="G196" s="59" t="s">
        <v>340</v>
      </c>
      <c r="H196" s="59" t="s">
        <v>624</v>
      </c>
      <c r="I196" s="59">
        <v>3</v>
      </c>
      <c r="J196" s="61">
        <v>1.6372685185185185E-2</v>
      </c>
      <c r="K196" s="61">
        <v>9.7685185185185201E-4</v>
      </c>
      <c r="L196" s="61">
        <v>2.8325231481481482E-2</v>
      </c>
      <c r="M196" s="61">
        <v>4.9652777777777781E-4</v>
      </c>
      <c r="N196" s="61">
        <v>1.7303240740740741E-2</v>
      </c>
      <c r="O196" s="61">
        <v>6.3476851851851854E-2</v>
      </c>
      <c r="P196" s="59" t="s">
        <v>2658</v>
      </c>
      <c r="Q196" s="8">
        <f t="shared" si="3"/>
        <v>651</v>
      </c>
      <c r="R196" s="14"/>
      <c r="S196" s="8"/>
      <c r="T196" s="8"/>
    </row>
    <row r="197" spans="1:20" ht="15.75" customHeight="1">
      <c r="A197" s="59">
        <v>62</v>
      </c>
      <c r="B197" s="59">
        <v>151</v>
      </c>
      <c r="C197" s="60" t="s">
        <v>135</v>
      </c>
      <c r="D197" s="59" t="s">
        <v>2659</v>
      </c>
      <c r="E197" s="59" t="s">
        <v>2660</v>
      </c>
      <c r="F197" s="59" t="s">
        <v>2661</v>
      </c>
      <c r="G197" s="59" t="s">
        <v>319</v>
      </c>
      <c r="H197" s="59" t="s">
        <v>238</v>
      </c>
      <c r="I197" s="59">
        <v>1</v>
      </c>
      <c r="J197" s="61">
        <v>1.0547453703703703E-2</v>
      </c>
      <c r="K197" s="61">
        <v>1.0092592592592592E-3</v>
      </c>
      <c r="L197" s="61">
        <v>2.8100694444444446E-2</v>
      </c>
      <c r="M197" s="61">
        <v>6.8634259259259256E-4</v>
      </c>
      <c r="N197" s="61">
        <v>2.3290509259259257E-2</v>
      </c>
      <c r="O197" s="61">
        <v>6.3635416666666667E-2</v>
      </c>
      <c r="P197" s="59" t="s">
        <v>2662</v>
      </c>
      <c r="Q197" s="8">
        <f t="shared" si="3"/>
        <v>649</v>
      </c>
      <c r="R197" s="14"/>
      <c r="S197" s="8"/>
      <c r="T197" s="8"/>
    </row>
    <row r="198" spans="1:20" ht="15.75" customHeight="1">
      <c r="A198" s="59">
        <v>63</v>
      </c>
      <c r="B198" s="59">
        <v>223</v>
      </c>
      <c r="C198" s="60" t="s">
        <v>135</v>
      </c>
      <c r="D198" s="59" t="s">
        <v>2663</v>
      </c>
      <c r="E198" s="59" t="s">
        <v>2664</v>
      </c>
      <c r="F198" s="59" t="s">
        <v>1802</v>
      </c>
      <c r="G198" s="59" t="s">
        <v>319</v>
      </c>
      <c r="H198" s="59" t="s">
        <v>242</v>
      </c>
      <c r="I198" s="59">
        <v>1</v>
      </c>
      <c r="J198" s="61">
        <v>1.5255787037037036E-2</v>
      </c>
      <c r="K198" s="61">
        <v>1.724537037037037E-3</v>
      </c>
      <c r="L198" s="61">
        <v>2.8972222222222219E-2</v>
      </c>
      <c r="M198" s="61">
        <v>5.8796296296296298E-4</v>
      </c>
      <c r="N198" s="61">
        <v>1.714699074074074E-2</v>
      </c>
      <c r="O198" s="61">
        <v>6.368981481481481E-2</v>
      </c>
      <c r="P198" s="59" t="s">
        <v>2665</v>
      </c>
      <c r="Q198" s="8">
        <f t="shared" si="3"/>
        <v>649</v>
      </c>
      <c r="R198" s="14"/>
      <c r="S198" s="8"/>
      <c r="T198" s="8"/>
    </row>
    <row r="199" spans="1:20" ht="15.75" customHeight="1">
      <c r="A199" s="59">
        <v>64</v>
      </c>
      <c r="B199" s="59">
        <v>230</v>
      </c>
      <c r="C199" s="60" t="s">
        <v>135</v>
      </c>
      <c r="D199" s="59" t="s">
        <v>973</v>
      </c>
      <c r="E199" s="59" t="s">
        <v>974</v>
      </c>
      <c r="F199" s="59" t="s">
        <v>2666</v>
      </c>
      <c r="G199" s="59" t="s">
        <v>340</v>
      </c>
      <c r="H199" s="59" t="s">
        <v>357</v>
      </c>
      <c r="I199" s="59">
        <v>5</v>
      </c>
      <c r="J199" s="61">
        <v>1.3331018518518518E-2</v>
      </c>
      <c r="K199" s="61">
        <v>1.4710648148148148E-3</v>
      </c>
      <c r="L199" s="61">
        <v>2.6342592592592591E-2</v>
      </c>
      <c r="M199" s="61">
        <v>8.5069444444444439E-4</v>
      </c>
      <c r="N199" s="61">
        <v>2.1707175925925925E-2</v>
      </c>
      <c r="O199" s="61">
        <v>6.3704861111111122E-2</v>
      </c>
      <c r="P199" s="59" t="s">
        <v>2667</v>
      </c>
      <c r="Q199" s="8">
        <f t="shared" si="3"/>
        <v>649</v>
      </c>
      <c r="R199" s="14"/>
      <c r="S199" s="8"/>
      <c r="T199" s="8"/>
    </row>
    <row r="200" spans="1:20" ht="15.75" customHeight="1">
      <c r="A200" s="59">
        <v>65</v>
      </c>
      <c r="B200" s="59">
        <v>158</v>
      </c>
      <c r="C200" s="60" t="s">
        <v>135</v>
      </c>
      <c r="D200" s="59" t="s">
        <v>2668</v>
      </c>
      <c r="E200" s="59" t="s">
        <v>2669</v>
      </c>
      <c r="F200" s="59"/>
      <c r="G200" s="59" t="s">
        <v>340</v>
      </c>
      <c r="H200" s="59" t="s">
        <v>341</v>
      </c>
      <c r="I200" s="59">
        <v>6</v>
      </c>
      <c r="J200" s="61">
        <v>1.1766203703703704E-2</v>
      </c>
      <c r="K200" s="61">
        <v>1.7951388888888889E-3</v>
      </c>
      <c r="L200" s="61">
        <v>2.9532407407407407E-2</v>
      </c>
      <c r="M200" s="61">
        <v>3.6574074074074075E-4</v>
      </c>
      <c r="N200" s="61">
        <v>2.0310185185185185E-2</v>
      </c>
      <c r="O200" s="61">
        <v>6.3771990740740733E-2</v>
      </c>
      <c r="P200" s="59" t="s">
        <v>2670</v>
      </c>
      <c r="Q200" s="8">
        <f t="shared" si="3"/>
        <v>648</v>
      </c>
      <c r="R200" s="14"/>
      <c r="S200" s="8"/>
      <c r="T200" s="8"/>
    </row>
    <row r="201" spans="1:20" ht="15.75" customHeight="1">
      <c r="A201" s="59">
        <v>66</v>
      </c>
      <c r="B201" s="59">
        <v>226</v>
      </c>
      <c r="C201" s="60" t="s">
        <v>135</v>
      </c>
      <c r="D201" s="59" t="s">
        <v>932</v>
      </c>
      <c r="E201" s="59" t="s">
        <v>933</v>
      </c>
      <c r="F201" s="59" t="s">
        <v>199</v>
      </c>
      <c r="G201" s="59" t="s">
        <v>340</v>
      </c>
      <c r="H201" s="59" t="s">
        <v>348</v>
      </c>
      <c r="I201" s="59">
        <v>8</v>
      </c>
      <c r="J201" s="61">
        <v>1.5162037037037036E-2</v>
      </c>
      <c r="K201" s="61">
        <v>1.5486111111111113E-3</v>
      </c>
      <c r="L201" s="61">
        <v>2.7834490740740743E-2</v>
      </c>
      <c r="M201" s="61">
        <v>6.168981481481481E-4</v>
      </c>
      <c r="N201" s="61">
        <v>1.9432870370370371E-2</v>
      </c>
      <c r="O201" s="61">
        <v>6.4596064814814821E-2</v>
      </c>
      <c r="P201" s="59" t="s">
        <v>2671</v>
      </c>
      <c r="Q201" s="8">
        <f t="shared" ref="Q201:Q217" si="4">IFERROR(ROUND($O$136/O201*900,0),0)</f>
        <v>640</v>
      </c>
      <c r="R201" s="14"/>
      <c r="S201" s="8"/>
      <c r="T201" s="8"/>
    </row>
    <row r="202" spans="1:20" ht="15.75" customHeight="1">
      <c r="A202" s="59">
        <v>67</v>
      </c>
      <c r="B202" s="59">
        <v>199</v>
      </c>
      <c r="C202" s="60" t="s">
        <v>135</v>
      </c>
      <c r="D202" s="59" t="s">
        <v>2672</v>
      </c>
      <c r="E202" s="59" t="s">
        <v>2673</v>
      </c>
      <c r="F202" s="59"/>
      <c r="G202" s="59" t="s">
        <v>340</v>
      </c>
      <c r="H202" s="59" t="s">
        <v>352</v>
      </c>
      <c r="I202" s="59">
        <v>6</v>
      </c>
      <c r="J202" s="61">
        <v>1.2541666666666666E-2</v>
      </c>
      <c r="K202" s="61">
        <v>2.4780092592592592E-3</v>
      </c>
      <c r="L202" s="61">
        <v>2.8252314814814813E-2</v>
      </c>
      <c r="M202" s="61">
        <v>1.462962962962963E-3</v>
      </c>
      <c r="N202" s="61">
        <v>2.0043981481481482E-2</v>
      </c>
      <c r="O202" s="61">
        <v>6.4781249999999999E-2</v>
      </c>
      <c r="P202" s="59" t="s">
        <v>969</v>
      </c>
      <c r="Q202" s="8">
        <f t="shared" si="4"/>
        <v>638</v>
      </c>
      <c r="R202" s="14"/>
      <c r="S202" s="8"/>
      <c r="T202" s="8"/>
    </row>
    <row r="203" spans="1:20" ht="15.75" customHeight="1">
      <c r="A203" s="59">
        <v>68</v>
      </c>
      <c r="B203" s="59">
        <v>178</v>
      </c>
      <c r="C203" s="60" t="s">
        <v>135</v>
      </c>
      <c r="D203" s="59" t="s">
        <v>2286</v>
      </c>
      <c r="E203" s="59" t="s">
        <v>2287</v>
      </c>
      <c r="F203" s="59" t="s">
        <v>2221</v>
      </c>
      <c r="G203" s="59" t="s">
        <v>340</v>
      </c>
      <c r="H203" s="59" t="s">
        <v>348</v>
      </c>
      <c r="I203" s="59">
        <v>9</v>
      </c>
      <c r="J203" s="61">
        <v>1.2593749999999999E-2</v>
      </c>
      <c r="K203" s="61">
        <v>1.5625000000000001E-3</v>
      </c>
      <c r="L203" s="61">
        <v>2.7806712962962964E-2</v>
      </c>
      <c r="M203" s="61">
        <v>3.1250000000000001E-4</v>
      </c>
      <c r="N203" s="61">
        <v>2.2667824074074073E-2</v>
      </c>
      <c r="O203" s="61">
        <v>6.4945601851851859E-2</v>
      </c>
      <c r="P203" s="59" t="s">
        <v>2674</v>
      </c>
      <c r="Q203" s="8">
        <f t="shared" si="4"/>
        <v>636</v>
      </c>
      <c r="R203" s="14"/>
      <c r="S203" s="8"/>
      <c r="T203" s="8"/>
    </row>
    <row r="204" spans="1:20" ht="15.75" customHeight="1">
      <c r="A204" s="59">
        <v>69</v>
      </c>
      <c r="B204" s="59">
        <v>195</v>
      </c>
      <c r="C204" s="60" t="s">
        <v>135</v>
      </c>
      <c r="D204" s="59" t="s">
        <v>2258</v>
      </c>
      <c r="E204" s="59" t="s">
        <v>2259</v>
      </c>
      <c r="F204" s="59" t="s">
        <v>148</v>
      </c>
      <c r="G204" s="59" t="s">
        <v>340</v>
      </c>
      <c r="H204" s="59" t="s">
        <v>357</v>
      </c>
      <c r="I204" s="59">
        <v>6</v>
      </c>
      <c r="J204" s="61">
        <v>1.3407407407407408E-2</v>
      </c>
      <c r="K204" s="61">
        <v>1.4583333333333334E-3</v>
      </c>
      <c r="L204" s="61">
        <v>2.9200231481481483E-2</v>
      </c>
      <c r="M204" s="61">
        <v>8.2523148148148148E-4</v>
      </c>
      <c r="N204" s="61">
        <v>2.0218750000000001E-2</v>
      </c>
      <c r="O204" s="61">
        <v>6.511111111111112E-2</v>
      </c>
      <c r="P204" s="59" t="s">
        <v>2675</v>
      </c>
      <c r="Q204" s="8">
        <f t="shared" si="4"/>
        <v>635</v>
      </c>
      <c r="R204" s="14"/>
      <c r="S204" s="8"/>
      <c r="T204" s="8"/>
    </row>
    <row r="205" spans="1:20" ht="15.75" customHeight="1">
      <c r="A205" s="59">
        <v>70</v>
      </c>
      <c r="B205" s="59">
        <v>160</v>
      </c>
      <c r="C205" s="60" t="s">
        <v>135</v>
      </c>
      <c r="D205" s="59" t="s">
        <v>2676</v>
      </c>
      <c r="E205" s="59" t="s">
        <v>2677</v>
      </c>
      <c r="F205" s="59"/>
      <c r="G205" s="59" t="s">
        <v>319</v>
      </c>
      <c r="H205" s="59" t="s">
        <v>139</v>
      </c>
      <c r="I205" s="59">
        <v>6</v>
      </c>
      <c r="J205" s="61">
        <v>1.1081018518518518E-2</v>
      </c>
      <c r="K205" s="61">
        <v>1.4849537037037038E-3</v>
      </c>
      <c r="L205" s="61">
        <v>3.1214120370370371E-2</v>
      </c>
      <c r="M205" s="61">
        <v>8.1018518518518516E-4</v>
      </c>
      <c r="N205" s="61">
        <v>2.0611111111111111E-2</v>
      </c>
      <c r="O205" s="61">
        <v>6.5203703703703708E-2</v>
      </c>
      <c r="P205" s="59" t="s">
        <v>1068</v>
      </c>
      <c r="Q205" s="8">
        <f t="shared" si="4"/>
        <v>634</v>
      </c>
      <c r="R205" s="14"/>
      <c r="S205" s="8"/>
      <c r="T205" s="8"/>
    </row>
    <row r="206" spans="1:20" ht="15.75" customHeight="1">
      <c r="A206" s="59">
        <v>71</v>
      </c>
      <c r="B206" s="59">
        <v>169</v>
      </c>
      <c r="C206" s="60" t="s">
        <v>135</v>
      </c>
      <c r="D206" s="59" t="s">
        <v>2678</v>
      </c>
      <c r="E206" s="59" t="s">
        <v>2679</v>
      </c>
      <c r="F206" s="59"/>
      <c r="G206" s="59" t="s">
        <v>340</v>
      </c>
      <c r="H206" s="59" t="s">
        <v>348</v>
      </c>
      <c r="I206" s="59">
        <v>10</v>
      </c>
      <c r="J206" s="61">
        <v>1.3630787037037037E-2</v>
      </c>
      <c r="K206" s="61">
        <v>1.8726851851851853E-3</v>
      </c>
      <c r="L206" s="61">
        <v>2.9059027777777777E-2</v>
      </c>
      <c r="M206" s="61">
        <v>9.7685185185185201E-4</v>
      </c>
      <c r="N206" s="61">
        <v>1.9868055555555555E-2</v>
      </c>
      <c r="O206" s="61">
        <v>6.5409722222222216E-2</v>
      </c>
      <c r="P206" s="59" t="s">
        <v>1591</v>
      </c>
      <c r="Q206" s="8">
        <f t="shared" si="4"/>
        <v>632</v>
      </c>
      <c r="R206" s="14"/>
      <c r="S206" s="8"/>
      <c r="T206" s="8"/>
    </row>
    <row r="207" spans="1:20" ht="15.75" customHeight="1">
      <c r="A207" s="59">
        <v>72</v>
      </c>
      <c r="B207" s="59">
        <v>188</v>
      </c>
      <c r="C207" s="60" t="s">
        <v>135</v>
      </c>
      <c r="D207" s="59" t="s">
        <v>990</v>
      </c>
      <c r="E207" s="59" t="s">
        <v>991</v>
      </c>
      <c r="F207" s="59" t="s">
        <v>148</v>
      </c>
      <c r="G207" s="59" t="s">
        <v>319</v>
      </c>
      <c r="H207" s="59" t="s">
        <v>144</v>
      </c>
      <c r="I207" s="59">
        <v>1</v>
      </c>
      <c r="J207" s="61">
        <v>1.3451388888888889E-2</v>
      </c>
      <c r="K207" s="61">
        <v>1.4108796296296298E-3</v>
      </c>
      <c r="L207" s="61">
        <v>2.8517361111111111E-2</v>
      </c>
      <c r="M207" s="61">
        <v>8.576388888888888E-4</v>
      </c>
      <c r="N207" s="61">
        <v>2.1370370370370373E-2</v>
      </c>
      <c r="O207" s="61">
        <v>6.5608796296296304E-2</v>
      </c>
      <c r="P207" s="59" t="s">
        <v>2680</v>
      </c>
      <c r="Q207" s="8">
        <f t="shared" si="4"/>
        <v>630</v>
      </c>
      <c r="R207" s="14"/>
      <c r="S207" s="8"/>
      <c r="T207" s="8"/>
    </row>
    <row r="208" spans="1:20" ht="15.75" customHeight="1">
      <c r="A208" s="59">
        <v>73</v>
      </c>
      <c r="B208" s="59">
        <v>220</v>
      </c>
      <c r="C208" s="60" t="s">
        <v>135</v>
      </c>
      <c r="D208" s="59" t="s">
        <v>1308</v>
      </c>
      <c r="E208" s="59" t="s">
        <v>1309</v>
      </c>
      <c r="F208" s="59" t="s">
        <v>148</v>
      </c>
      <c r="G208" s="59" t="s">
        <v>340</v>
      </c>
      <c r="H208" s="59" t="s">
        <v>420</v>
      </c>
      <c r="I208" s="59">
        <v>7</v>
      </c>
      <c r="J208" s="61">
        <v>1.5381944444444445E-2</v>
      </c>
      <c r="K208" s="61">
        <v>1.6250000000000001E-3</v>
      </c>
      <c r="L208" s="61">
        <v>2.7731481481481482E-2</v>
      </c>
      <c r="M208" s="61">
        <v>7.0833333333333338E-4</v>
      </c>
      <c r="N208" s="61">
        <v>2.0180555555555556E-2</v>
      </c>
      <c r="O208" s="61">
        <v>6.5629629629629621E-2</v>
      </c>
      <c r="P208" s="59" t="s">
        <v>2681</v>
      </c>
      <c r="Q208" s="8">
        <f t="shared" si="4"/>
        <v>630</v>
      </c>
      <c r="R208" s="14"/>
      <c r="S208" s="8"/>
      <c r="T208" s="8"/>
    </row>
    <row r="209" spans="1:20" ht="15.75" customHeight="1">
      <c r="A209" s="59">
        <v>74</v>
      </c>
      <c r="B209" s="59">
        <v>203</v>
      </c>
      <c r="C209" s="60" t="s">
        <v>135</v>
      </c>
      <c r="D209" s="59" t="s">
        <v>2254</v>
      </c>
      <c r="E209" s="59" t="s">
        <v>2255</v>
      </c>
      <c r="F209" s="59"/>
      <c r="G209" s="59" t="s">
        <v>319</v>
      </c>
      <c r="H209" s="59" t="s">
        <v>139</v>
      </c>
      <c r="I209" s="59">
        <v>7</v>
      </c>
      <c r="J209" s="61">
        <v>1.8493055555555554E-2</v>
      </c>
      <c r="K209" s="61">
        <v>1.0671296296296297E-3</v>
      </c>
      <c r="L209" s="61">
        <v>2.7068287037037037E-2</v>
      </c>
      <c r="M209" s="61">
        <v>7.0138888888888887E-4</v>
      </c>
      <c r="N209" s="61">
        <v>1.8334490740740738E-2</v>
      </c>
      <c r="O209" s="61">
        <v>6.5666666666666665E-2</v>
      </c>
      <c r="P209" s="59" t="s">
        <v>2682</v>
      </c>
      <c r="Q209" s="8">
        <f t="shared" si="4"/>
        <v>629</v>
      </c>
      <c r="R209" s="14"/>
      <c r="S209" s="8"/>
      <c r="T209" s="8"/>
    </row>
    <row r="210" spans="1:20" ht="15.75" customHeight="1">
      <c r="A210" s="59">
        <v>75</v>
      </c>
      <c r="B210" s="59">
        <v>200</v>
      </c>
      <c r="C210" s="60" t="s">
        <v>135</v>
      </c>
      <c r="D210" s="59" t="s">
        <v>2683</v>
      </c>
      <c r="E210" s="59" t="s">
        <v>2684</v>
      </c>
      <c r="F210" s="59" t="s">
        <v>199</v>
      </c>
      <c r="G210" s="59" t="s">
        <v>319</v>
      </c>
      <c r="H210" s="59" t="s">
        <v>139</v>
      </c>
      <c r="I210" s="59">
        <v>8</v>
      </c>
      <c r="J210" s="61">
        <v>1.4937499999999999E-2</v>
      </c>
      <c r="K210" s="61">
        <v>1.2719907407407409E-3</v>
      </c>
      <c r="L210" s="61">
        <v>3.0327546296296297E-2</v>
      </c>
      <c r="M210" s="61">
        <v>7.5925925925925922E-4</v>
      </c>
      <c r="N210" s="61">
        <v>1.8920138888888889E-2</v>
      </c>
      <c r="O210" s="61">
        <v>6.6217592592592592E-2</v>
      </c>
      <c r="P210" s="59" t="s">
        <v>2685</v>
      </c>
      <c r="Q210" s="8">
        <f t="shared" si="4"/>
        <v>624</v>
      </c>
      <c r="R210" s="14"/>
      <c r="S210" s="8"/>
      <c r="T210" s="8"/>
    </row>
    <row r="211" spans="1:20" ht="15.75" customHeight="1">
      <c r="A211" s="59">
        <v>76</v>
      </c>
      <c r="B211" s="59">
        <v>196</v>
      </c>
      <c r="C211" s="60" t="s">
        <v>135</v>
      </c>
      <c r="D211" s="59" t="s">
        <v>2686</v>
      </c>
      <c r="E211" s="59" t="s">
        <v>2687</v>
      </c>
      <c r="F211" s="59" t="s">
        <v>2688</v>
      </c>
      <c r="G211" s="59" t="s">
        <v>319</v>
      </c>
      <c r="H211" s="59" t="s">
        <v>149</v>
      </c>
      <c r="I211" s="59">
        <v>2</v>
      </c>
      <c r="J211" s="61">
        <v>1.5319444444444443E-2</v>
      </c>
      <c r="K211" s="61">
        <v>1.5613425925925927E-3</v>
      </c>
      <c r="L211" s="61">
        <v>3.0888888888888889E-2</v>
      </c>
      <c r="M211" s="61">
        <v>6.7245370370370375E-4</v>
      </c>
      <c r="N211" s="61">
        <v>1.9126157407407408E-2</v>
      </c>
      <c r="O211" s="61">
        <v>6.7570601851851861E-2</v>
      </c>
      <c r="P211" s="59" t="s">
        <v>2689</v>
      </c>
      <c r="Q211" s="8">
        <f t="shared" si="4"/>
        <v>612</v>
      </c>
      <c r="R211" s="14"/>
      <c r="S211" s="8"/>
      <c r="T211" s="8"/>
    </row>
    <row r="212" spans="1:20" ht="15.75" customHeight="1">
      <c r="A212" s="59">
        <v>77</v>
      </c>
      <c r="B212" s="59">
        <v>164</v>
      </c>
      <c r="C212" s="60" t="s">
        <v>135</v>
      </c>
      <c r="D212" s="59" t="s">
        <v>2690</v>
      </c>
      <c r="E212" s="59" t="s">
        <v>2691</v>
      </c>
      <c r="F212" s="59" t="s">
        <v>148</v>
      </c>
      <c r="G212" s="59" t="s">
        <v>340</v>
      </c>
      <c r="H212" s="59" t="s">
        <v>357</v>
      </c>
      <c r="I212" s="59">
        <v>7</v>
      </c>
      <c r="J212" s="61">
        <v>1.5365740740740739E-2</v>
      </c>
      <c r="K212" s="61">
        <v>1.9189814814814816E-3</v>
      </c>
      <c r="L212" s="61">
        <v>2.6768518518518521E-2</v>
      </c>
      <c r="M212" s="61">
        <v>1.1226851851851851E-3</v>
      </c>
      <c r="N212" s="61">
        <v>2.3195601851851849E-2</v>
      </c>
      <c r="O212" s="61">
        <v>6.8372685185185175E-2</v>
      </c>
      <c r="P212" s="59" t="s">
        <v>2692</v>
      </c>
      <c r="Q212" s="8">
        <f t="shared" si="4"/>
        <v>604</v>
      </c>
      <c r="R212" s="14"/>
      <c r="S212" s="8"/>
      <c r="T212" s="8"/>
    </row>
    <row r="213" spans="1:20" ht="15.75" customHeight="1">
      <c r="A213" s="59">
        <v>78</v>
      </c>
      <c r="B213" s="59">
        <v>174</v>
      </c>
      <c r="C213" s="60" t="s">
        <v>135</v>
      </c>
      <c r="D213" s="59" t="s">
        <v>2693</v>
      </c>
      <c r="E213" s="59" t="s">
        <v>2694</v>
      </c>
      <c r="F213" s="59"/>
      <c r="G213" s="59" t="s">
        <v>340</v>
      </c>
      <c r="H213" s="59" t="s">
        <v>341</v>
      </c>
      <c r="I213" s="59">
        <v>7</v>
      </c>
      <c r="J213" s="61">
        <v>1.5217592592592592E-2</v>
      </c>
      <c r="K213" s="61">
        <v>2.0636574074074077E-3</v>
      </c>
      <c r="L213" s="61">
        <v>3.089467592592593E-2</v>
      </c>
      <c r="M213" s="61">
        <v>9.6874999999999999E-4</v>
      </c>
      <c r="N213" s="61">
        <v>2.122337962962963E-2</v>
      </c>
      <c r="O213" s="61">
        <v>7.0370370370370375E-2</v>
      </c>
      <c r="P213" s="59" t="s">
        <v>2695</v>
      </c>
      <c r="Q213" s="8">
        <f t="shared" si="4"/>
        <v>587</v>
      </c>
      <c r="R213" s="14"/>
      <c r="S213" s="8"/>
      <c r="T213" s="8"/>
    </row>
    <row r="214" spans="1:20" ht="15.75" customHeight="1">
      <c r="A214" s="59">
        <v>79</v>
      </c>
      <c r="B214" s="59">
        <v>197</v>
      </c>
      <c r="C214" s="60" t="s">
        <v>135</v>
      </c>
      <c r="D214" s="59" t="s">
        <v>2696</v>
      </c>
      <c r="E214" s="59" t="s">
        <v>2697</v>
      </c>
      <c r="F214" s="59" t="s">
        <v>138</v>
      </c>
      <c r="G214" s="59" t="s">
        <v>319</v>
      </c>
      <c r="H214" s="59" t="s">
        <v>163</v>
      </c>
      <c r="I214" s="59">
        <v>3</v>
      </c>
      <c r="J214" s="61">
        <v>1.5490740740740742E-2</v>
      </c>
      <c r="K214" s="61">
        <v>1.2835648148148149E-3</v>
      </c>
      <c r="L214" s="61">
        <v>2.8902777777777777E-2</v>
      </c>
      <c r="M214" s="61">
        <v>9.837962962962962E-4</v>
      </c>
      <c r="N214" s="61">
        <v>2.428935185185185E-2</v>
      </c>
      <c r="O214" s="61">
        <v>7.0953703703703699E-2</v>
      </c>
      <c r="P214" s="59" t="s">
        <v>2698</v>
      </c>
      <c r="Q214" s="8">
        <f t="shared" si="4"/>
        <v>582</v>
      </c>
      <c r="R214" s="14"/>
      <c r="S214" s="8"/>
      <c r="T214" s="8"/>
    </row>
    <row r="215" spans="1:20" ht="15.75" customHeight="1">
      <c r="A215" s="59">
        <v>80</v>
      </c>
      <c r="B215" s="59">
        <v>205</v>
      </c>
      <c r="C215" s="60" t="s">
        <v>135</v>
      </c>
      <c r="D215" s="59" t="s">
        <v>1323</v>
      </c>
      <c r="E215" s="59" t="s">
        <v>1324</v>
      </c>
      <c r="F215" s="59" t="s">
        <v>199</v>
      </c>
      <c r="G215" s="59" t="s">
        <v>319</v>
      </c>
      <c r="H215" s="59" t="s">
        <v>149</v>
      </c>
      <c r="I215" s="59">
        <v>3</v>
      </c>
      <c r="J215" s="61">
        <v>1.4958333333333334E-2</v>
      </c>
      <c r="K215" s="61">
        <v>1.3622685185185185E-3</v>
      </c>
      <c r="L215" s="61">
        <v>3.0675925925925926E-2</v>
      </c>
      <c r="M215" s="61">
        <v>8.8657407407407402E-4</v>
      </c>
      <c r="N215" s="61">
        <v>2.5208333333333333E-2</v>
      </c>
      <c r="O215" s="61">
        <v>7.3092592592592584E-2</v>
      </c>
      <c r="P215" s="59" t="s">
        <v>2699</v>
      </c>
      <c r="Q215" s="8">
        <f t="shared" si="4"/>
        <v>565</v>
      </c>
      <c r="R215" s="14"/>
      <c r="S215" s="8"/>
      <c r="T215" s="8"/>
    </row>
    <row r="216" spans="1:20" ht="15.75" customHeight="1">
      <c r="A216" s="59">
        <v>81</v>
      </c>
      <c r="B216" s="59">
        <v>204</v>
      </c>
      <c r="C216" s="60" t="s">
        <v>1247</v>
      </c>
      <c r="D216" s="59" t="s">
        <v>2045</v>
      </c>
      <c r="E216" s="59" t="s">
        <v>2046</v>
      </c>
      <c r="F216" s="59" t="s">
        <v>1497</v>
      </c>
      <c r="G216" s="59" t="s">
        <v>340</v>
      </c>
      <c r="H216" s="59" t="s">
        <v>624</v>
      </c>
      <c r="I216" s="59">
        <v>4</v>
      </c>
      <c r="J216" s="61">
        <v>1.6744212962962964E-2</v>
      </c>
      <c r="K216" s="61">
        <v>2.0613425925925925E-3</v>
      </c>
      <c r="L216" s="61">
        <v>3.09375E-2</v>
      </c>
      <c r="M216" s="61">
        <v>1.1956018518518518E-3</v>
      </c>
      <c r="N216" s="61">
        <v>3.2552083333333336E-2</v>
      </c>
      <c r="O216" s="61">
        <v>8.3493055555555556E-2</v>
      </c>
      <c r="P216" s="59" t="s">
        <v>2700</v>
      </c>
      <c r="Q216" s="8">
        <f t="shared" si="4"/>
        <v>495</v>
      </c>
      <c r="R216" s="14"/>
      <c r="S216" s="8"/>
      <c r="T216" s="8"/>
    </row>
    <row r="217" spans="1:20" ht="15.75" customHeight="1">
      <c r="A217" s="59" t="s">
        <v>683</v>
      </c>
      <c r="B217" s="59">
        <v>224</v>
      </c>
      <c r="C217" s="60" t="s">
        <v>135</v>
      </c>
      <c r="D217" s="59" t="s">
        <v>749</v>
      </c>
      <c r="E217" s="59" t="s">
        <v>750</v>
      </c>
      <c r="F217" s="59"/>
      <c r="G217" s="59" t="s">
        <v>340</v>
      </c>
      <c r="H217" s="59" t="s">
        <v>344</v>
      </c>
      <c r="I217" s="59"/>
      <c r="J217" s="61">
        <v>9.4849537037037038E-3</v>
      </c>
      <c r="K217" s="61">
        <v>7.0601851851851847E-4</v>
      </c>
      <c r="L217" s="61">
        <v>2.3145833333333334E-2</v>
      </c>
      <c r="M217" s="61">
        <v>3.8310185185185186E-4</v>
      </c>
      <c r="N217" s="59"/>
      <c r="O217" s="59" t="s">
        <v>686</v>
      </c>
      <c r="P217" s="59"/>
      <c r="Q217" s="8">
        <f t="shared" si="4"/>
        <v>0</v>
      </c>
      <c r="R217" s="14"/>
      <c r="S217" s="8"/>
      <c r="T217" s="8"/>
    </row>
    <row r="218" spans="1:20" ht="15.75" customHeight="1">
      <c r="I218" s="14"/>
      <c r="J218" s="15"/>
      <c r="K218" s="15"/>
      <c r="L218" s="20"/>
      <c r="M218" s="14"/>
      <c r="N218" s="11"/>
      <c r="O218" s="15"/>
      <c r="P218" s="20"/>
      <c r="Q218" s="8"/>
      <c r="R218" s="14"/>
      <c r="S218" s="8"/>
      <c r="T218" s="8"/>
    </row>
    <row r="219" spans="1:20" ht="15.75" customHeight="1">
      <c r="I219" s="14"/>
      <c r="J219" s="15"/>
      <c r="K219" s="15"/>
      <c r="L219" s="20"/>
      <c r="M219" s="14"/>
      <c r="N219" s="11"/>
      <c r="O219" s="15"/>
      <c r="P219" s="20"/>
      <c r="Q219" s="8"/>
      <c r="R219" s="14"/>
      <c r="S219" s="8"/>
      <c r="T219" s="8"/>
    </row>
    <row r="220" spans="1:20" ht="15.75" customHeight="1">
      <c r="I220" s="14"/>
      <c r="J220" s="15"/>
      <c r="K220" s="15"/>
      <c r="L220" s="20"/>
      <c r="M220" s="14"/>
      <c r="N220" s="11"/>
      <c r="O220" s="15"/>
      <c r="P220" s="20"/>
      <c r="Q220" s="8"/>
      <c r="R220" s="14"/>
      <c r="S220" s="8"/>
      <c r="T220" s="8"/>
    </row>
    <row r="221" spans="1:20" ht="15.75" customHeight="1">
      <c r="I221" s="14"/>
      <c r="J221" s="15"/>
      <c r="K221" s="15"/>
      <c r="L221" s="20"/>
      <c r="M221" s="14"/>
      <c r="N221" s="11"/>
      <c r="O221" s="15"/>
      <c r="P221" s="20"/>
      <c r="Q221" s="8"/>
      <c r="R221" s="14"/>
      <c r="S221" s="8"/>
      <c r="T221" s="8"/>
    </row>
    <row r="222" spans="1:20" ht="15.75" customHeight="1">
      <c r="I222" s="14"/>
      <c r="J222" s="15"/>
      <c r="K222" s="15"/>
      <c r="L222" s="20"/>
      <c r="M222" s="14"/>
      <c r="N222" s="11"/>
      <c r="O222" s="15"/>
      <c r="P222" s="20"/>
      <c r="Q222" s="8"/>
      <c r="R222" s="14"/>
      <c r="S222" s="8"/>
      <c r="T222" s="8"/>
    </row>
    <row r="223" spans="1:20" ht="15.75" customHeight="1">
      <c r="I223" s="14"/>
      <c r="J223" s="15"/>
      <c r="K223" s="15"/>
      <c r="L223" s="20"/>
      <c r="M223" s="14"/>
      <c r="N223" s="11"/>
      <c r="O223" s="15"/>
      <c r="P223" s="20"/>
      <c r="Q223" s="8"/>
      <c r="R223" s="14"/>
      <c r="S223" s="8"/>
      <c r="T223" s="8"/>
    </row>
    <row r="224" spans="1:20" ht="15.75" customHeight="1">
      <c r="I224" s="14"/>
      <c r="J224" s="15"/>
      <c r="K224" s="15"/>
      <c r="L224" s="20"/>
      <c r="M224" s="14"/>
      <c r="N224" s="11"/>
      <c r="O224" s="15"/>
      <c r="P224" s="20"/>
      <c r="Q224" s="8"/>
      <c r="R224" s="14"/>
      <c r="S224" s="8"/>
      <c r="T224" s="8"/>
    </row>
    <row r="225" spans="9:20" ht="15.75" customHeight="1">
      <c r="I225" s="14"/>
      <c r="J225" s="15"/>
      <c r="K225" s="15"/>
      <c r="L225" s="20"/>
      <c r="M225" s="14"/>
      <c r="N225" s="11"/>
      <c r="O225" s="15"/>
      <c r="P225" s="20"/>
      <c r="Q225" s="8"/>
      <c r="R225" s="14"/>
      <c r="S225" s="8"/>
      <c r="T225" s="8"/>
    </row>
    <row r="226" spans="9:20" ht="15.75" customHeight="1">
      <c r="I226" s="14"/>
      <c r="J226" s="15"/>
      <c r="K226" s="15"/>
      <c r="L226" s="20"/>
      <c r="M226" s="14"/>
      <c r="N226" s="11"/>
      <c r="O226" s="15"/>
      <c r="P226" s="20"/>
      <c r="Q226" s="8"/>
      <c r="R226" s="14"/>
      <c r="S226" s="8"/>
      <c r="T226" s="8"/>
    </row>
    <row r="227" spans="9:20" ht="15.75" customHeight="1">
      <c r="I227" s="14"/>
      <c r="J227" s="15"/>
      <c r="K227" s="15"/>
      <c r="L227" s="20"/>
      <c r="M227" s="14"/>
      <c r="N227" s="11"/>
      <c r="O227" s="15"/>
      <c r="P227" s="20"/>
      <c r="Q227" s="8"/>
      <c r="R227" s="14"/>
      <c r="S227" s="8"/>
      <c r="T227" s="8"/>
    </row>
    <row r="228" spans="9:20" ht="15.75" customHeight="1">
      <c r="I228" s="14"/>
      <c r="J228" s="15"/>
      <c r="K228" s="15"/>
      <c r="L228" s="20"/>
      <c r="M228" s="14"/>
      <c r="N228" s="11"/>
      <c r="O228" s="15"/>
      <c r="P228" s="20"/>
      <c r="Q228" s="8"/>
      <c r="R228" s="14"/>
      <c r="S228" s="8"/>
      <c r="T228" s="8"/>
    </row>
    <row r="229" spans="9:20" ht="15.75" customHeight="1">
      <c r="I229" s="14"/>
      <c r="J229" s="15"/>
      <c r="K229" s="15"/>
      <c r="L229" s="20"/>
      <c r="M229" s="14"/>
      <c r="N229" s="11"/>
      <c r="O229" s="15"/>
      <c r="P229" s="20"/>
      <c r="Q229" s="8"/>
      <c r="R229" s="14"/>
      <c r="S229" s="8"/>
      <c r="T229" s="8"/>
    </row>
    <row r="230" spans="9:20" ht="15.75" customHeight="1">
      <c r="I230" s="14"/>
      <c r="J230" s="15"/>
      <c r="K230" s="15"/>
      <c r="L230" s="20"/>
      <c r="M230" s="14"/>
      <c r="N230" s="11"/>
      <c r="O230" s="15"/>
      <c r="P230" s="20"/>
      <c r="Q230" s="8"/>
      <c r="R230" s="14"/>
      <c r="S230" s="8"/>
      <c r="T230" s="8"/>
    </row>
    <row r="231" spans="9:20" ht="15.75" customHeight="1">
      <c r="I231" s="14"/>
      <c r="J231" s="15"/>
      <c r="K231" s="15"/>
      <c r="L231" s="20"/>
      <c r="M231" s="14"/>
      <c r="N231" s="11"/>
      <c r="O231" s="15"/>
      <c r="P231" s="20"/>
      <c r="Q231" s="8"/>
      <c r="R231" s="14"/>
      <c r="S231" s="8"/>
      <c r="T231" s="8"/>
    </row>
    <row r="232" spans="9:20" ht="15.75" customHeight="1">
      <c r="I232" s="14"/>
      <c r="J232" s="15"/>
      <c r="K232" s="15"/>
      <c r="L232" s="20"/>
      <c r="M232" s="14"/>
      <c r="N232" s="11"/>
      <c r="O232" s="15"/>
      <c r="P232" s="20"/>
      <c r="Q232" s="8"/>
      <c r="R232" s="14"/>
      <c r="S232" s="8"/>
      <c r="T232" s="8"/>
    </row>
    <row r="233" spans="9:20" ht="15.75" customHeight="1">
      <c r="I233" s="14"/>
      <c r="J233" s="15"/>
      <c r="K233" s="15"/>
      <c r="L233" s="20"/>
      <c r="M233" s="14"/>
      <c r="N233" s="11"/>
      <c r="O233" s="15"/>
      <c r="P233" s="20"/>
      <c r="Q233" s="8"/>
      <c r="R233" s="14"/>
      <c r="S233" s="8"/>
      <c r="T233" s="8"/>
    </row>
    <row r="234" spans="9:20" ht="15.75" customHeight="1">
      <c r="I234" s="14"/>
      <c r="J234" s="15"/>
      <c r="K234" s="15"/>
      <c r="L234" s="20"/>
      <c r="M234" s="14"/>
      <c r="N234" s="11"/>
      <c r="O234" s="15"/>
      <c r="P234" s="20"/>
      <c r="Q234" s="8"/>
      <c r="R234" s="14"/>
      <c r="S234" s="8"/>
      <c r="T234" s="8"/>
    </row>
    <row r="235" spans="9:20" ht="15.75" customHeight="1">
      <c r="I235" s="14"/>
      <c r="J235" s="15"/>
      <c r="K235" s="15"/>
      <c r="L235" s="20"/>
      <c r="M235" s="14"/>
      <c r="N235" s="11"/>
      <c r="O235" s="15"/>
      <c r="P235" s="20"/>
      <c r="Q235" s="8"/>
      <c r="R235" s="14"/>
      <c r="S235" s="8"/>
      <c r="T235" s="8"/>
    </row>
    <row r="236" spans="9:20" ht="15.75" customHeight="1">
      <c r="I236" s="14"/>
      <c r="J236" s="15"/>
      <c r="K236" s="15"/>
      <c r="L236" s="20"/>
      <c r="M236" s="14"/>
      <c r="N236" s="11"/>
      <c r="O236" s="15"/>
      <c r="P236" s="20"/>
      <c r="Q236" s="8"/>
      <c r="R236" s="14"/>
      <c r="S236" s="8"/>
      <c r="T236" s="8"/>
    </row>
    <row r="237" spans="9:20" ht="15.75" customHeight="1">
      <c r="I237" s="14"/>
      <c r="J237" s="15"/>
      <c r="K237" s="15"/>
      <c r="L237" s="20"/>
      <c r="M237" s="14"/>
      <c r="N237" s="11"/>
      <c r="O237" s="15"/>
      <c r="P237" s="20"/>
      <c r="Q237" s="8"/>
      <c r="R237" s="14"/>
      <c r="S237" s="8"/>
      <c r="T237" s="8"/>
    </row>
    <row r="238" spans="9:20" ht="15.75" customHeight="1">
      <c r="I238" s="14"/>
      <c r="J238" s="15"/>
      <c r="K238" s="15"/>
      <c r="L238" s="20"/>
      <c r="M238" s="14"/>
      <c r="N238" s="11"/>
      <c r="O238" s="15"/>
      <c r="P238" s="20"/>
      <c r="Q238" s="8"/>
      <c r="R238" s="14"/>
      <c r="S238" s="8"/>
      <c r="T238" s="8"/>
    </row>
    <row r="239" spans="9:20" ht="15.75" customHeight="1">
      <c r="I239" s="14"/>
      <c r="J239" s="15"/>
      <c r="K239" s="15"/>
      <c r="L239" s="20"/>
      <c r="M239" s="14"/>
      <c r="N239" s="11"/>
      <c r="O239" s="15"/>
      <c r="P239" s="20"/>
      <c r="Q239" s="8"/>
      <c r="R239" s="14"/>
      <c r="S239" s="8"/>
      <c r="T239" s="8"/>
    </row>
    <row r="240" spans="9:20" ht="15.75" customHeight="1">
      <c r="I240" s="14"/>
      <c r="J240" s="15"/>
      <c r="K240" s="15"/>
      <c r="L240" s="20"/>
      <c r="M240" s="14"/>
      <c r="N240" s="11"/>
      <c r="O240" s="15"/>
      <c r="P240" s="20"/>
      <c r="Q240" s="8"/>
      <c r="R240" s="14"/>
      <c r="S240" s="8"/>
      <c r="T240" s="8"/>
    </row>
    <row r="241" spans="9:20" ht="15.75" customHeight="1">
      <c r="I241" s="14"/>
      <c r="J241" s="15"/>
      <c r="K241" s="15"/>
      <c r="L241" s="20"/>
      <c r="M241" s="14"/>
      <c r="N241" s="11"/>
      <c r="O241" s="15"/>
      <c r="P241" s="20"/>
      <c r="Q241" s="8"/>
      <c r="R241" s="14"/>
      <c r="S241" s="8"/>
      <c r="T241" s="8"/>
    </row>
    <row r="242" spans="9:20" ht="15.75" customHeight="1">
      <c r="I242" s="14"/>
      <c r="J242" s="15"/>
      <c r="K242" s="15"/>
      <c r="L242" s="20"/>
      <c r="M242" s="14"/>
      <c r="N242" s="11"/>
      <c r="O242" s="15"/>
      <c r="P242" s="20"/>
      <c r="Q242" s="8"/>
      <c r="R242" s="14"/>
      <c r="S242" s="8"/>
      <c r="T242" s="8"/>
    </row>
    <row r="243" spans="9:20" ht="15.75" customHeight="1">
      <c r="I243" s="14"/>
      <c r="J243" s="15"/>
      <c r="K243" s="15"/>
      <c r="L243" s="20"/>
      <c r="M243" s="14"/>
      <c r="N243" s="11"/>
      <c r="O243" s="15"/>
      <c r="P243" s="20"/>
      <c r="Q243" s="8"/>
      <c r="R243" s="14"/>
      <c r="S243" s="8"/>
      <c r="T243" s="8"/>
    </row>
    <row r="244" spans="9:20" ht="15.75" customHeight="1">
      <c r="I244" s="14"/>
      <c r="J244" s="15"/>
      <c r="K244" s="15"/>
      <c r="L244" s="20"/>
      <c r="M244" s="14"/>
      <c r="N244" s="11"/>
      <c r="O244" s="15"/>
      <c r="P244" s="20"/>
      <c r="Q244" s="8"/>
      <c r="R244" s="14"/>
      <c r="S244" s="8"/>
      <c r="T244" s="8"/>
    </row>
    <row r="245" spans="9:20" ht="15.75" customHeight="1">
      <c r="I245" s="14"/>
      <c r="J245" s="15"/>
      <c r="K245" s="15"/>
      <c r="L245" s="20"/>
      <c r="M245" s="14"/>
      <c r="N245" s="11"/>
      <c r="O245" s="15"/>
      <c r="P245" s="20"/>
      <c r="Q245" s="8"/>
      <c r="R245" s="14"/>
      <c r="S245" s="8"/>
      <c r="T245" s="8"/>
    </row>
    <row r="246" spans="9:20" ht="15.75" customHeight="1">
      <c r="I246" s="14"/>
      <c r="J246" s="15"/>
      <c r="K246" s="15"/>
      <c r="L246" s="20"/>
      <c r="M246" s="14"/>
      <c r="N246" s="11"/>
      <c r="O246" s="15"/>
      <c r="P246" s="20"/>
      <c r="Q246" s="8"/>
      <c r="R246" s="14"/>
      <c r="S246" s="8"/>
      <c r="T246" s="8"/>
    </row>
    <row r="247" spans="9:20" ht="15.75" customHeight="1">
      <c r="I247" s="14"/>
      <c r="J247" s="15"/>
      <c r="K247" s="15"/>
      <c r="L247" s="20"/>
      <c r="M247" s="14"/>
      <c r="N247" s="11"/>
      <c r="O247" s="15"/>
      <c r="P247" s="20"/>
      <c r="Q247" s="8"/>
      <c r="R247" s="14"/>
      <c r="S247" s="8"/>
      <c r="T247" s="8"/>
    </row>
    <row r="248" spans="9:20" ht="15.75" customHeight="1">
      <c r="I248" s="14"/>
      <c r="J248" s="15"/>
      <c r="K248" s="15"/>
      <c r="L248" s="20"/>
      <c r="M248" s="14"/>
      <c r="N248" s="11"/>
      <c r="O248" s="15"/>
      <c r="P248" s="20"/>
      <c r="Q248" s="8"/>
      <c r="R248" s="14"/>
      <c r="S248" s="8"/>
      <c r="T248" s="8"/>
    </row>
    <row r="249" spans="9:20" ht="15.75" customHeight="1">
      <c r="I249" s="14"/>
      <c r="J249" s="15"/>
      <c r="K249" s="15"/>
      <c r="L249" s="20"/>
      <c r="M249" s="14"/>
      <c r="N249" s="11"/>
      <c r="O249" s="15"/>
      <c r="P249" s="20"/>
      <c r="Q249" s="8"/>
      <c r="R249" s="14"/>
      <c r="S249" s="8"/>
      <c r="T249" s="8"/>
    </row>
    <row r="250" spans="9:20" ht="15.75" customHeight="1">
      <c r="I250" s="14"/>
      <c r="J250" s="15"/>
      <c r="K250" s="15"/>
      <c r="L250" s="20"/>
      <c r="M250" s="14"/>
      <c r="N250" s="11"/>
      <c r="O250" s="15"/>
      <c r="P250" s="20"/>
      <c r="Q250" s="8"/>
      <c r="R250" s="14"/>
      <c r="S250" s="8"/>
      <c r="T250" s="8"/>
    </row>
    <row r="251" spans="9:20" ht="15.75" customHeight="1">
      <c r="I251" s="14"/>
      <c r="J251" s="15"/>
      <c r="K251" s="15"/>
      <c r="L251" s="20"/>
      <c r="M251" s="14"/>
      <c r="N251" s="11"/>
      <c r="O251" s="15"/>
      <c r="P251" s="20"/>
      <c r="Q251" s="8"/>
      <c r="R251" s="14"/>
      <c r="S251" s="8"/>
      <c r="T251" s="8"/>
    </row>
    <row r="252" spans="9:20" ht="15.75" customHeight="1">
      <c r="I252" s="14"/>
      <c r="J252" s="15"/>
      <c r="K252" s="15"/>
      <c r="L252" s="20"/>
      <c r="M252" s="14"/>
      <c r="N252" s="11"/>
      <c r="O252" s="15"/>
      <c r="P252" s="20"/>
      <c r="Q252" s="8"/>
      <c r="R252" s="14"/>
      <c r="S252" s="8"/>
      <c r="T252" s="8"/>
    </row>
    <row r="253" spans="9:20" ht="15.75" customHeight="1">
      <c r="I253" s="14"/>
      <c r="J253" s="15"/>
      <c r="K253" s="15"/>
      <c r="M253" s="14"/>
      <c r="N253" s="11"/>
      <c r="O253" s="15"/>
      <c r="Q253" s="15"/>
      <c r="R253" s="14"/>
      <c r="S253" s="8"/>
      <c r="T253" s="8"/>
    </row>
    <row r="254" spans="9:20" ht="15.75" customHeight="1">
      <c r="I254" s="14"/>
      <c r="J254" s="15"/>
      <c r="K254" s="15"/>
      <c r="M254" s="14"/>
      <c r="N254" s="11"/>
      <c r="O254" s="15"/>
      <c r="Q254" s="15"/>
      <c r="R254" s="14"/>
      <c r="S254" s="8"/>
      <c r="T254" s="8"/>
    </row>
    <row r="255" spans="9:20" ht="15.75" customHeight="1">
      <c r="R255" s="14"/>
      <c r="S255" s="8"/>
      <c r="T255" s="8"/>
    </row>
    <row r="256" spans="9:20" ht="15.75" customHeight="1">
      <c r="R256" s="14"/>
      <c r="S256" s="8"/>
      <c r="T256" s="8"/>
    </row>
    <row r="257" spans="8:20" ht="15.75" customHeight="1">
      <c r="I257" s="14"/>
      <c r="J257" s="15"/>
      <c r="K257" s="15"/>
      <c r="M257" s="14"/>
      <c r="N257" s="11"/>
      <c r="R257" s="14"/>
      <c r="S257" s="8"/>
      <c r="T257" s="8"/>
    </row>
    <row r="258" spans="8:20" ht="15.75" customHeight="1">
      <c r="I258" s="14"/>
      <c r="J258" s="15"/>
      <c r="K258" s="15"/>
      <c r="M258" s="14"/>
      <c r="N258" s="11"/>
      <c r="R258" s="14"/>
      <c r="S258" s="8"/>
      <c r="T258" s="8"/>
    </row>
    <row r="259" spans="8:20" ht="15.75" customHeight="1">
      <c r="H259" s="14"/>
      <c r="I259" s="15"/>
      <c r="J259" s="15"/>
      <c r="L259" s="14"/>
      <c r="M259" s="11"/>
      <c r="N259" s="15"/>
      <c r="P259" s="14"/>
      <c r="Q259" s="14"/>
      <c r="S259" s="8"/>
      <c r="T259" s="8"/>
    </row>
    <row r="260" spans="8:20" ht="15.75" customHeight="1">
      <c r="H260" s="14"/>
      <c r="I260" s="15"/>
      <c r="J260" s="15"/>
      <c r="L260" s="14"/>
      <c r="M260" s="11"/>
      <c r="N260" s="15"/>
      <c r="P260" s="14"/>
      <c r="Q260" s="14"/>
      <c r="S260" s="8"/>
      <c r="T260" s="8"/>
    </row>
    <row r="261" spans="8:20" ht="15.75" customHeight="1">
      <c r="H261" s="14"/>
      <c r="I261" s="15"/>
      <c r="J261" s="15"/>
      <c r="L261" s="14"/>
      <c r="M261" s="11"/>
      <c r="N261" s="15"/>
      <c r="P261" s="14"/>
      <c r="Q261" s="14"/>
      <c r="S261" s="8"/>
      <c r="T261" s="8"/>
    </row>
    <row r="262" spans="8:20" ht="15.75" customHeight="1">
      <c r="H262" s="14"/>
      <c r="I262" s="15"/>
      <c r="J262" s="15"/>
      <c r="L262" s="14"/>
      <c r="M262" s="11"/>
      <c r="N262" s="15"/>
      <c r="P262" s="14"/>
      <c r="Q262" s="14"/>
      <c r="S262" s="8"/>
      <c r="T262" s="8"/>
    </row>
    <row r="263" spans="8:20" ht="15.75" customHeight="1">
      <c r="H263" s="14"/>
      <c r="I263" s="15"/>
      <c r="J263" s="15"/>
      <c r="L263" s="14"/>
      <c r="M263" s="11"/>
      <c r="N263" s="15"/>
      <c r="P263" s="14"/>
      <c r="Q263" s="14"/>
      <c r="S263" s="8"/>
      <c r="T263" s="8"/>
    </row>
    <row r="264" spans="8:20" ht="15.75" customHeight="1">
      <c r="H264" s="14"/>
      <c r="I264" s="15"/>
      <c r="J264" s="15"/>
      <c r="L264" s="14"/>
      <c r="M264" s="11"/>
      <c r="N264" s="15"/>
      <c r="P264" s="14"/>
      <c r="Q264" s="14"/>
      <c r="S264" s="8"/>
      <c r="T264" s="8"/>
    </row>
    <row r="265" spans="8:20" ht="15.75" customHeight="1">
      <c r="H265" s="14"/>
      <c r="I265" s="15"/>
      <c r="J265" s="15"/>
      <c r="L265" s="14"/>
      <c r="M265" s="11"/>
      <c r="N265" s="15"/>
      <c r="P265" s="14"/>
      <c r="Q265" s="14"/>
      <c r="S265" s="8"/>
      <c r="T265" s="8"/>
    </row>
    <row r="266" spans="8:20" ht="15.75" customHeight="1">
      <c r="H266" s="14"/>
      <c r="I266" s="15"/>
      <c r="J266" s="15"/>
      <c r="L266" s="14"/>
      <c r="M266" s="11"/>
      <c r="N266" s="15"/>
      <c r="P266" s="14"/>
      <c r="Q266" s="14"/>
      <c r="S266" s="8"/>
      <c r="T266" s="8"/>
    </row>
    <row r="267" spans="8:20" ht="15.75" customHeight="1">
      <c r="H267" s="14"/>
      <c r="I267" s="15"/>
      <c r="J267" s="15"/>
      <c r="L267" s="14"/>
      <c r="M267" s="11"/>
      <c r="N267" s="15"/>
      <c r="P267" s="14"/>
      <c r="Q267" s="14"/>
      <c r="S267" s="8"/>
      <c r="T267" s="8"/>
    </row>
    <row r="268" spans="8:20" ht="15.75" customHeight="1">
      <c r="H268" s="14"/>
      <c r="I268" s="15"/>
      <c r="J268" s="15"/>
      <c r="L268" s="14"/>
      <c r="M268" s="11"/>
      <c r="N268" s="15"/>
      <c r="P268" s="14"/>
      <c r="Q268" s="14"/>
      <c r="S268" s="8"/>
      <c r="T268" s="8"/>
    </row>
    <row r="269" spans="8:20" ht="15.75" customHeight="1">
      <c r="H269" s="14"/>
      <c r="I269" s="15"/>
      <c r="J269" s="15"/>
      <c r="L269" s="14"/>
      <c r="M269" s="11"/>
      <c r="N269" s="15"/>
      <c r="P269" s="14"/>
      <c r="Q269" s="14"/>
      <c r="S269" s="8"/>
      <c r="T269" s="8"/>
    </row>
    <row r="270" spans="8:20" ht="15.75" customHeight="1">
      <c r="H270" s="14"/>
      <c r="I270" s="15"/>
      <c r="J270" s="15"/>
      <c r="L270" s="14"/>
      <c r="M270" s="11"/>
      <c r="N270" s="15"/>
      <c r="P270" s="14"/>
      <c r="Q270" s="14"/>
      <c r="S270" s="8"/>
      <c r="T270" s="8"/>
    </row>
    <row r="271" spans="8:20" ht="15.75" customHeight="1">
      <c r="H271" s="14"/>
      <c r="I271" s="15"/>
      <c r="J271" s="15"/>
      <c r="L271" s="14"/>
      <c r="M271" s="11"/>
      <c r="N271" s="15"/>
      <c r="P271" s="14"/>
      <c r="Q271" s="14"/>
      <c r="S271" s="8"/>
      <c r="T271" s="8"/>
    </row>
    <row r="272" spans="8:20" ht="15.75" customHeight="1">
      <c r="H272" s="14"/>
      <c r="I272" s="15"/>
      <c r="J272" s="15"/>
      <c r="L272" s="14"/>
      <c r="M272" s="11"/>
      <c r="N272" s="15"/>
      <c r="P272" s="14"/>
      <c r="Q272" s="14"/>
      <c r="S272" s="8"/>
      <c r="T272" s="8"/>
    </row>
    <row r="273" spans="8:20" ht="15.75" customHeight="1">
      <c r="H273" s="14"/>
      <c r="I273" s="15"/>
      <c r="J273" s="15"/>
      <c r="L273" s="14"/>
      <c r="M273" s="11"/>
      <c r="N273" s="15"/>
      <c r="P273" s="14"/>
      <c r="Q273" s="14"/>
      <c r="S273" s="8"/>
      <c r="T273" s="8"/>
    </row>
    <row r="274" spans="8:20" ht="15.75" customHeight="1">
      <c r="H274" s="14"/>
      <c r="I274" s="15"/>
      <c r="J274" s="15"/>
      <c r="L274" s="14"/>
      <c r="M274" s="11"/>
      <c r="N274" s="15"/>
      <c r="P274" s="14"/>
      <c r="Q274" s="14"/>
      <c r="S274" s="8"/>
      <c r="T274" s="8"/>
    </row>
    <row r="275" spans="8:20" ht="15.75" customHeight="1">
      <c r="H275" s="14"/>
      <c r="I275" s="15"/>
      <c r="J275" s="15"/>
      <c r="L275" s="14"/>
      <c r="M275" s="11"/>
      <c r="N275" s="15"/>
      <c r="P275" s="14"/>
      <c r="Q275" s="14"/>
      <c r="S275" s="8"/>
      <c r="T275" s="8"/>
    </row>
    <row r="276" spans="8:20" ht="15.75" customHeight="1">
      <c r="H276" s="14"/>
      <c r="I276" s="15"/>
      <c r="J276" s="15"/>
      <c r="L276" s="14"/>
      <c r="M276" s="11"/>
      <c r="N276" s="15"/>
      <c r="P276" s="14"/>
      <c r="Q276" s="14"/>
      <c r="S276" s="8"/>
      <c r="T276" s="8"/>
    </row>
    <row r="277" spans="8:20" ht="15.75" customHeight="1">
      <c r="H277" s="14"/>
      <c r="I277" s="15"/>
      <c r="J277" s="15"/>
      <c r="L277" s="14"/>
      <c r="M277" s="11"/>
      <c r="N277" s="15"/>
      <c r="P277" s="14"/>
      <c r="Q277" s="14"/>
      <c r="S277" s="8"/>
      <c r="T277" s="8"/>
    </row>
    <row r="278" spans="8:20" ht="15.75" customHeight="1">
      <c r="H278" s="14"/>
      <c r="I278" s="15"/>
      <c r="J278" s="15"/>
      <c r="L278" s="14"/>
      <c r="M278" s="11"/>
      <c r="N278" s="15"/>
      <c r="P278" s="14"/>
      <c r="Q278" s="14"/>
      <c r="S278" s="8"/>
      <c r="T278" s="8"/>
    </row>
    <row r="279" spans="8:20" ht="15.75" customHeight="1">
      <c r="H279" s="14"/>
      <c r="I279" s="15"/>
      <c r="J279" s="15"/>
      <c r="L279" s="14"/>
      <c r="M279" s="11"/>
      <c r="N279" s="15"/>
      <c r="P279" s="14"/>
      <c r="Q279" s="14"/>
      <c r="S279" s="8"/>
      <c r="T279" s="8"/>
    </row>
    <row r="280" spans="8:20" ht="15.75" customHeight="1">
      <c r="H280" s="14"/>
      <c r="I280" s="15"/>
      <c r="J280" s="15"/>
      <c r="L280" s="14"/>
      <c r="M280" s="11"/>
      <c r="N280" s="15"/>
      <c r="P280" s="14"/>
      <c r="Q280" s="14"/>
      <c r="S280" s="8"/>
      <c r="T280" s="8"/>
    </row>
    <row r="281" spans="8:20" ht="15.75" customHeight="1">
      <c r="H281" s="14"/>
      <c r="I281" s="15"/>
      <c r="J281" s="15"/>
      <c r="L281" s="14"/>
      <c r="M281" s="11"/>
      <c r="N281" s="15"/>
      <c r="P281" s="14"/>
      <c r="Q281" s="14"/>
      <c r="S281" s="8"/>
      <c r="T281" s="8"/>
    </row>
    <row r="282" spans="8:20" ht="15.75" customHeight="1">
      <c r="H282" s="14"/>
      <c r="I282" s="15"/>
      <c r="J282" s="15"/>
      <c r="L282" s="14"/>
      <c r="M282" s="11"/>
      <c r="N282" s="15"/>
      <c r="P282" s="14"/>
      <c r="Q282" s="14"/>
      <c r="S282" s="8"/>
      <c r="T282" s="8"/>
    </row>
    <row r="283" spans="8:20" ht="15.75" customHeight="1">
      <c r="H283" s="14"/>
      <c r="I283" s="15"/>
      <c r="J283" s="15"/>
      <c r="L283" s="14"/>
      <c r="M283" s="11"/>
      <c r="N283" s="15"/>
      <c r="P283" s="14"/>
      <c r="Q283" s="14"/>
      <c r="S283" s="8"/>
      <c r="T283" s="8"/>
    </row>
    <row r="284" spans="8:20" ht="15.75" customHeight="1">
      <c r="H284" s="14"/>
      <c r="I284" s="15"/>
      <c r="J284" s="15"/>
      <c r="L284" s="14"/>
      <c r="M284" s="11"/>
      <c r="N284" s="15"/>
      <c r="P284" s="14"/>
      <c r="Q284" s="14"/>
      <c r="S284" s="8"/>
      <c r="T284" s="8"/>
    </row>
    <row r="285" spans="8:20" ht="15.75" customHeight="1">
      <c r="H285" s="14"/>
      <c r="I285" s="15"/>
      <c r="J285" s="15"/>
      <c r="L285" s="14"/>
      <c r="M285" s="11"/>
      <c r="N285" s="15"/>
      <c r="P285" s="14"/>
      <c r="Q285" s="14"/>
      <c r="S285" s="8"/>
      <c r="T285" s="8"/>
    </row>
    <row r="286" spans="8:20" ht="15.75" customHeight="1">
      <c r="H286" s="14"/>
      <c r="I286" s="15"/>
      <c r="J286" s="15"/>
      <c r="L286" s="14"/>
      <c r="M286" s="11"/>
      <c r="N286" s="15"/>
      <c r="P286" s="14"/>
      <c r="Q286" s="14"/>
      <c r="S286" s="8"/>
      <c r="T286" s="8"/>
    </row>
    <row r="287" spans="8:20" ht="15.75" customHeight="1">
      <c r="H287" s="14"/>
      <c r="I287" s="15"/>
      <c r="J287" s="15"/>
      <c r="L287" s="14"/>
      <c r="M287" s="11"/>
      <c r="N287" s="15"/>
      <c r="P287" s="14"/>
      <c r="Q287" s="14"/>
      <c r="S287" s="8"/>
      <c r="T287" s="8"/>
    </row>
    <row r="288" spans="8:20" ht="15.75" customHeight="1">
      <c r="H288" s="14"/>
      <c r="I288" s="15"/>
      <c r="J288" s="15"/>
      <c r="L288" s="14"/>
      <c r="M288" s="11"/>
      <c r="N288" s="15"/>
      <c r="P288" s="14"/>
      <c r="Q288" s="14"/>
      <c r="S288" s="8"/>
      <c r="T288" s="8"/>
    </row>
    <row r="289" spans="8:20" ht="15" customHeight="1">
      <c r="H289" s="14"/>
      <c r="I289" s="15"/>
      <c r="J289" s="15"/>
      <c r="L289" s="14"/>
      <c r="M289" s="11"/>
      <c r="N289" s="15"/>
      <c r="P289" s="14"/>
      <c r="Q289" s="14"/>
      <c r="S289" s="8"/>
      <c r="T289" s="8"/>
    </row>
    <row r="290" spans="8:20" ht="15" customHeight="1">
      <c r="H290" s="14"/>
      <c r="I290" s="15"/>
      <c r="J290" s="15"/>
      <c r="L290" s="14"/>
      <c r="M290" s="11"/>
      <c r="N290" s="15"/>
      <c r="P290" s="14"/>
      <c r="Q290" s="14"/>
      <c r="S290" s="8"/>
      <c r="T290" s="8"/>
    </row>
    <row r="291" spans="8:20" ht="15" customHeight="1">
      <c r="H291" s="14"/>
      <c r="I291" s="15"/>
      <c r="J291" s="15"/>
      <c r="L291" s="14"/>
      <c r="M291" s="11"/>
      <c r="N291" s="15"/>
      <c r="P291" s="14"/>
      <c r="Q291" s="14"/>
      <c r="S291" s="8"/>
      <c r="T291" s="8"/>
    </row>
    <row r="292" spans="8:20" ht="15" customHeight="1">
      <c r="H292" s="14"/>
      <c r="I292" s="15"/>
      <c r="J292" s="15"/>
      <c r="L292" s="14"/>
      <c r="M292" s="11"/>
      <c r="N292" s="15"/>
      <c r="P292" s="14"/>
      <c r="Q292" s="14"/>
      <c r="S292" s="8"/>
      <c r="T292" s="8"/>
    </row>
    <row r="293" spans="8:20" ht="15" customHeight="1">
      <c r="H293" s="14"/>
      <c r="I293" s="15"/>
      <c r="J293" s="15"/>
      <c r="L293" s="14"/>
      <c r="M293" s="11"/>
      <c r="N293" s="15"/>
      <c r="P293" s="14"/>
      <c r="Q293" s="14"/>
      <c r="S293" s="8"/>
      <c r="T293" s="8"/>
    </row>
    <row r="294" spans="8:20" ht="15" customHeight="1">
      <c r="H294" s="14"/>
      <c r="I294" s="15"/>
      <c r="J294" s="15"/>
      <c r="L294" s="14"/>
      <c r="M294" s="11"/>
      <c r="N294" s="15"/>
      <c r="P294" s="14"/>
      <c r="Q294" s="14"/>
      <c r="S294" s="8"/>
      <c r="T294" s="8"/>
    </row>
    <row r="295" spans="8:20" ht="15" customHeight="1">
      <c r="H295" s="14"/>
      <c r="I295" s="15"/>
      <c r="J295" s="15"/>
      <c r="L295" s="14"/>
      <c r="M295" s="11"/>
      <c r="N295" s="15"/>
      <c r="P295" s="14"/>
      <c r="Q295" s="14"/>
      <c r="S295" s="8"/>
      <c r="T295" s="8"/>
    </row>
    <row r="296" spans="8:20" ht="15" customHeight="1">
      <c r="H296" s="14"/>
      <c r="I296" s="15"/>
      <c r="J296" s="15"/>
      <c r="L296" s="14"/>
      <c r="M296" s="11"/>
      <c r="N296" s="15"/>
      <c r="P296" s="14"/>
      <c r="Q296" s="14"/>
      <c r="S296" s="8"/>
      <c r="T296" s="8"/>
    </row>
    <row r="297" spans="8:20" ht="15" customHeight="1">
      <c r="H297" s="14"/>
      <c r="I297" s="15"/>
      <c r="J297" s="15"/>
      <c r="L297" s="14"/>
      <c r="M297" s="11"/>
      <c r="N297" s="15"/>
      <c r="P297" s="14"/>
      <c r="Q297" s="14"/>
      <c r="S297" s="8"/>
      <c r="T297" s="8"/>
    </row>
    <row r="298" spans="8:20" ht="15" customHeight="1">
      <c r="H298" s="14"/>
      <c r="I298" s="15"/>
      <c r="J298" s="15"/>
      <c r="L298" s="14"/>
      <c r="M298" s="11"/>
      <c r="N298" s="15"/>
      <c r="P298" s="14"/>
      <c r="Q298" s="14"/>
      <c r="S298" s="8"/>
      <c r="T298" s="8"/>
    </row>
    <row r="299" spans="8:20" ht="15" customHeight="1">
      <c r="H299" s="14"/>
      <c r="I299" s="15"/>
      <c r="J299" s="15"/>
      <c r="L299" s="14"/>
      <c r="M299" s="11"/>
      <c r="N299" s="15"/>
      <c r="P299" s="14"/>
      <c r="Q299" s="14"/>
      <c r="S299" s="8"/>
      <c r="T299" s="8"/>
    </row>
    <row r="300" spans="8:20" ht="15" customHeight="1">
      <c r="H300" s="14"/>
      <c r="I300" s="15"/>
      <c r="J300" s="15"/>
      <c r="L300" s="14"/>
      <c r="M300" s="11"/>
      <c r="N300" s="15"/>
      <c r="P300" s="14"/>
      <c r="Q300" s="14"/>
      <c r="S300" s="8"/>
      <c r="T300" s="8"/>
    </row>
    <row r="301" spans="8:20" ht="15" customHeight="1">
      <c r="H301" s="14"/>
      <c r="I301" s="15"/>
      <c r="J301" s="15"/>
      <c r="L301" s="14"/>
      <c r="M301" s="11"/>
      <c r="N301" s="15"/>
      <c r="P301" s="14"/>
      <c r="Q301" s="14"/>
      <c r="S301" s="8"/>
      <c r="T301" s="8"/>
    </row>
    <row r="302" spans="8:20" ht="15" customHeight="1">
      <c r="H302" s="14"/>
      <c r="I302" s="15"/>
      <c r="J302" s="15"/>
      <c r="L302" s="14"/>
      <c r="M302" s="11"/>
      <c r="N302" s="15"/>
      <c r="P302" s="14"/>
      <c r="Q302" s="14"/>
      <c r="S302" s="8"/>
      <c r="T302" s="8"/>
    </row>
    <row r="303" spans="8:20" ht="15" customHeight="1">
      <c r="H303" s="14"/>
      <c r="I303" s="15"/>
      <c r="J303" s="15"/>
      <c r="L303" s="14"/>
      <c r="M303" s="11"/>
      <c r="N303" s="15"/>
      <c r="P303" s="14"/>
      <c r="Q303" s="14"/>
      <c r="S303" s="8"/>
      <c r="T303" s="8"/>
    </row>
    <row r="304" spans="8:20" ht="15" customHeight="1">
      <c r="H304" s="14"/>
      <c r="I304" s="15"/>
      <c r="J304" s="15"/>
      <c r="L304" s="14"/>
      <c r="M304" s="11"/>
      <c r="N304" s="15"/>
      <c r="P304" s="14"/>
      <c r="Q304" s="14"/>
      <c r="S304" s="8"/>
      <c r="T304" s="8"/>
    </row>
    <row r="305" spans="8:20" ht="15" customHeight="1">
      <c r="H305" s="14"/>
      <c r="I305" s="15"/>
      <c r="J305" s="15"/>
      <c r="L305" s="14"/>
      <c r="M305" s="11"/>
      <c r="N305" s="15"/>
      <c r="P305" s="14"/>
      <c r="Q305" s="14"/>
      <c r="S305" s="8"/>
      <c r="T305" s="8"/>
    </row>
    <row r="306" spans="8:20" ht="15" customHeight="1">
      <c r="H306" s="14"/>
      <c r="I306" s="15"/>
      <c r="J306" s="15"/>
      <c r="L306" s="14"/>
      <c r="M306" s="11"/>
      <c r="N306" s="15"/>
      <c r="P306" s="14"/>
      <c r="Q306" s="14"/>
      <c r="S306" s="8"/>
      <c r="T306" s="8"/>
    </row>
    <row r="307" spans="8:20" ht="15" customHeight="1">
      <c r="H307" s="14"/>
      <c r="I307" s="15"/>
      <c r="J307" s="15"/>
      <c r="L307" s="14"/>
      <c r="M307" s="11"/>
      <c r="N307" s="15"/>
      <c r="P307" s="14"/>
      <c r="Q307" s="14"/>
      <c r="S307" s="8"/>
      <c r="T307" s="8"/>
    </row>
    <row r="308" spans="8:20" ht="15" customHeight="1">
      <c r="H308" s="14"/>
      <c r="I308" s="15"/>
      <c r="J308" s="15"/>
      <c r="L308" s="14"/>
      <c r="M308" s="11"/>
      <c r="N308" s="15"/>
      <c r="P308" s="14"/>
      <c r="Q308" s="14"/>
      <c r="S308" s="8"/>
      <c r="T308" s="8"/>
    </row>
    <row r="309" spans="8:20" ht="15" customHeight="1">
      <c r="H309" s="14"/>
      <c r="I309" s="15"/>
      <c r="J309" s="15"/>
      <c r="L309" s="14"/>
      <c r="M309" s="11"/>
      <c r="N309" s="15"/>
      <c r="P309" s="14"/>
      <c r="Q309" s="14"/>
      <c r="S309" s="8"/>
      <c r="T309" s="8"/>
    </row>
    <row r="310" spans="8:20" ht="15" customHeight="1">
      <c r="H310" s="14"/>
      <c r="I310" s="15"/>
      <c r="J310" s="15"/>
      <c r="L310" s="14"/>
      <c r="M310" s="11"/>
      <c r="N310" s="15"/>
      <c r="P310" s="14"/>
      <c r="Q310" s="14"/>
      <c r="S310" s="8"/>
      <c r="T310" s="8"/>
    </row>
    <row r="311" spans="8:20" ht="15" customHeight="1">
      <c r="H311" s="14"/>
      <c r="I311" s="15"/>
      <c r="J311" s="15"/>
      <c r="L311" s="14"/>
      <c r="M311" s="11"/>
      <c r="N311" s="15"/>
      <c r="P311" s="14"/>
      <c r="Q311" s="14"/>
      <c r="S311" s="8"/>
      <c r="T311" s="8"/>
    </row>
    <row r="312" spans="8:20" ht="15" customHeight="1">
      <c r="H312" s="14"/>
      <c r="I312" s="15"/>
      <c r="J312" s="15"/>
      <c r="L312" s="14"/>
      <c r="M312" s="11"/>
      <c r="N312" s="15"/>
      <c r="P312" s="14"/>
      <c r="Q312" s="14"/>
      <c r="S312" s="8"/>
      <c r="T312" s="8"/>
    </row>
    <row r="313" spans="8:20" ht="15" customHeight="1">
      <c r="H313" s="14"/>
      <c r="I313" s="15"/>
      <c r="J313" s="15"/>
      <c r="L313" s="14"/>
      <c r="M313" s="11"/>
      <c r="N313" s="15"/>
      <c r="P313" s="14"/>
      <c r="Q313" s="14"/>
      <c r="S313" s="8"/>
      <c r="T313" s="8"/>
    </row>
    <row r="314" spans="8:20" ht="15" customHeight="1">
      <c r="H314" s="14"/>
      <c r="I314" s="15"/>
      <c r="J314" s="15"/>
      <c r="L314" s="14"/>
      <c r="M314" s="11"/>
      <c r="N314" s="15"/>
      <c r="P314" s="14"/>
      <c r="Q314" s="14"/>
      <c r="S314" s="8"/>
      <c r="T314" s="8"/>
    </row>
    <row r="315" spans="8:20" ht="15" customHeight="1">
      <c r="H315" s="14"/>
      <c r="I315" s="15"/>
      <c r="J315" s="15"/>
      <c r="L315" s="14"/>
      <c r="M315" s="11"/>
      <c r="N315" s="15"/>
      <c r="P315" s="14"/>
      <c r="Q315" s="14"/>
      <c r="S315" s="8"/>
      <c r="T315" s="8"/>
    </row>
    <row r="316" spans="8:20" ht="15" customHeight="1">
      <c r="H316" s="14"/>
      <c r="I316" s="15"/>
      <c r="J316" s="15"/>
      <c r="L316" s="14"/>
      <c r="M316" s="11"/>
      <c r="N316" s="15"/>
      <c r="P316" s="14"/>
      <c r="Q316" s="14"/>
      <c r="S316" s="8"/>
      <c r="T316" s="8"/>
    </row>
    <row r="317" spans="8:20" ht="15" customHeight="1">
      <c r="H317" s="14"/>
      <c r="I317" s="15"/>
      <c r="J317" s="15"/>
      <c r="L317" s="14"/>
      <c r="M317" s="11"/>
      <c r="N317" s="15"/>
      <c r="P317" s="14"/>
      <c r="Q317" s="14"/>
      <c r="S317" s="8"/>
      <c r="T317" s="8"/>
    </row>
  </sheetData>
  <autoFilter ref="A1:T217" xr:uid="{00000000-0001-0000-0400-000000000000}"/>
  <conditionalFormatting sqref="I259:J317">
    <cfRule type="cellIs" dxfId="28" priority="5" operator="equal">
      <formula>0</formula>
    </cfRule>
  </conditionalFormatting>
  <conditionalFormatting sqref="J1 N1">
    <cfRule type="cellIs" dxfId="27" priority="17" operator="equal">
      <formula>0</formula>
    </cfRule>
  </conditionalFormatting>
  <conditionalFormatting sqref="J2:K129 J131:J132 J133:K134">
    <cfRule type="cellIs" dxfId="26" priority="8" operator="equal">
      <formula>0</formula>
    </cfRule>
  </conditionalFormatting>
  <conditionalFormatting sqref="J137:K254 J257:K258">
    <cfRule type="cellIs" dxfId="25" priority="2" operator="equal">
      <formula>0</formula>
    </cfRule>
  </conditionalFormatting>
  <conditionalFormatting sqref="M259:M317">
    <cfRule type="cellIs" dxfId="24" priority="6" operator="equal">
      <formula>0</formula>
    </cfRule>
  </conditionalFormatting>
  <conditionalFormatting sqref="N133">
    <cfRule type="cellIs" dxfId="23" priority="9" operator="equal">
      <formula>0</formula>
    </cfRule>
  </conditionalFormatting>
  <conditionalFormatting sqref="N257:N317">
    <cfRule type="cellIs" dxfId="22" priority="3" operator="equal">
      <formula>0</formula>
    </cfRule>
  </conditionalFormatting>
  <conditionalFormatting sqref="N2:O127 N129:O129">
    <cfRule type="cellIs" dxfId="21" priority="7" operator="equal">
      <formula>0</formula>
    </cfRule>
  </conditionalFormatting>
  <conditionalFormatting sqref="N137:O254">
    <cfRule type="cellIs" dxfId="20" priority="1" operator="equal">
      <formula>0</formula>
    </cfRule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BF80B-FB87-EA4A-8A76-6B3C9EF260D5}">
  <dimension ref="A1:Y1000"/>
  <sheetViews>
    <sheetView topLeftCell="E1" zoomScale="110" zoomScaleNormal="110" workbookViewId="0">
      <selection activeCell="F30" sqref="F30:R31"/>
    </sheetView>
  </sheetViews>
  <sheetFormatPr defaultColWidth="14.42578125" defaultRowHeight="15" customHeight="1"/>
  <cols>
    <col min="1" max="1" width="12.7109375" bestFit="1" customWidth="1"/>
    <col min="2" max="2" width="17.28515625" bestFit="1" customWidth="1"/>
    <col min="3" max="3" width="29.42578125" bestFit="1" customWidth="1"/>
    <col min="4" max="5" width="30.140625" customWidth="1"/>
    <col min="6" max="6" width="25.85546875" customWidth="1"/>
    <col min="7" max="7" width="7" style="10" bestFit="1" customWidth="1"/>
    <col min="8" max="8" width="12.42578125" style="10" bestFit="1" customWidth="1"/>
    <col min="9" max="9" width="7" style="10" bestFit="1" customWidth="1"/>
    <col min="10" max="10" width="8.85546875" bestFit="1" customWidth="1"/>
    <col min="11" max="11" width="7" style="10" bestFit="1" customWidth="1"/>
    <col min="12" max="12" width="18.140625" bestFit="1" customWidth="1"/>
    <col min="13" max="13" width="7" style="10" bestFit="1" customWidth="1"/>
    <col min="14" max="14" width="8.85546875" bestFit="1" customWidth="1"/>
    <col min="15" max="15" width="7" style="10" bestFit="1" customWidth="1"/>
    <col min="16" max="16" width="11.42578125" style="10" bestFit="1" customWidth="1"/>
    <col min="17" max="17" width="9.140625" style="9" bestFit="1" customWidth="1"/>
    <col min="18" max="18" width="20" customWidth="1"/>
  </cols>
  <sheetData>
    <row r="1" spans="1:25" ht="29.1">
      <c r="A1" s="33" t="s">
        <v>121</v>
      </c>
      <c r="B1" s="58" t="s">
        <v>121</v>
      </c>
      <c r="C1" s="58" t="s">
        <v>122</v>
      </c>
      <c r="D1" s="58" t="s">
        <v>123</v>
      </c>
      <c r="E1" s="59"/>
      <c r="F1" s="58" t="s">
        <v>125</v>
      </c>
      <c r="G1" s="58" t="s">
        <v>333</v>
      </c>
      <c r="H1" s="58" t="s">
        <v>126</v>
      </c>
      <c r="I1" s="58" t="s">
        <v>127</v>
      </c>
      <c r="J1" s="58" t="s">
        <v>2701</v>
      </c>
      <c r="K1" s="58" t="s">
        <v>1023</v>
      </c>
      <c r="L1" s="58" t="s">
        <v>129</v>
      </c>
      <c r="M1" s="58" t="s">
        <v>335</v>
      </c>
      <c r="N1" s="58" t="s">
        <v>131</v>
      </c>
      <c r="O1" s="58" t="s">
        <v>336</v>
      </c>
      <c r="P1" s="58" t="s">
        <v>133</v>
      </c>
      <c r="Q1" s="58" t="s">
        <v>134</v>
      </c>
      <c r="R1" s="35"/>
      <c r="S1" s="35"/>
      <c r="T1" s="35"/>
      <c r="U1" s="35"/>
      <c r="V1" s="35"/>
      <c r="W1" s="35"/>
      <c r="X1" s="35"/>
      <c r="Y1" s="36"/>
    </row>
    <row r="2" spans="1:25" ht="14.45">
      <c r="A2" s="37">
        <v>1</v>
      </c>
      <c r="B2" s="59">
        <v>1</v>
      </c>
      <c r="C2" s="59">
        <v>100</v>
      </c>
      <c r="D2" s="59" t="s">
        <v>136</v>
      </c>
      <c r="E2" s="59" t="s">
        <v>22</v>
      </c>
      <c r="F2" s="59" t="s">
        <v>138</v>
      </c>
      <c r="G2" s="59" t="s">
        <v>340</v>
      </c>
      <c r="H2" s="59" t="s">
        <v>139</v>
      </c>
      <c r="I2" s="59">
        <v>1</v>
      </c>
      <c r="J2" s="59">
        <v>1</v>
      </c>
      <c r="K2" s="61">
        <v>2.0872685185185185E-2</v>
      </c>
      <c r="L2" s="61">
        <v>1.0428240740740741E-3</v>
      </c>
      <c r="M2" s="61">
        <v>8.9508101851851846E-2</v>
      </c>
      <c r="N2" s="61">
        <v>4.3171296296296295E-4</v>
      </c>
      <c r="O2" s="61">
        <v>5.3016203703703711E-2</v>
      </c>
      <c r="P2" s="61">
        <v>0.16487384259259261</v>
      </c>
      <c r="Q2" s="59"/>
      <c r="R2" s="8">
        <f>IFERROR(ROUND($P$2/P2*1100,0),0)</f>
        <v>1100</v>
      </c>
      <c r="S2" s="38"/>
      <c r="T2" s="38"/>
      <c r="U2" s="38"/>
      <c r="V2" s="38"/>
      <c r="W2" s="38"/>
      <c r="X2" s="38"/>
      <c r="Y2" s="39"/>
    </row>
    <row r="3" spans="1:25" ht="14.45">
      <c r="A3" s="37">
        <v>2</v>
      </c>
      <c r="B3" s="59">
        <v>2</v>
      </c>
      <c r="C3" s="59">
        <v>102</v>
      </c>
      <c r="D3" s="59" t="s">
        <v>2702</v>
      </c>
      <c r="E3" s="59" t="s">
        <v>2703</v>
      </c>
      <c r="F3" s="59"/>
      <c r="G3" s="59" t="s">
        <v>340</v>
      </c>
      <c r="H3" s="59" t="s">
        <v>154</v>
      </c>
      <c r="I3" s="59">
        <v>1</v>
      </c>
      <c r="J3" s="59">
        <v>1</v>
      </c>
      <c r="K3" s="61">
        <v>1.9872685185185184E-2</v>
      </c>
      <c r="L3" s="61">
        <v>9.9189814814814822E-4</v>
      </c>
      <c r="M3" s="61">
        <v>8.8400462962962958E-2</v>
      </c>
      <c r="N3" s="61">
        <v>7.5462962962962962E-4</v>
      </c>
      <c r="O3" s="61">
        <v>5.5831018518518523E-2</v>
      </c>
      <c r="P3" s="61">
        <v>0.16585300925925928</v>
      </c>
      <c r="Q3" s="59" t="s">
        <v>2704</v>
      </c>
      <c r="R3" s="8">
        <f t="shared" ref="R3:R66" si="0">IFERROR(ROUND($P$2/P3*1100,0),0)</f>
        <v>1094</v>
      </c>
      <c r="S3" s="38"/>
      <c r="T3" s="38"/>
      <c r="U3" s="38"/>
      <c r="V3" s="38"/>
      <c r="W3" s="38"/>
      <c r="X3" s="38"/>
      <c r="Y3" s="39"/>
    </row>
    <row r="4" spans="1:25" ht="14.45">
      <c r="A4" s="37">
        <v>3</v>
      </c>
      <c r="B4" s="59">
        <v>3</v>
      </c>
      <c r="C4" s="59">
        <v>103</v>
      </c>
      <c r="D4" s="59" t="s">
        <v>346</v>
      </c>
      <c r="E4" s="59" t="s">
        <v>24</v>
      </c>
      <c r="F4" s="59" t="s">
        <v>138</v>
      </c>
      <c r="G4" s="59" t="s">
        <v>340</v>
      </c>
      <c r="H4" s="59" t="s">
        <v>139</v>
      </c>
      <c r="I4" s="59">
        <v>2</v>
      </c>
      <c r="J4" s="59">
        <v>1</v>
      </c>
      <c r="K4" s="61">
        <v>2.0377314814814813E-2</v>
      </c>
      <c r="L4" s="61">
        <v>1.2395833333333332E-3</v>
      </c>
      <c r="M4" s="61">
        <v>9.172569444444445E-2</v>
      </c>
      <c r="N4" s="61">
        <v>6.0532407407407399E-4</v>
      </c>
      <c r="O4" s="61">
        <v>5.518981481481481E-2</v>
      </c>
      <c r="P4" s="61">
        <v>0.16914004629629631</v>
      </c>
      <c r="Q4" s="59" t="s">
        <v>1227</v>
      </c>
      <c r="R4" s="8">
        <f t="shared" si="0"/>
        <v>1072</v>
      </c>
      <c r="S4" s="38"/>
      <c r="T4" s="38"/>
      <c r="U4" s="38"/>
      <c r="V4" s="38"/>
      <c r="W4" s="38"/>
      <c r="X4" s="38"/>
      <c r="Y4" s="39"/>
    </row>
    <row r="5" spans="1:25" ht="14.45">
      <c r="A5" s="37">
        <v>4</v>
      </c>
      <c r="B5" s="59">
        <v>4</v>
      </c>
      <c r="C5" s="59">
        <v>105</v>
      </c>
      <c r="D5" s="59" t="s">
        <v>337</v>
      </c>
      <c r="E5" s="59" t="s">
        <v>2705</v>
      </c>
      <c r="F5" s="59" t="s">
        <v>2706</v>
      </c>
      <c r="G5" s="59" t="s">
        <v>340</v>
      </c>
      <c r="H5" s="59" t="s">
        <v>149</v>
      </c>
      <c r="I5" s="59">
        <v>1</v>
      </c>
      <c r="J5" s="59">
        <v>1</v>
      </c>
      <c r="K5" s="61">
        <v>1.9835648148148147E-2</v>
      </c>
      <c r="L5" s="61">
        <v>1.8194444444444443E-3</v>
      </c>
      <c r="M5" s="61">
        <v>9.1168981481481476E-2</v>
      </c>
      <c r="N5" s="61">
        <v>5.1157407407407412E-4</v>
      </c>
      <c r="O5" s="61">
        <v>6.0346064814814811E-2</v>
      </c>
      <c r="P5" s="61">
        <v>0.17368518518518519</v>
      </c>
      <c r="Q5" s="59" t="s">
        <v>2707</v>
      </c>
      <c r="R5" s="8">
        <f t="shared" si="0"/>
        <v>1044</v>
      </c>
      <c r="S5" s="38"/>
      <c r="T5" s="38"/>
      <c r="U5" s="38"/>
      <c r="V5" s="38"/>
      <c r="W5" s="38"/>
      <c r="X5" s="38"/>
      <c r="Y5" s="39"/>
    </row>
    <row r="6" spans="1:25" ht="14.45">
      <c r="A6" s="37">
        <v>5</v>
      </c>
      <c r="B6" s="59">
        <v>5</v>
      </c>
      <c r="C6" s="59">
        <v>104</v>
      </c>
      <c r="D6" s="59" t="s">
        <v>359</v>
      </c>
      <c r="E6" s="59" t="s">
        <v>25</v>
      </c>
      <c r="F6" s="59" t="s">
        <v>138</v>
      </c>
      <c r="G6" s="59" t="s">
        <v>340</v>
      </c>
      <c r="H6" s="59" t="s">
        <v>154</v>
      </c>
      <c r="I6" s="59">
        <v>2</v>
      </c>
      <c r="J6" s="59">
        <v>1</v>
      </c>
      <c r="K6" s="61">
        <v>2.1226851851851851E-2</v>
      </c>
      <c r="L6" s="61">
        <v>1.2534722222222222E-3</v>
      </c>
      <c r="M6" s="61">
        <v>9.5658564814814814E-2</v>
      </c>
      <c r="N6" s="61">
        <v>7.4421296296296291E-4</v>
      </c>
      <c r="O6" s="61">
        <v>5.6608796296296296E-2</v>
      </c>
      <c r="P6" s="61">
        <v>0.17549421296296297</v>
      </c>
      <c r="Q6" s="59" t="s">
        <v>2708</v>
      </c>
      <c r="R6" s="8">
        <f t="shared" si="0"/>
        <v>1033</v>
      </c>
      <c r="S6" s="38"/>
      <c r="T6" s="38"/>
      <c r="U6" s="38"/>
      <c r="V6" s="38"/>
      <c r="W6" s="38"/>
      <c r="X6" s="38"/>
      <c r="Y6" s="39"/>
    </row>
    <row r="7" spans="1:25" ht="14.45">
      <c r="A7" s="37">
        <v>6</v>
      </c>
      <c r="B7" s="59">
        <v>6</v>
      </c>
      <c r="C7" s="59">
        <v>106</v>
      </c>
      <c r="D7" s="59" t="s">
        <v>362</v>
      </c>
      <c r="E7" s="59" t="s">
        <v>2709</v>
      </c>
      <c r="F7" s="59" t="s">
        <v>252</v>
      </c>
      <c r="G7" s="59" t="s">
        <v>340</v>
      </c>
      <c r="H7" s="59" t="s">
        <v>149</v>
      </c>
      <c r="I7" s="59">
        <v>2</v>
      </c>
      <c r="J7" s="59">
        <v>1</v>
      </c>
      <c r="K7" s="61">
        <v>2.1031249999999998E-2</v>
      </c>
      <c r="L7" s="61">
        <v>1.4108796296296298E-3</v>
      </c>
      <c r="M7" s="61">
        <v>9.5873842592592587E-2</v>
      </c>
      <c r="N7" s="61">
        <v>8.9236111111111102E-4</v>
      </c>
      <c r="O7" s="61">
        <v>5.9865740740740733E-2</v>
      </c>
      <c r="P7" s="61">
        <v>0.17907638888888891</v>
      </c>
      <c r="Q7" s="59" t="s">
        <v>2710</v>
      </c>
      <c r="R7" s="8">
        <f t="shared" si="0"/>
        <v>1013</v>
      </c>
      <c r="S7" s="38"/>
      <c r="T7" s="38"/>
      <c r="U7" s="38"/>
      <c r="V7" s="38"/>
      <c r="W7" s="38"/>
      <c r="X7" s="38"/>
      <c r="Y7" s="39"/>
    </row>
    <row r="8" spans="1:25" ht="14.45">
      <c r="A8" s="37">
        <v>7</v>
      </c>
      <c r="B8" s="59">
        <v>7</v>
      </c>
      <c r="C8" s="59">
        <v>109</v>
      </c>
      <c r="D8" s="59" t="s">
        <v>146</v>
      </c>
      <c r="E8" s="59" t="s">
        <v>2711</v>
      </c>
      <c r="F8" s="59" t="s">
        <v>148</v>
      </c>
      <c r="G8" s="59" t="s">
        <v>340</v>
      </c>
      <c r="H8" s="59" t="s">
        <v>149</v>
      </c>
      <c r="I8" s="59">
        <v>3</v>
      </c>
      <c r="J8" s="59">
        <v>1</v>
      </c>
      <c r="K8" s="61">
        <v>1.9859953703703706E-2</v>
      </c>
      <c r="L8" s="61">
        <v>2.003472222222222E-3</v>
      </c>
      <c r="M8" s="61">
        <v>9.4621527777777784E-2</v>
      </c>
      <c r="N8" s="61">
        <v>4.5833333333333332E-4</v>
      </c>
      <c r="O8" s="61">
        <v>6.3168981481481479E-2</v>
      </c>
      <c r="P8" s="61">
        <v>0.18011458333333333</v>
      </c>
      <c r="Q8" s="59" t="s">
        <v>2712</v>
      </c>
      <c r="R8" s="8">
        <f t="shared" si="0"/>
        <v>1007</v>
      </c>
      <c r="S8" s="38"/>
      <c r="T8" s="38"/>
      <c r="U8" s="38"/>
      <c r="V8" s="38"/>
      <c r="W8" s="38"/>
      <c r="X8" s="38"/>
      <c r="Y8" s="39"/>
    </row>
    <row r="9" spans="1:25" ht="14.45">
      <c r="A9" s="37">
        <v>8</v>
      </c>
      <c r="B9" s="59">
        <v>8</v>
      </c>
      <c r="C9" s="59">
        <v>121</v>
      </c>
      <c r="D9" s="59" t="s">
        <v>378</v>
      </c>
      <c r="E9" s="59" t="s">
        <v>2713</v>
      </c>
      <c r="F9" s="59"/>
      <c r="G9" s="59" t="s">
        <v>340</v>
      </c>
      <c r="H9" s="59" t="s">
        <v>154</v>
      </c>
      <c r="I9" s="59">
        <v>3</v>
      </c>
      <c r="J9" s="59">
        <v>1</v>
      </c>
      <c r="K9" s="61">
        <v>2.3925925925925923E-2</v>
      </c>
      <c r="L9" s="61">
        <v>2.6423611111111114E-3</v>
      </c>
      <c r="M9" s="61">
        <v>9.8086805555555559E-2</v>
      </c>
      <c r="N9" s="61">
        <v>5.0115740740740741E-4</v>
      </c>
      <c r="O9" s="61">
        <v>6.044212962962963E-2</v>
      </c>
      <c r="P9" s="61">
        <v>0.18560185185185185</v>
      </c>
      <c r="Q9" s="59" t="s">
        <v>2714</v>
      </c>
      <c r="R9" s="8">
        <f t="shared" si="0"/>
        <v>977</v>
      </c>
      <c r="S9" s="38"/>
      <c r="T9" s="38"/>
      <c r="U9" s="38"/>
      <c r="V9" s="38"/>
      <c r="W9" s="38"/>
      <c r="X9" s="38"/>
      <c r="Y9" s="39"/>
    </row>
    <row r="10" spans="1:25" ht="14.45">
      <c r="A10" s="37">
        <v>9</v>
      </c>
      <c r="B10" s="59">
        <v>9</v>
      </c>
      <c r="C10" s="59">
        <v>110</v>
      </c>
      <c r="D10" s="59" t="s">
        <v>191</v>
      </c>
      <c r="E10" s="59" t="s">
        <v>26</v>
      </c>
      <c r="F10" s="59" t="s">
        <v>138</v>
      </c>
      <c r="G10" s="59" t="s">
        <v>340</v>
      </c>
      <c r="H10" s="59" t="s">
        <v>154</v>
      </c>
      <c r="I10" s="59">
        <v>4</v>
      </c>
      <c r="J10" s="59">
        <v>1</v>
      </c>
      <c r="K10" s="61">
        <v>2.1480324074074075E-2</v>
      </c>
      <c r="L10" s="61">
        <v>1.6076388888888889E-3</v>
      </c>
      <c r="M10" s="61">
        <v>9.7509259259259254E-2</v>
      </c>
      <c r="N10" s="61">
        <v>6.6203703703703704E-4</v>
      </c>
      <c r="O10" s="61">
        <v>6.5064814814814825E-2</v>
      </c>
      <c r="P10" s="61">
        <v>0.18632638888888889</v>
      </c>
      <c r="Q10" s="59" t="s">
        <v>2715</v>
      </c>
      <c r="R10" s="8">
        <f t="shared" si="0"/>
        <v>973</v>
      </c>
      <c r="S10" s="38"/>
      <c r="T10" s="38"/>
      <c r="U10" s="38"/>
      <c r="V10" s="38"/>
      <c r="W10" s="38"/>
      <c r="X10" s="38"/>
      <c r="Y10" s="39"/>
    </row>
    <row r="11" spans="1:25" ht="14.45">
      <c r="A11" s="37">
        <v>10</v>
      </c>
      <c r="B11" s="59">
        <v>10</v>
      </c>
      <c r="C11" s="59">
        <v>118</v>
      </c>
      <c r="D11" s="59" t="s">
        <v>1529</v>
      </c>
      <c r="E11" s="59" t="s">
        <v>2716</v>
      </c>
      <c r="F11" s="59"/>
      <c r="G11" s="59" t="s">
        <v>340</v>
      </c>
      <c r="H11" s="59" t="s">
        <v>139</v>
      </c>
      <c r="I11" s="59">
        <v>3</v>
      </c>
      <c r="J11" s="59">
        <v>1</v>
      </c>
      <c r="K11" s="61">
        <v>2.1372685185185186E-2</v>
      </c>
      <c r="L11" s="61">
        <v>6.4317129629629637E-3</v>
      </c>
      <c r="M11" s="61">
        <v>9.0453703703703703E-2</v>
      </c>
      <c r="N11" s="61">
        <v>1.0717592592592593E-3</v>
      </c>
      <c r="O11" s="61">
        <v>6.7037037037037034E-2</v>
      </c>
      <c r="P11" s="61">
        <v>0.18636805555555555</v>
      </c>
      <c r="Q11" s="59" t="s">
        <v>2717</v>
      </c>
      <c r="R11" s="8">
        <f t="shared" si="0"/>
        <v>973</v>
      </c>
      <c r="S11" s="38"/>
      <c r="T11" s="38"/>
      <c r="U11" s="38"/>
      <c r="V11" s="38"/>
      <c r="W11" s="38"/>
      <c r="X11" s="38"/>
      <c r="Y11" s="39"/>
    </row>
    <row r="12" spans="1:25" ht="14.45">
      <c r="A12" s="37">
        <v>11</v>
      </c>
      <c r="B12" s="59">
        <v>11</v>
      </c>
      <c r="C12" s="59">
        <v>1</v>
      </c>
      <c r="D12" s="59" t="s">
        <v>1519</v>
      </c>
      <c r="E12" s="59" t="s">
        <v>2718</v>
      </c>
      <c r="F12" s="59" t="s">
        <v>2719</v>
      </c>
      <c r="G12" s="59" t="s">
        <v>319</v>
      </c>
      <c r="H12" s="59" t="s">
        <v>2720</v>
      </c>
      <c r="I12" s="59">
        <v>1</v>
      </c>
      <c r="J12" s="59">
        <v>3</v>
      </c>
      <c r="K12" s="61">
        <v>1.9575231481481482E-2</v>
      </c>
      <c r="L12" s="61">
        <v>1.0486111111111111E-3</v>
      </c>
      <c r="M12" s="61">
        <v>0.10082638888888888</v>
      </c>
      <c r="N12" s="61">
        <v>6.041666666666667E-4</v>
      </c>
      <c r="O12" s="61">
        <v>6.4680555555555547E-2</v>
      </c>
      <c r="P12" s="61">
        <v>0.18673726851851852</v>
      </c>
      <c r="Q12" s="59" t="s">
        <v>2721</v>
      </c>
      <c r="R12" s="8">
        <f t="shared" si="0"/>
        <v>971</v>
      </c>
      <c r="S12" s="38"/>
      <c r="T12" s="38"/>
      <c r="U12" s="38"/>
      <c r="V12" s="38"/>
      <c r="W12" s="38"/>
      <c r="X12" s="38"/>
      <c r="Y12" s="39"/>
    </row>
    <row r="13" spans="1:25" ht="14.45">
      <c r="A13" s="37">
        <v>12</v>
      </c>
      <c r="B13" s="59">
        <v>12</v>
      </c>
      <c r="C13" s="59">
        <v>117</v>
      </c>
      <c r="D13" s="59" t="s">
        <v>1532</v>
      </c>
      <c r="E13" s="59" t="s">
        <v>2722</v>
      </c>
      <c r="F13" s="59"/>
      <c r="G13" s="59" t="s">
        <v>340</v>
      </c>
      <c r="H13" s="59" t="s">
        <v>139</v>
      </c>
      <c r="I13" s="59">
        <v>4</v>
      </c>
      <c r="J13" s="59">
        <v>1</v>
      </c>
      <c r="K13" s="61">
        <v>2.2793981481481481E-2</v>
      </c>
      <c r="L13" s="61">
        <v>1.5347222222222223E-3</v>
      </c>
      <c r="M13" s="61">
        <v>9.8296296296296284E-2</v>
      </c>
      <c r="N13" s="61">
        <v>7.0717592592592598E-4</v>
      </c>
      <c r="O13" s="61">
        <v>6.4130787037037035E-2</v>
      </c>
      <c r="P13" s="61">
        <v>0.18746527777777777</v>
      </c>
      <c r="Q13" s="59" t="s">
        <v>2723</v>
      </c>
      <c r="R13" s="8">
        <f t="shared" si="0"/>
        <v>967</v>
      </c>
      <c r="S13" s="38"/>
      <c r="T13" s="38"/>
      <c r="U13" s="38"/>
      <c r="V13" s="38"/>
      <c r="W13" s="38"/>
      <c r="X13" s="38"/>
      <c r="Y13" s="39"/>
    </row>
    <row r="14" spans="1:25" ht="14.45">
      <c r="A14" s="37">
        <v>13</v>
      </c>
      <c r="B14" s="59">
        <v>13</v>
      </c>
      <c r="C14" s="59">
        <v>112</v>
      </c>
      <c r="D14" s="59" t="s">
        <v>2363</v>
      </c>
      <c r="E14" s="59" t="s">
        <v>2724</v>
      </c>
      <c r="F14" s="59" t="s">
        <v>173</v>
      </c>
      <c r="G14" s="59" t="s">
        <v>340</v>
      </c>
      <c r="H14" s="59" t="s">
        <v>139</v>
      </c>
      <c r="I14" s="59">
        <v>5</v>
      </c>
      <c r="J14" s="59">
        <v>1</v>
      </c>
      <c r="K14" s="61">
        <v>2.2726851851851852E-2</v>
      </c>
      <c r="L14" s="61">
        <v>1.7372685185185184E-3</v>
      </c>
      <c r="M14" s="61">
        <v>9.8474537037037041E-2</v>
      </c>
      <c r="N14" s="61">
        <v>6.5972222222222224E-4</v>
      </c>
      <c r="O14" s="61">
        <v>6.414930555555555E-2</v>
      </c>
      <c r="P14" s="61">
        <v>0.18775115740740742</v>
      </c>
      <c r="Q14" s="59" t="s">
        <v>2725</v>
      </c>
      <c r="R14" s="8">
        <f t="shared" si="0"/>
        <v>966</v>
      </c>
      <c r="S14" s="38"/>
      <c r="T14" s="38"/>
      <c r="U14" s="38"/>
      <c r="V14" s="38"/>
      <c r="W14" s="38"/>
      <c r="X14" s="38"/>
      <c r="Y14" s="39"/>
    </row>
    <row r="15" spans="1:25" ht="14.45">
      <c r="A15" s="37">
        <v>14</v>
      </c>
      <c r="B15" s="59">
        <v>14</v>
      </c>
      <c r="C15" s="59">
        <v>163</v>
      </c>
      <c r="D15" s="59" t="s">
        <v>1527</v>
      </c>
      <c r="E15" s="59" t="s">
        <v>2726</v>
      </c>
      <c r="F15" s="59" t="s">
        <v>148</v>
      </c>
      <c r="G15" s="59" t="s">
        <v>340</v>
      </c>
      <c r="H15" s="59" t="s">
        <v>154</v>
      </c>
      <c r="I15" s="59">
        <v>5</v>
      </c>
      <c r="J15" s="59">
        <v>4</v>
      </c>
      <c r="K15" s="61">
        <v>2.3380787037037037E-2</v>
      </c>
      <c r="L15" s="61">
        <v>1.5983796296296295E-3</v>
      </c>
      <c r="M15" s="61">
        <v>9.8008101851851853E-2</v>
      </c>
      <c r="N15" s="61">
        <v>5.7175925925925927E-4</v>
      </c>
      <c r="O15" s="61">
        <v>6.515972222222223E-2</v>
      </c>
      <c r="P15" s="61">
        <v>0.18872106481481482</v>
      </c>
      <c r="Q15" s="59" t="s">
        <v>2727</v>
      </c>
      <c r="R15" s="8">
        <f t="shared" si="0"/>
        <v>961</v>
      </c>
      <c r="S15" s="38"/>
      <c r="T15" s="38"/>
      <c r="U15" s="38"/>
      <c r="V15" s="38"/>
      <c r="W15" s="38"/>
      <c r="X15" s="38"/>
      <c r="Y15" s="39"/>
    </row>
    <row r="16" spans="1:25" ht="14.45">
      <c r="A16" s="37">
        <v>15</v>
      </c>
      <c r="B16" s="59">
        <v>15</v>
      </c>
      <c r="C16" s="59">
        <v>107</v>
      </c>
      <c r="D16" s="59" t="s">
        <v>365</v>
      </c>
      <c r="E16" s="59" t="s">
        <v>2728</v>
      </c>
      <c r="F16" s="59" t="s">
        <v>148</v>
      </c>
      <c r="G16" s="59" t="s">
        <v>340</v>
      </c>
      <c r="H16" s="59" t="s">
        <v>163</v>
      </c>
      <c r="I16" s="59">
        <v>1</v>
      </c>
      <c r="J16" s="59">
        <v>1</v>
      </c>
      <c r="K16" s="61">
        <v>2.321875E-2</v>
      </c>
      <c r="L16" s="61">
        <v>1.912037037037037E-3</v>
      </c>
      <c r="M16" s="61">
        <v>9.8791666666666667E-2</v>
      </c>
      <c r="N16" s="61">
        <v>1.0381944444444445E-3</v>
      </c>
      <c r="O16" s="61">
        <v>6.5076388888888892E-2</v>
      </c>
      <c r="P16" s="61">
        <v>0.19004050925925925</v>
      </c>
      <c r="Q16" s="59" t="s">
        <v>2729</v>
      </c>
      <c r="R16" s="8">
        <f t="shared" si="0"/>
        <v>954</v>
      </c>
      <c r="S16" s="38"/>
      <c r="T16" s="38"/>
      <c r="U16" s="38"/>
      <c r="V16" s="38"/>
      <c r="W16" s="38"/>
      <c r="X16" s="38"/>
      <c r="Y16" s="39"/>
    </row>
    <row r="17" spans="1:25" ht="14.45">
      <c r="A17" s="37">
        <v>16</v>
      </c>
      <c r="B17" s="59">
        <v>16</v>
      </c>
      <c r="C17" s="59">
        <v>122</v>
      </c>
      <c r="D17" s="59" t="s">
        <v>417</v>
      </c>
      <c r="E17" s="59" t="s">
        <v>2730</v>
      </c>
      <c r="F17" s="59"/>
      <c r="G17" s="59" t="s">
        <v>340</v>
      </c>
      <c r="H17" s="59" t="s">
        <v>154</v>
      </c>
      <c r="I17" s="59">
        <v>6</v>
      </c>
      <c r="J17" s="59">
        <v>1</v>
      </c>
      <c r="K17" s="61">
        <v>2.5087962962962961E-2</v>
      </c>
      <c r="L17" s="61">
        <v>1.6342592592592591E-3</v>
      </c>
      <c r="M17" s="61">
        <v>0.10405092592592592</v>
      </c>
      <c r="N17" s="61">
        <v>8.0208333333333325E-4</v>
      </c>
      <c r="O17" s="61">
        <v>5.880902777777778E-2</v>
      </c>
      <c r="P17" s="61">
        <v>0.19038657407407408</v>
      </c>
      <c r="Q17" s="59" t="s">
        <v>2731</v>
      </c>
      <c r="R17" s="8">
        <f t="shared" si="0"/>
        <v>953</v>
      </c>
      <c r="S17" s="38"/>
      <c r="T17" s="38"/>
      <c r="U17" s="38"/>
      <c r="V17" s="38"/>
      <c r="W17" s="38"/>
      <c r="X17" s="38"/>
      <c r="Y17" s="39"/>
    </row>
    <row r="18" spans="1:25" ht="14.45">
      <c r="A18" s="37">
        <v>17</v>
      </c>
      <c r="B18" s="59">
        <v>17</v>
      </c>
      <c r="C18" s="59">
        <v>108</v>
      </c>
      <c r="D18" s="59" t="s">
        <v>175</v>
      </c>
      <c r="E18" s="59" t="s">
        <v>2732</v>
      </c>
      <c r="F18" s="59" t="s">
        <v>153</v>
      </c>
      <c r="G18" s="59" t="s">
        <v>340</v>
      </c>
      <c r="H18" s="59" t="s">
        <v>139</v>
      </c>
      <c r="I18" s="59">
        <v>6</v>
      </c>
      <c r="J18" s="59">
        <v>1</v>
      </c>
      <c r="K18" s="61">
        <v>2.0965277777777777E-2</v>
      </c>
      <c r="L18" s="61">
        <v>1.210648148148148E-3</v>
      </c>
      <c r="M18" s="61">
        <v>0.10817592592592593</v>
      </c>
      <c r="N18" s="61">
        <v>8.9814814814814813E-4</v>
      </c>
      <c r="O18" s="61">
        <v>6.0658564814814811E-2</v>
      </c>
      <c r="P18" s="61">
        <v>0.1919108796296296</v>
      </c>
      <c r="Q18" s="59" t="s">
        <v>2733</v>
      </c>
      <c r="R18" s="8">
        <f t="shared" si="0"/>
        <v>945</v>
      </c>
      <c r="S18" s="38"/>
      <c r="T18" s="38"/>
      <c r="U18" s="38"/>
      <c r="V18" s="38"/>
      <c r="W18" s="38"/>
      <c r="X18" s="38"/>
      <c r="Y18" s="39"/>
    </row>
    <row r="19" spans="1:25" ht="14.45">
      <c r="A19" s="37">
        <v>18</v>
      </c>
      <c r="B19" s="59">
        <v>18</v>
      </c>
      <c r="C19" s="59">
        <v>130</v>
      </c>
      <c r="D19" s="59" t="s">
        <v>1543</v>
      </c>
      <c r="E19" s="59" t="s">
        <v>2734</v>
      </c>
      <c r="F19" s="59" t="s">
        <v>148</v>
      </c>
      <c r="G19" s="59" t="s">
        <v>340</v>
      </c>
      <c r="H19" s="59" t="s">
        <v>159</v>
      </c>
      <c r="I19" s="59">
        <v>1</v>
      </c>
      <c r="J19" s="59">
        <v>2</v>
      </c>
      <c r="K19" s="61">
        <v>2.2924768518518518E-2</v>
      </c>
      <c r="L19" s="61">
        <v>2.1412037037037038E-3</v>
      </c>
      <c r="M19" s="61">
        <v>9.9717592592592594E-2</v>
      </c>
      <c r="N19" s="61">
        <v>1.0370370370370371E-3</v>
      </c>
      <c r="O19" s="61">
        <v>6.6336805555555559E-2</v>
      </c>
      <c r="P19" s="61">
        <v>0.1921585648148148</v>
      </c>
      <c r="Q19" s="59" t="s">
        <v>2735</v>
      </c>
      <c r="R19" s="8">
        <f t="shared" si="0"/>
        <v>944</v>
      </c>
      <c r="S19" s="38"/>
      <c r="T19" s="38"/>
      <c r="U19" s="38"/>
      <c r="V19" s="38"/>
      <c r="W19" s="38"/>
      <c r="X19" s="38"/>
      <c r="Y19" s="39"/>
    </row>
    <row r="20" spans="1:25" ht="14.45">
      <c r="A20" s="37">
        <v>19</v>
      </c>
      <c r="B20" s="59">
        <v>19</v>
      </c>
      <c r="C20" s="59">
        <v>134</v>
      </c>
      <c r="D20" s="59" t="s">
        <v>194</v>
      </c>
      <c r="E20" s="59" t="s">
        <v>2736</v>
      </c>
      <c r="F20" s="59"/>
      <c r="G20" s="59" t="s">
        <v>340</v>
      </c>
      <c r="H20" s="59" t="s">
        <v>139</v>
      </c>
      <c r="I20" s="59">
        <v>7</v>
      </c>
      <c r="J20" s="59">
        <v>2</v>
      </c>
      <c r="K20" s="61">
        <v>2.3967592592592596E-2</v>
      </c>
      <c r="L20" s="61">
        <v>1.4976851851851852E-3</v>
      </c>
      <c r="M20" s="61">
        <v>0.10175347222222222</v>
      </c>
      <c r="N20" s="61">
        <v>8.0671296296296296E-4</v>
      </c>
      <c r="O20" s="61">
        <v>6.4318287037037042E-2</v>
      </c>
      <c r="P20" s="61">
        <v>0.19234606481481481</v>
      </c>
      <c r="Q20" s="59" t="s">
        <v>2737</v>
      </c>
      <c r="R20" s="8">
        <f t="shared" si="0"/>
        <v>943</v>
      </c>
      <c r="S20" s="38"/>
      <c r="T20" s="38"/>
      <c r="U20" s="38"/>
      <c r="V20" s="38"/>
      <c r="W20" s="38"/>
      <c r="X20" s="38"/>
      <c r="Y20" s="39"/>
    </row>
    <row r="21" spans="1:25" ht="15.75" customHeight="1">
      <c r="A21" s="37">
        <v>20</v>
      </c>
      <c r="B21" s="59">
        <v>20</v>
      </c>
      <c r="C21" s="59">
        <v>160</v>
      </c>
      <c r="D21" s="59" t="s">
        <v>250</v>
      </c>
      <c r="E21" s="59" t="s">
        <v>2738</v>
      </c>
      <c r="F21" s="59" t="s">
        <v>252</v>
      </c>
      <c r="G21" s="59" t="s">
        <v>340</v>
      </c>
      <c r="H21" s="59" t="s">
        <v>139</v>
      </c>
      <c r="I21" s="59">
        <v>8</v>
      </c>
      <c r="J21" s="59">
        <v>4</v>
      </c>
      <c r="K21" s="61">
        <v>2.7805555555555556E-2</v>
      </c>
      <c r="L21" s="61">
        <v>1.6493055555555556E-3</v>
      </c>
      <c r="M21" s="61">
        <v>0.10250694444444444</v>
      </c>
      <c r="N21" s="61">
        <v>4.4212962962962966E-4</v>
      </c>
      <c r="O21" s="61">
        <v>6.0384259259259256E-2</v>
      </c>
      <c r="P21" s="61">
        <v>0.19279166666666667</v>
      </c>
      <c r="Q21" s="59" t="s">
        <v>2739</v>
      </c>
      <c r="R21" s="8">
        <f t="shared" si="0"/>
        <v>941</v>
      </c>
      <c r="S21" s="38"/>
      <c r="T21" s="38"/>
      <c r="U21" s="38"/>
      <c r="V21" s="38"/>
      <c r="W21" s="38"/>
      <c r="X21" s="38"/>
      <c r="Y21" s="39"/>
    </row>
    <row r="22" spans="1:25" ht="15.75" customHeight="1">
      <c r="A22" s="37">
        <v>21</v>
      </c>
      <c r="B22" s="59">
        <v>21</v>
      </c>
      <c r="C22" s="59">
        <v>123</v>
      </c>
      <c r="D22" s="59" t="s">
        <v>2740</v>
      </c>
      <c r="E22" s="59" t="s">
        <v>2741</v>
      </c>
      <c r="F22" s="59"/>
      <c r="G22" s="59" t="s">
        <v>340</v>
      </c>
      <c r="H22" s="59" t="s">
        <v>149</v>
      </c>
      <c r="I22" s="59">
        <v>4</v>
      </c>
      <c r="J22" s="59">
        <v>1</v>
      </c>
      <c r="K22" s="61">
        <v>2.3362268518518518E-2</v>
      </c>
      <c r="L22" s="61">
        <v>1.6747685185185184E-3</v>
      </c>
      <c r="M22" s="61">
        <v>0.10079629629629629</v>
      </c>
      <c r="N22" s="61">
        <v>5.0925925925925921E-4</v>
      </c>
      <c r="O22" s="61">
        <v>6.6637731481481485E-2</v>
      </c>
      <c r="P22" s="61">
        <v>0.19298263888888889</v>
      </c>
      <c r="Q22" s="59" t="s">
        <v>906</v>
      </c>
      <c r="R22" s="8">
        <f t="shared" si="0"/>
        <v>940</v>
      </c>
      <c r="S22" s="38"/>
      <c r="T22" s="38"/>
      <c r="U22" s="38"/>
      <c r="V22" s="38"/>
      <c r="W22" s="38"/>
      <c r="X22" s="38"/>
      <c r="Y22" s="39"/>
    </row>
    <row r="23" spans="1:25" ht="15.75" customHeight="1">
      <c r="A23" s="37">
        <v>22</v>
      </c>
      <c r="B23" s="59">
        <v>22</v>
      </c>
      <c r="C23" s="59">
        <v>113</v>
      </c>
      <c r="D23" s="59" t="s">
        <v>1041</v>
      </c>
      <c r="E23" s="59" t="s">
        <v>2742</v>
      </c>
      <c r="F23" s="59" t="s">
        <v>2743</v>
      </c>
      <c r="G23" s="59" t="s">
        <v>340</v>
      </c>
      <c r="H23" s="59" t="s">
        <v>159</v>
      </c>
      <c r="I23" s="59">
        <v>2</v>
      </c>
      <c r="J23" s="59">
        <v>1</v>
      </c>
      <c r="K23" s="61">
        <v>2.2502314814814815E-2</v>
      </c>
      <c r="L23" s="61">
        <v>1.5833333333333335E-3</v>
      </c>
      <c r="M23" s="61">
        <v>9.9517361111111105E-2</v>
      </c>
      <c r="N23" s="61">
        <v>9.1087962962962965E-4</v>
      </c>
      <c r="O23" s="61">
        <v>7.0277777777777772E-2</v>
      </c>
      <c r="P23" s="61">
        <v>0.1947939814814815</v>
      </c>
      <c r="Q23" s="59" t="s">
        <v>2744</v>
      </c>
      <c r="R23" s="8">
        <f t="shared" si="0"/>
        <v>931</v>
      </c>
      <c r="S23" s="38"/>
      <c r="T23" s="38"/>
      <c r="U23" s="38"/>
      <c r="V23" s="38"/>
      <c r="W23" s="38"/>
      <c r="X23" s="38"/>
      <c r="Y23" s="39"/>
    </row>
    <row r="24" spans="1:25" ht="15.75" customHeight="1">
      <c r="A24" s="37">
        <v>23</v>
      </c>
      <c r="B24" s="59">
        <v>23</v>
      </c>
      <c r="C24" s="59">
        <v>119</v>
      </c>
      <c r="D24" s="59" t="s">
        <v>429</v>
      </c>
      <c r="E24" s="59" t="s">
        <v>2745</v>
      </c>
      <c r="F24" s="59" t="s">
        <v>189</v>
      </c>
      <c r="G24" s="59" t="s">
        <v>340</v>
      </c>
      <c r="H24" s="59" t="s">
        <v>139</v>
      </c>
      <c r="I24" s="59">
        <v>9</v>
      </c>
      <c r="J24" s="59">
        <v>1</v>
      </c>
      <c r="K24" s="61">
        <v>2.4533564814814814E-2</v>
      </c>
      <c r="L24" s="61">
        <v>1.6944444444444446E-3</v>
      </c>
      <c r="M24" s="61">
        <v>9.8603009259259244E-2</v>
      </c>
      <c r="N24" s="61">
        <v>1.5381944444444445E-3</v>
      </c>
      <c r="O24" s="61">
        <v>6.8637731481481487E-2</v>
      </c>
      <c r="P24" s="61">
        <v>0.19500925925925924</v>
      </c>
      <c r="Q24" s="59" t="s">
        <v>2746</v>
      </c>
      <c r="R24" s="8">
        <f t="shared" si="0"/>
        <v>930</v>
      </c>
      <c r="S24" s="38"/>
      <c r="T24" s="38"/>
      <c r="U24" s="38"/>
      <c r="V24" s="38"/>
      <c r="W24" s="38"/>
      <c r="X24" s="38"/>
      <c r="Y24" s="39"/>
    </row>
    <row r="25" spans="1:25" ht="15.75" customHeight="1">
      <c r="A25" s="37">
        <v>24</v>
      </c>
      <c r="B25" s="59">
        <v>24</v>
      </c>
      <c r="C25" s="59">
        <v>116</v>
      </c>
      <c r="D25" s="59" t="s">
        <v>2377</v>
      </c>
      <c r="E25" s="59" t="s">
        <v>2747</v>
      </c>
      <c r="F25" s="59"/>
      <c r="G25" s="59" t="s">
        <v>340</v>
      </c>
      <c r="H25" s="59" t="s">
        <v>163</v>
      </c>
      <c r="I25" s="59">
        <v>2</v>
      </c>
      <c r="J25" s="59">
        <v>1</v>
      </c>
      <c r="K25" s="61">
        <v>2.2341435185185183E-2</v>
      </c>
      <c r="L25" s="61">
        <v>1.4189814814814814E-3</v>
      </c>
      <c r="M25" s="61">
        <v>0.10268055555555557</v>
      </c>
      <c r="N25" s="61">
        <v>7.2337962962962959E-4</v>
      </c>
      <c r="O25" s="61">
        <v>6.8203703703703711E-2</v>
      </c>
      <c r="P25" s="61">
        <v>0.19536921296296297</v>
      </c>
      <c r="Q25" s="59" t="s">
        <v>2748</v>
      </c>
      <c r="R25" s="8">
        <f t="shared" si="0"/>
        <v>928</v>
      </c>
      <c r="S25" s="38"/>
      <c r="T25" s="38"/>
      <c r="U25" s="38"/>
      <c r="V25" s="38"/>
      <c r="W25" s="38"/>
      <c r="X25" s="38"/>
      <c r="Y25" s="39"/>
    </row>
    <row r="26" spans="1:25" ht="15.75" customHeight="1">
      <c r="A26" s="37">
        <v>25</v>
      </c>
      <c r="B26" s="59">
        <v>25</v>
      </c>
      <c r="C26" s="59">
        <v>131</v>
      </c>
      <c r="D26" s="59" t="s">
        <v>1622</v>
      </c>
      <c r="E26" s="59" t="s">
        <v>2749</v>
      </c>
      <c r="F26" s="59"/>
      <c r="G26" s="59" t="s">
        <v>340</v>
      </c>
      <c r="H26" s="59" t="s">
        <v>139</v>
      </c>
      <c r="I26" s="59">
        <v>10</v>
      </c>
      <c r="J26" s="59">
        <v>2</v>
      </c>
      <c r="K26" s="61">
        <v>2.5142361111111112E-2</v>
      </c>
      <c r="L26" s="61">
        <v>1.730324074074074E-3</v>
      </c>
      <c r="M26" s="61">
        <v>0.10427430555555554</v>
      </c>
      <c r="N26" s="61">
        <v>5.7638888888888887E-4</v>
      </c>
      <c r="O26" s="61">
        <v>6.3789351851851847E-2</v>
      </c>
      <c r="P26" s="61">
        <v>0.19551620370370368</v>
      </c>
      <c r="Q26" s="59" t="s">
        <v>2750</v>
      </c>
      <c r="R26" s="8">
        <f t="shared" si="0"/>
        <v>928</v>
      </c>
      <c r="S26" s="38"/>
      <c r="T26" s="38"/>
      <c r="U26" s="38"/>
      <c r="V26" s="38"/>
      <c r="W26" s="38"/>
      <c r="X26" s="38"/>
      <c r="Y26" s="39"/>
    </row>
    <row r="27" spans="1:25" ht="15.75" customHeight="1">
      <c r="A27" s="37">
        <v>26</v>
      </c>
      <c r="B27" s="59">
        <v>26</v>
      </c>
      <c r="C27" s="59">
        <v>133</v>
      </c>
      <c r="D27" s="59" t="s">
        <v>230</v>
      </c>
      <c r="E27" s="59" t="s">
        <v>28</v>
      </c>
      <c r="F27" s="59" t="s">
        <v>138</v>
      </c>
      <c r="G27" s="59" t="s">
        <v>340</v>
      </c>
      <c r="H27" s="59" t="s">
        <v>154</v>
      </c>
      <c r="I27" s="59">
        <v>7</v>
      </c>
      <c r="J27" s="59">
        <v>2</v>
      </c>
      <c r="K27" s="61">
        <v>2.5185185185185185E-2</v>
      </c>
      <c r="L27" s="61">
        <v>1.6516203703703701E-3</v>
      </c>
      <c r="M27" s="61">
        <v>9.8796296296296299E-2</v>
      </c>
      <c r="N27" s="61">
        <v>5.4050925925925924E-4</v>
      </c>
      <c r="O27" s="61">
        <v>6.9456018518518514E-2</v>
      </c>
      <c r="P27" s="61">
        <v>0.19563310185185187</v>
      </c>
      <c r="Q27" s="59" t="s">
        <v>2751</v>
      </c>
      <c r="R27" s="8">
        <f t="shared" si="0"/>
        <v>927</v>
      </c>
      <c r="S27" s="38"/>
      <c r="T27" s="38"/>
      <c r="U27" s="38"/>
      <c r="V27" s="38"/>
      <c r="W27" s="38"/>
      <c r="X27" s="38"/>
      <c r="Y27" s="39"/>
    </row>
    <row r="28" spans="1:25" ht="15.75" customHeight="1">
      <c r="A28" s="37">
        <v>27</v>
      </c>
      <c r="B28" s="59">
        <v>27</v>
      </c>
      <c r="C28" s="59">
        <v>142</v>
      </c>
      <c r="D28" s="59" t="s">
        <v>217</v>
      </c>
      <c r="E28" s="59" t="s">
        <v>2752</v>
      </c>
      <c r="F28" s="59" t="s">
        <v>219</v>
      </c>
      <c r="G28" s="59" t="s">
        <v>340</v>
      </c>
      <c r="H28" s="59" t="s">
        <v>154</v>
      </c>
      <c r="I28" s="59">
        <v>8</v>
      </c>
      <c r="J28" s="59">
        <v>2</v>
      </c>
      <c r="K28" s="61">
        <v>2.4396990740740743E-2</v>
      </c>
      <c r="L28" s="61">
        <v>2.3067129629629631E-3</v>
      </c>
      <c r="M28" s="61">
        <v>9.924074074074074E-2</v>
      </c>
      <c r="N28" s="61">
        <v>7.0949074074074068E-4</v>
      </c>
      <c r="O28" s="61">
        <v>6.9270833333333337E-2</v>
      </c>
      <c r="P28" s="61">
        <v>0.19592708333333331</v>
      </c>
      <c r="Q28" s="59" t="s">
        <v>2753</v>
      </c>
      <c r="R28" s="8">
        <f t="shared" si="0"/>
        <v>926</v>
      </c>
      <c r="S28" s="38"/>
      <c r="T28" s="38"/>
      <c r="U28" s="38"/>
      <c r="V28" s="38"/>
      <c r="W28" s="38"/>
      <c r="X28" s="38"/>
      <c r="Y28" s="39"/>
    </row>
    <row r="29" spans="1:25" ht="15.75" customHeight="1">
      <c r="A29" s="37">
        <v>28</v>
      </c>
      <c r="B29" s="59">
        <v>28</v>
      </c>
      <c r="C29" s="59">
        <v>120</v>
      </c>
      <c r="D29" s="59" t="s">
        <v>701</v>
      </c>
      <c r="E29" s="59" t="s">
        <v>2754</v>
      </c>
      <c r="F29" s="59" t="s">
        <v>199</v>
      </c>
      <c r="G29" s="59" t="s">
        <v>340</v>
      </c>
      <c r="H29" s="59" t="s">
        <v>154</v>
      </c>
      <c r="I29" s="59">
        <v>9</v>
      </c>
      <c r="J29" s="59">
        <v>1</v>
      </c>
      <c r="K29" s="61">
        <v>1.9756944444444445E-2</v>
      </c>
      <c r="L29" s="61">
        <v>2.1041666666666669E-3</v>
      </c>
      <c r="M29" s="61">
        <v>0.1030486111111111</v>
      </c>
      <c r="N29" s="61">
        <v>7.4537037037037041E-4</v>
      </c>
      <c r="O29" s="61">
        <v>7.0371527777777776E-2</v>
      </c>
      <c r="P29" s="61">
        <v>0.19602893518518522</v>
      </c>
      <c r="Q29" s="59" t="s">
        <v>2755</v>
      </c>
      <c r="R29" s="8">
        <f t="shared" si="0"/>
        <v>925</v>
      </c>
      <c r="S29" s="38"/>
      <c r="T29" s="38"/>
      <c r="U29" s="38"/>
      <c r="V29" s="38"/>
      <c r="W29" s="38"/>
      <c r="X29" s="38"/>
      <c r="Y29" s="39"/>
    </row>
    <row r="30" spans="1:25" ht="15.75" customHeight="1">
      <c r="A30" s="37">
        <v>29</v>
      </c>
      <c r="B30" s="59">
        <v>29</v>
      </c>
      <c r="C30" s="59">
        <v>124</v>
      </c>
      <c r="D30" s="59" t="s">
        <v>409</v>
      </c>
      <c r="E30" s="59" t="s">
        <v>29</v>
      </c>
      <c r="F30" s="59" t="s">
        <v>138</v>
      </c>
      <c r="G30" s="59" t="s">
        <v>340</v>
      </c>
      <c r="H30" s="59" t="s">
        <v>149</v>
      </c>
      <c r="I30" s="59">
        <v>5</v>
      </c>
      <c r="J30" s="59">
        <v>1</v>
      </c>
      <c r="K30" s="61">
        <v>2.3011574074074073E-2</v>
      </c>
      <c r="L30" s="61">
        <v>2.0300925925925925E-3</v>
      </c>
      <c r="M30" s="61">
        <v>9.9792824074074082E-2</v>
      </c>
      <c r="N30" s="61">
        <v>5.1041666666666672E-4</v>
      </c>
      <c r="O30" s="61">
        <v>7.1130787037037041E-2</v>
      </c>
      <c r="P30" s="61">
        <v>0.19647916666666665</v>
      </c>
      <c r="Q30" s="59" t="s">
        <v>2756</v>
      </c>
      <c r="R30" s="8">
        <f t="shared" si="0"/>
        <v>923</v>
      </c>
      <c r="S30" s="38"/>
      <c r="T30" s="38"/>
      <c r="U30" s="38"/>
      <c r="V30" s="38"/>
      <c r="W30" s="38"/>
      <c r="X30" s="38"/>
      <c r="Y30" s="39"/>
    </row>
    <row r="31" spans="1:25" ht="15.75" customHeight="1">
      <c r="A31" s="37">
        <v>30</v>
      </c>
      <c r="B31" s="59">
        <v>30</v>
      </c>
      <c r="C31" s="59">
        <v>128</v>
      </c>
      <c r="D31" s="59" t="s">
        <v>214</v>
      </c>
      <c r="E31" s="59" t="s">
        <v>2757</v>
      </c>
      <c r="F31" s="59"/>
      <c r="G31" s="59" t="s">
        <v>340</v>
      </c>
      <c r="H31" s="59" t="s">
        <v>163</v>
      </c>
      <c r="I31" s="59">
        <v>3</v>
      </c>
      <c r="J31" s="59">
        <v>2</v>
      </c>
      <c r="K31" s="61">
        <v>2.2787037037037036E-2</v>
      </c>
      <c r="L31" s="61">
        <v>1.6134259259259259E-3</v>
      </c>
      <c r="M31" s="61">
        <v>0.10198611111111111</v>
      </c>
      <c r="N31" s="61">
        <v>7.4421296296296291E-4</v>
      </c>
      <c r="O31" s="61">
        <v>7.0792824074074071E-2</v>
      </c>
      <c r="P31" s="61">
        <v>0.19792592592592592</v>
      </c>
      <c r="Q31" s="59" t="s">
        <v>2758</v>
      </c>
      <c r="R31" s="8">
        <f t="shared" si="0"/>
        <v>916</v>
      </c>
      <c r="S31" s="38"/>
      <c r="T31" s="38"/>
      <c r="U31" s="38"/>
      <c r="V31" s="38"/>
      <c r="W31" s="38"/>
      <c r="X31" s="38"/>
      <c r="Y31" s="39"/>
    </row>
    <row r="32" spans="1:25" ht="15.75" customHeight="1">
      <c r="A32" s="37">
        <v>31</v>
      </c>
      <c r="B32" s="59">
        <v>31</v>
      </c>
      <c r="C32" s="59">
        <v>125</v>
      </c>
      <c r="D32" s="59" t="s">
        <v>2074</v>
      </c>
      <c r="E32" s="59" t="s">
        <v>2759</v>
      </c>
      <c r="F32" s="59" t="s">
        <v>199</v>
      </c>
      <c r="G32" s="59" t="s">
        <v>340</v>
      </c>
      <c r="H32" s="59" t="s">
        <v>139</v>
      </c>
      <c r="I32" s="59">
        <v>11</v>
      </c>
      <c r="J32" s="59">
        <v>1</v>
      </c>
      <c r="K32" s="61">
        <v>2.0964120370370369E-2</v>
      </c>
      <c r="L32" s="61">
        <v>1.6932870370370372E-3</v>
      </c>
      <c r="M32" s="61">
        <v>0.10407175925925925</v>
      </c>
      <c r="N32" s="61">
        <v>9.8611111111111122E-4</v>
      </c>
      <c r="O32" s="61">
        <v>7.0842592592592596E-2</v>
      </c>
      <c r="P32" s="61">
        <v>0.19856134259259259</v>
      </c>
      <c r="Q32" s="59" t="s">
        <v>2760</v>
      </c>
      <c r="R32" s="8">
        <f t="shared" si="0"/>
        <v>913</v>
      </c>
      <c r="S32" s="38"/>
      <c r="T32" s="38"/>
      <c r="U32" s="38"/>
      <c r="V32" s="38"/>
      <c r="W32" s="38"/>
      <c r="X32" s="38"/>
      <c r="Y32" s="39"/>
    </row>
    <row r="33" spans="1:25" ht="15.75" customHeight="1">
      <c r="A33" s="37">
        <v>32</v>
      </c>
      <c r="B33" s="59">
        <v>32</v>
      </c>
      <c r="C33" s="59">
        <v>147</v>
      </c>
      <c r="D33" s="59" t="s">
        <v>436</v>
      </c>
      <c r="E33" s="59" t="s">
        <v>2761</v>
      </c>
      <c r="F33" s="59" t="s">
        <v>173</v>
      </c>
      <c r="G33" s="59" t="s">
        <v>340</v>
      </c>
      <c r="H33" s="59" t="s">
        <v>149</v>
      </c>
      <c r="I33" s="59">
        <v>6</v>
      </c>
      <c r="J33" s="59">
        <v>2</v>
      </c>
      <c r="K33" s="61">
        <v>2.3652777777777776E-2</v>
      </c>
      <c r="L33" s="61">
        <v>1.3726851851851851E-3</v>
      </c>
      <c r="M33" s="61">
        <v>0.10521412037037037</v>
      </c>
      <c r="N33" s="61">
        <v>8.437500000000001E-4</v>
      </c>
      <c r="O33" s="61">
        <v>6.7557870370370365E-2</v>
      </c>
      <c r="P33" s="61">
        <v>0.19864236111111111</v>
      </c>
      <c r="Q33" s="59" t="s">
        <v>2762</v>
      </c>
      <c r="R33" s="8">
        <f t="shared" si="0"/>
        <v>913</v>
      </c>
      <c r="S33" s="38"/>
      <c r="T33" s="38"/>
      <c r="U33" s="38"/>
      <c r="V33" s="38"/>
      <c r="W33" s="38"/>
      <c r="X33" s="38"/>
      <c r="Y33" s="39"/>
    </row>
    <row r="34" spans="1:25" ht="15.75" customHeight="1">
      <c r="A34" s="37">
        <v>33</v>
      </c>
      <c r="B34" s="59">
        <v>33</v>
      </c>
      <c r="C34" s="59">
        <v>126</v>
      </c>
      <c r="D34" s="59" t="s">
        <v>224</v>
      </c>
      <c r="E34" s="59" t="s">
        <v>31</v>
      </c>
      <c r="F34" s="59" t="s">
        <v>138</v>
      </c>
      <c r="G34" s="59" t="s">
        <v>340</v>
      </c>
      <c r="H34" s="59" t="s">
        <v>149</v>
      </c>
      <c r="I34" s="59">
        <v>7</v>
      </c>
      <c r="J34" s="59">
        <v>2</v>
      </c>
      <c r="K34" s="61">
        <v>2.498726851851852E-2</v>
      </c>
      <c r="L34" s="61">
        <v>1.7604166666666666E-3</v>
      </c>
      <c r="M34" s="61">
        <v>0.10336226851851851</v>
      </c>
      <c r="N34" s="61">
        <v>8.0092592592592596E-4</v>
      </c>
      <c r="O34" s="61">
        <v>6.7778935185185185E-2</v>
      </c>
      <c r="P34" s="61">
        <v>0.19869212962962962</v>
      </c>
      <c r="Q34" s="59" t="s">
        <v>2763</v>
      </c>
      <c r="R34" s="8">
        <f t="shared" si="0"/>
        <v>913</v>
      </c>
      <c r="S34" s="38"/>
      <c r="T34" s="38"/>
      <c r="U34" s="38"/>
      <c r="V34" s="38"/>
      <c r="W34" s="38"/>
      <c r="X34" s="38"/>
      <c r="Y34" s="39"/>
    </row>
    <row r="35" spans="1:25" ht="15.75" customHeight="1">
      <c r="A35" s="37">
        <v>34</v>
      </c>
      <c r="B35" s="59">
        <v>34</v>
      </c>
      <c r="C35" s="59">
        <v>138</v>
      </c>
      <c r="D35" s="59" t="s">
        <v>201</v>
      </c>
      <c r="E35" s="59" t="s">
        <v>2764</v>
      </c>
      <c r="F35" s="59" t="s">
        <v>203</v>
      </c>
      <c r="G35" s="59" t="s">
        <v>340</v>
      </c>
      <c r="H35" s="59" t="s">
        <v>149</v>
      </c>
      <c r="I35" s="59">
        <v>8</v>
      </c>
      <c r="J35" s="59">
        <v>2</v>
      </c>
      <c r="K35" s="61">
        <v>2.7416666666666669E-2</v>
      </c>
      <c r="L35" s="61">
        <v>1.7766203703703705E-3</v>
      </c>
      <c r="M35" s="61">
        <v>0.1048599537037037</v>
      </c>
      <c r="N35" s="61">
        <v>5.9027777777777778E-4</v>
      </c>
      <c r="O35" s="61">
        <v>6.4167824074074079E-2</v>
      </c>
      <c r="P35" s="61">
        <v>0.19881481481481481</v>
      </c>
      <c r="Q35" s="59" t="s">
        <v>2765</v>
      </c>
      <c r="R35" s="8">
        <f t="shared" si="0"/>
        <v>912</v>
      </c>
      <c r="S35" s="38"/>
      <c r="T35" s="38"/>
      <c r="U35" s="38"/>
      <c r="V35" s="38"/>
      <c r="W35" s="38"/>
      <c r="X35" s="38"/>
      <c r="Y35" s="39"/>
    </row>
    <row r="36" spans="1:25" ht="15.75" customHeight="1">
      <c r="A36" s="37">
        <v>35</v>
      </c>
      <c r="B36" s="59">
        <v>35</v>
      </c>
      <c r="C36" s="59">
        <v>114</v>
      </c>
      <c r="D36" s="59" t="s">
        <v>425</v>
      </c>
      <c r="E36" s="59" t="s">
        <v>2766</v>
      </c>
      <c r="F36" s="59"/>
      <c r="G36" s="59" t="s">
        <v>340</v>
      </c>
      <c r="H36" s="59" t="s">
        <v>139</v>
      </c>
      <c r="I36" s="59">
        <v>12</v>
      </c>
      <c r="J36" s="59">
        <v>1</v>
      </c>
      <c r="K36" s="61">
        <v>2.8261574074074078E-2</v>
      </c>
      <c r="L36" s="61">
        <v>1.5162037037037036E-3</v>
      </c>
      <c r="M36" s="61">
        <v>0.10217013888888889</v>
      </c>
      <c r="N36" s="61">
        <v>5.4861111111111104E-4</v>
      </c>
      <c r="O36" s="61">
        <v>6.637731481481482E-2</v>
      </c>
      <c r="P36" s="61">
        <v>0.19887615740740741</v>
      </c>
      <c r="Q36" s="59" t="s">
        <v>2767</v>
      </c>
      <c r="R36" s="8">
        <f t="shared" si="0"/>
        <v>912</v>
      </c>
      <c r="S36" s="38"/>
      <c r="T36" s="38"/>
      <c r="U36" s="38"/>
      <c r="V36" s="38"/>
      <c r="W36" s="38"/>
      <c r="X36" s="38"/>
      <c r="Y36" s="39"/>
    </row>
    <row r="37" spans="1:25" ht="15.75" customHeight="1">
      <c r="A37" s="37">
        <v>36</v>
      </c>
      <c r="B37" s="59">
        <v>36</v>
      </c>
      <c r="C37" s="59">
        <v>156</v>
      </c>
      <c r="D37" s="59" t="s">
        <v>467</v>
      </c>
      <c r="E37" s="59" t="s">
        <v>2768</v>
      </c>
      <c r="F37" s="59" t="s">
        <v>199</v>
      </c>
      <c r="G37" s="59" t="s">
        <v>340</v>
      </c>
      <c r="H37" s="59" t="s">
        <v>154</v>
      </c>
      <c r="I37" s="59">
        <v>10</v>
      </c>
      <c r="J37" s="59">
        <v>4</v>
      </c>
      <c r="K37" s="61">
        <v>2.0828703703703703E-2</v>
      </c>
      <c r="L37" s="61">
        <v>1.6377314814814815E-3</v>
      </c>
      <c r="M37" s="61">
        <v>0.1028449074074074</v>
      </c>
      <c r="N37" s="61">
        <v>9.9768518518518522E-4</v>
      </c>
      <c r="O37" s="61">
        <v>7.3466435185185183E-2</v>
      </c>
      <c r="P37" s="61">
        <v>0.19977893518518519</v>
      </c>
      <c r="Q37" s="59" t="s">
        <v>2769</v>
      </c>
      <c r="R37" s="8">
        <f t="shared" si="0"/>
        <v>908</v>
      </c>
      <c r="S37" s="38"/>
      <c r="T37" s="38"/>
      <c r="U37" s="38"/>
      <c r="V37" s="38"/>
      <c r="W37" s="38"/>
      <c r="X37" s="38"/>
      <c r="Y37" s="39"/>
    </row>
    <row r="38" spans="1:25" ht="15.75" customHeight="1">
      <c r="A38" s="37">
        <v>37</v>
      </c>
      <c r="B38" s="59">
        <v>37</v>
      </c>
      <c r="C38" s="59">
        <v>127</v>
      </c>
      <c r="D38" s="59" t="s">
        <v>381</v>
      </c>
      <c r="E38" s="59" t="s">
        <v>27</v>
      </c>
      <c r="F38" s="59" t="s">
        <v>138</v>
      </c>
      <c r="G38" s="59" t="s">
        <v>340</v>
      </c>
      <c r="H38" s="59" t="s">
        <v>149</v>
      </c>
      <c r="I38" s="59">
        <v>9</v>
      </c>
      <c r="J38" s="59">
        <v>2</v>
      </c>
      <c r="K38" s="61">
        <v>2.4128472222222221E-2</v>
      </c>
      <c r="L38" s="61">
        <v>2.394675925925926E-3</v>
      </c>
      <c r="M38" s="61">
        <v>0.10502777777777778</v>
      </c>
      <c r="N38" s="61">
        <v>6.8402777777777776E-4</v>
      </c>
      <c r="O38" s="61">
        <v>6.7864583333333339E-2</v>
      </c>
      <c r="P38" s="61">
        <v>0.20010185185185184</v>
      </c>
      <c r="Q38" s="59" t="s">
        <v>2770</v>
      </c>
      <c r="R38" s="8">
        <f t="shared" si="0"/>
        <v>906</v>
      </c>
      <c r="S38" s="38"/>
      <c r="T38" s="38"/>
      <c r="U38" s="38"/>
      <c r="V38" s="38"/>
      <c r="W38" s="38"/>
      <c r="X38" s="38"/>
      <c r="Y38" s="39"/>
    </row>
    <row r="39" spans="1:25" ht="15.75" customHeight="1">
      <c r="A39" s="37">
        <v>38</v>
      </c>
      <c r="B39" s="59">
        <v>38</v>
      </c>
      <c r="C39" s="59">
        <v>187</v>
      </c>
      <c r="D39" s="59" t="s">
        <v>486</v>
      </c>
      <c r="E39" s="59" t="s">
        <v>2771</v>
      </c>
      <c r="F39" s="59" t="s">
        <v>173</v>
      </c>
      <c r="G39" s="59" t="s">
        <v>340</v>
      </c>
      <c r="H39" s="59" t="s">
        <v>242</v>
      </c>
      <c r="I39" s="59">
        <v>1</v>
      </c>
      <c r="J39" s="59">
        <v>5</v>
      </c>
      <c r="K39" s="61">
        <v>2.3030092592592592E-2</v>
      </c>
      <c r="L39" s="61">
        <v>2.0104166666666664E-3</v>
      </c>
      <c r="M39" s="61">
        <v>0.10428703703703704</v>
      </c>
      <c r="N39" s="61">
        <v>7.0023148148148147E-4</v>
      </c>
      <c r="O39" s="61">
        <v>7.0146990740740739E-2</v>
      </c>
      <c r="P39" s="61">
        <v>0.20017592592592592</v>
      </c>
      <c r="Q39" s="59" t="s">
        <v>2772</v>
      </c>
      <c r="R39" s="8">
        <f t="shared" si="0"/>
        <v>906</v>
      </c>
      <c r="S39" s="38"/>
      <c r="T39" s="38"/>
      <c r="U39" s="38"/>
      <c r="V39" s="38"/>
      <c r="W39" s="38"/>
      <c r="X39" s="38"/>
      <c r="Y39" s="39"/>
    </row>
    <row r="40" spans="1:25" ht="15.75" customHeight="1">
      <c r="A40" s="37">
        <v>39</v>
      </c>
      <c r="B40" s="59">
        <v>39</v>
      </c>
      <c r="C40" s="59">
        <v>168</v>
      </c>
      <c r="D40" s="59" t="s">
        <v>2773</v>
      </c>
      <c r="E40" s="59" t="s">
        <v>2774</v>
      </c>
      <c r="F40" s="59" t="s">
        <v>148</v>
      </c>
      <c r="G40" s="59" t="s">
        <v>340</v>
      </c>
      <c r="H40" s="59" t="s">
        <v>163</v>
      </c>
      <c r="I40" s="59">
        <v>4</v>
      </c>
      <c r="J40" s="59">
        <v>4</v>
      </c>
      <c r="K40" s="61">
        <v>2.6236111111111113E-2</v>
      </c>
      <c r="L40" s="61">
        <v>2.4027777777777776E-3</v>
      </c>
      <c r="M40" s="61">
        <v>0.10509722222222222</v>
      </c>
      <c r="N40" s="61">
        <v>1.0081018518518518E-3</v>
      </c>
      <c r="O40" s="61">
        <v>6.6738425925925923E-2</v>
      </c>
      <c r="P40" s="61">
        <v>0.2014849537037037</v>
      </c>
      <c r="Q40" s="59" t="s">
        <v>2775</v>
      </c>
      <c r="R40" s="8">
        <f t="shared" si="0"/>
        <v>900</v>
      </c>
      <c r="S40" s="38"/>
      <c r="T40" s="38"/>
      <c r="U40" s="38"/>
      <c r="V40" s="38"/>
      <c r="W40" s="38"/>
      <c r="X40" s="38"/>
      <c r="Y40" s="39"/>
    </row>
    <row r="41" spans="1:25" ht="15.75" customHeight="1">
      <c r="A41" s="37">
        <v>40</v>
      </c>
      <c r="B41" s="59">
        <v>40</v>
      </c>
      <c r="C41" s="59">
        <v>148</v>
      </c>
      <c r="D41" s="59" t="s">
        <v>2776</v>
      </c>
      <c r="E41" s="59" t="s">
        <v>2777</v>
      </c>
      <c r="F41" s="59" t="s">
        <v>2778</v>
      </c>
      <c r="G41" s="59" t="s">
        <v>340</v>
      </c>
      <c r="H41" s="59" t="s">
        <v>139</v>
      </c>
      <c r="I41" s="59">
        <v>13</v>
      </c>
      <c r="J41" s="59">
        <v>2</v>
      </c>
      <c r="K41" s="61">
        <v>2.7460648148148147E-2</v>
      </c>
      <c r="L41" s="61">
        <v>2.1053240740740741E-3</v>
      </c>
      <c r="M41" s="61">
        <v>0.10283680555555556</v>
      </c>
      <c r="N41" s="61">
        <v>9.6643518518518519E-4</v>
      </c>
      <c r="O41" s="61">
        <v>6.8641203703703704E-2</v>
      </c>
      <c r="P41" s="61">
        <v>0.20201157407407408</v>
      </c>
      <c r="Q41" s="59" t="s">
        <v>2779</v>
      </c>
      <c r="R41" s="8">
        <f t="shared" si="0"/>
        <v>898</v>
      </c>
      <c r="S41" s="38"/>
      <c r="T41" s="38"/>
      <c r="U41" s="38"/>
      <c r="V41" s="38"/>
      <c r="W41" s="38"/>
      <c r="X41" s="38"/>
      <c r="Y41" s="39"/>
    </row>
    <row r="42" spans="1:25" ht="15.75" customHeight="1">
      <c r="A42" s="37">
        <v>41</v>
      </c>
      <c r="B42" s="59">
        <v>41</v>
      </c>
      <c r="C42" s="59">
        <v>129</v>
      </c>
      <c r="D42" s="59" t="s">
        <v>233</v>
      </c>
      <c r="E42" s="59" t="s">
        <v>2780</v>
      </c>
      <c r="F42" s="59" t="s">
        <v>199</v>
      </c>
      <c r="G42" s="59" t="s">
        <v>340</v>
      </c>
      <c r="H42" s="59" t="s">
        <v>159</v>
      </c>
      <c r="I42" s="59">
        <v>3</v>
      </c>
      <c r="J42" s="59">
        <v>2</v>
      </c>
      <c r="K42" s="61">
        <v>2.3813657407407408E-2</v>
      </c>
      <c r="L42" s="61">
        <v>2.0208333333333332E-3</v>
      </c>
      <c r="M42" s="61">
        <v>0.10607638888888889</v>
      </c>
      <c r="N42" s="61">
        <v>6.018518518518519E-4</v>
      </c>
      <c r="O42" s="61">
        <v>6.9749999999999993E-2</v>
      </c>
      <c r="P42" s="61">
        <v>0.20226388888888888</v>
      </c>
      <c r="Q42" s="59" t="s">
        <v>2781</v>
      </c>
      <c r="R42" s="8">
        <f t="shared" si="0"/>
        <v>897</v>
      </c>
      <c r="S42" s="38"/>
      <c r="T42" s="38"/>
      <c r="U42" s="38"/>
      <c r="V42" s="38"/>
      <c r="W42" s="38"/>
      <c r="X42" s="38"/>
      <c r="Y42" s="39"/>
    </row>
    <row r="43" spans="1:25" ht="15.75" customHeight="1">
      <c r="A43" s="37">
        <v>42</v>
      </c>
      <c r="B43" s="59">
        <v>42</v>
      </c>
      <c r="C43" s="59">
        <v>144</v>
      </c>
      <c r="D43" s="59" t="s">
        <v>422</v>
      </c>
      <c r="E43" s="59" t="s">
        <v>2782</v>
      </c>
      <c r="F43" s="59"/>
      <c r="G43" s="59" t="s">
        <v>340</v>
      </c>
      <c r="H43" s="59" t="s">
        <v>163</v>
      </c>
      <c r="I43" s="59">
        <v>5</v>
      </c>
      <c r="J43" s="59">
        <v>2</v>
      </c>
      <c r="K43" s="61">
        <v>2.3457175925925926E-2</v>
      </c>
      <c r="L43" s="61">
        <v>2.0451388888888889E-3</v>
      </c>
      <c r="M43" s="61">
        <v>0.1068125</v>
      </c>
      <c r="N43" s="61">
        <v>8.599537037037037E-4</v>
      </c>
      <c r="O43" s="61">
        <v>6.9483796296296294E-2</v>
      </c>
      <c r="P43" s="61">
        <v>0.20266203703703703</v>
      </c>
      <c r="Q43" s="59" t="s">
        <v>2783</v>
      </c>
      <c r="R43" s="8">
        <f t="shared" si="0"/>
        <v>895</v>
      </c>
      <c r="S43" s="38"/>
      <c r="T43" s="38"/>
      <c r="U43" s="38"/>
      <c r="V43" s="38"/>
      <c r="W43" s="38"/>
      <c r="X43" s="38"/>
      <c r="Y43" s="39"/>
    </row>
    <row r="44" spans="1:25" ht="15.75" customHeight="1">
      <c r="A44" s="37">
        <v>43</v>
      </c>
      <c r="B44" s="59">
        <v>43</v>
      </c>
      <c r="C44" s="59">
        <v>154</v>
      </c>
      <c r="D44" s="59" t="s">
        <v>1610</v>
      </c>
      <c r="E44" s="59" t="s">
        <v>2784</v>
      </c>
      <c r="F44" s="59" t="s">
        <v>2785</v>
      </c>
      <c r="G44" s="59" t="s">
        <v>340</v>
      </c>
      <c r="H44" s="59" t="s">
        <v>149</v>
      </c>
      <c r="I44" s="59">
        <v>10</v>
      </c>
      <c r="J44" s="59">
        <v>2</v>
      </c>
      <c r="K44" s="61">
        <v>2.3984953703703706E-2</v>
      </c>
      <c r="L44" s="61">
        <v>1.9560185185185184E-3</v>
      </c>
      <c r="M44" s="61">
        <v>0.10901388888888888</v>
      </c>
      <c r="N44" s="61">
        <v>1.2881944444444445E-3</v>
      </c>
      <c r="O44" s="61">
        <v>6.8263888888888888E-2</v>
      </c>
      <c r="P44" s="61">
        <v>0.20450925925925925</v>
      </c>
      <c r="Q44" s="59" t="s">
        <v>2786</v>
      </c>
      <c r="R44" s="8">
        <f t="shared" si="0"/>
        <v>887</v>
      </c>
      <c r="S44" s="38"/>
      <c r="T44" s="38"/>
      <c r="U44" s="38"/>
      <c r="V44" s="38"/>
      <c r="W44" s="38"/>
      <c r="X44" s="38"/>
      <c r="Y44" s="39"/>
    </row>
    <row r="45" spans="1:25" ht="15.75" customHeight="1">
      <c r="A45" s="37">
        <v>44</v>
      </c>
      <c r="B45" s="59">
        <v>44</v>
      </c>
      <c r="C45" s="59">
        <v>132</v>
      </c>
      <c r="D45" s="59" t="s">
        <v>402</v>
      </c>
      <c r="E45" s="59" t="s">
        <v>2787</v>
      </c>
      <c r="F45" s="59" t="s">
        <v>199</v>
      </c>
      <c r="G45" s="59" t="s">
        <v>340</v>
      </c>
      <c r="H45" s="59" t="s">
        <v>139</v>
      </c>
      <c r="I45" s="59">
        <v>14</v>
      </c>
      <c r="J45" s="59">
        <v>2</v>
      </c>
      <c r="K45" s="61">
        <v>2.5189814814814814E-2</v>
      </c>
      <c r="L45" s="61">
        <v>1.6087962962962963E-3</v>
      </c>
      <c r="M45" s="61">
        <v>0.10925925925925926</v>
      </c>
      <c r="N45" s="61">
        <v>6.6550925925925924E-4</v>
      </c>
      <c r="O45" s="61">
        <v>6.789351851851852E-2</v>
      </c>
      <c r="P45" s="61">
        <v>0.20461921296296295</v>
      </c>
      <c r="Q45" s="59" t="s">
        <v>2788</v>
      </c>
      <c r="R45" s="8">
        <f t="shared" si="0"/>
        <v>886</v>
      </c>
      <c r="S45" s="38"/>
      <c r="T45" s="38"/>
      <c r="U45" s="38"/>
      <c r="V45" s="38"/>
      <c r="W45" s="38"/>
      <c r="X45" s="38"/>
      <c r="Y45" s="39"/>
    </row>
    <row r="46" spans="1:25" ht="15.75" customHeight="1">
      <c r="A46" s="37">
        <v>45</v>
      </c>
      <c r="B46" s="59">
        <v>45</v>
      </c>
      <c r="C46" s="59">
        <v>135</v>
      </c>
      <c r="D46" s="59" t="s">
        <v>1225</v>
      </c>
      <c r="E46" s="59" t="s">
        <v>2789</v>
      </c>
      <c r="F46" s="59"/>
      <c r="G46" s="59" t="s">
        <v>340</v>
      </c>
      <c r="H46" s="59" t="s">
        <v>139</v>
      </c>
      <c r="I46" s="59">
        <v>15</v>
      </c>
      <c r="J46" s="59">
        <v>2</v>
      </c>
      <c r="K46" s="61">
        <v>2.4145833333333332E-2</v>
      </c>
      <c r="L46" s="61">
        <v>2.1539351851851849E-3</v>
      </c>
      <c r="M46" s="61">
        <v>0.10919212962962964</v>
      </c>
      <c r="N46" s="61">
        <v>7.2685185185185179E-4</v>
      </c>
      <c r="O46" s="61">
        <v>6.9028935185185186E-2</v>
      </c>
      <c r="P46" s="61">
        <v>0.20524999999999999</v>
      </c>
      <c r="Q46" s="59" t="s">
        <v>2790</v>
      </c>
      <c r="R46" s="8">
        <f t="shared" si="0"/>
        <v>884</v>
      </c>
      <c r="S46" s="38"/>
      <c r="T46" s="38"/>
      <c r="U46" s="38"/>
      <c r="V46" s="38"/>
      <c r="W46" s="38"/>
      <c r="X46" s="38"/>
      <c r="Y46" s="39"/>
    </row>
    <row r="47" spans="1:25" ht="15.75" customHeight="1">
      <c r="A47" s="37">
        <v>46</v>
      </c>
      <c r="B47" s="59">
        <v>46</v>
      </c>
      <c r="C47" s="59">
        <v>140</v>
      </c>
      <c r="D47" s="59" t="s">
        <v>236</v>
      </c>
      <c r="E47" s="59" t="s">
        <v>2791</v>
      </c>
      <c r="F47" s="59"/>
      <c r="G47" s="59" t="s">
        <v>340</v>
      </c>
      <c r="H47" s="59" t="s">
        <v>238</v>
      </c>
      <c r="I47" s="59">
        <v>1</v>
      </c>
      <c r="J47" s="59">
        <v>2</v>
      </c>
      <c r="K47" s="61">
        <v>2.6062500000000002E-2</v>
      </c>
      <c r="L47" s="61">
        <v>2.7326388888888886E-3</v>
      </c>
      <c r="M47" s="61">
        <v>0.10251273148148149</v>
      </c>
      <c r="N47" s="61">
        <v>1.5902777777777779E-3</v>
      </c>
      <c r="O47" s="61">
        <v>7.2844907407407414E-2</v>
      </c>
      <c r="P47" s="61">
        <v>0.20574537037037038</v>
      </c>
      <c r="Q47" s="59" t="s">
        <v>2792</v>
      </c>
      <c r="R47" s="8">
        <f t="shared" si="0"/>
        <v>881</v>
      </c>
      <c r="S47" s="38"/>
      <c r="T47" s="38"/>
      <c r="U47" s="38"/>
      <c r="V47" s="38"/>
      <c r="W47" s="38"/>
      <c r="X47" s="38"/>
      <c r="Y47" s="39"/>
    </row>
    <row r="48" spans="1:25" ht="15.75" customHeight="1">
      <c r="A48" s="37">
        <v>47</v>
      </c>
      <c r="B48" s="59">
        <v>47</v>
      </c>
      <c r="C48" s="59">
        <v>155</v>
      </c>
      <c r="D48" s="59" t="s">
        <v>1552</v>
      </c>
      <c r="E48" s="59" t="s">
        <v>2793</v>
      </c>
      <c r="F48" s="59"/>
      <c r="G48" s="59" t="s">
        <v>340</v>
      </c>
      <c r="H48" s="59" t="s">
        <v>149</v>
      </c>
      <c r="I48" s="59">
        <v>11</v>
      </c>
      <c r="J48" s="59">
        <v>2</v>
      </c>
      <c r="K48" s="61">
        <v>2.4280092592592596E-2</v>
      </c>
      <c r="L48" s="61">
        <v>1.7048611111111112E-3</v>
      </c>
      <c r="M48" s="61">
        <v>0.10871064814814815</v>
      </c>
      <c r="N48" s="61">
        <v>9.780092592592592E-4</v>
      </c>
      <c r="O48" s="61">
        <v>7.0201388888888883E-2</v>
      </c>
      <c r="P48" s="61">
        <v>0.2058773148148148</v>
      </c>
      <c r="Q48" s="59" t="s">
        <v>2794</v>
      </c>
      <c r="R48" s="8">
        <f t="shared" si="0"/>
        <v>881</v>
      </c>
      <c r="S48" s="38"/>
      <c r="T48" s="38"/>
      <c r="U48" s="38"/>
      <c r="V48" s="38"/>
      <c r="W48" s="38"/>
      <c r="X48" s="38"/>
      <c r="Y48" s="39"/>
    </row>
    <row r="49" spans="1:25" ht="15.75" customHeight="1">
      <c r="A49" s="37">
        <v>48</v>
      </c>
      <c r="B49" s="59">
        <v>48</v>
      </c>
      <c r="C49" s="59">
        <v>151</v>
      </c>
      <c r="D49" s="59" t="s">
        <v>254</v>
      </c>
      <c r="E49" s="59" t="s">
        <v>2795</v>
      </c>
      <c r="F49" s="59" t="s">
        <v>199</v>
      </c>
      <c r="G49" s="59" t="s">
        <v>340</v>
      </c>
      <c r="H49" s="59" t="s">
        <v>139</v>
      </c>
      <c r="I49" s="59">
        <v>16</v>
      </c>
      <c r="J49" s="59">
        <v>2</v>
      </c>
      <c r="K49" s="61">
        <v>2.5719907407407407E-2</v>
      </c>
      <c r="L49" s="61">
        <v>2.0254629629629629E-3</v>
      </c>
      <c r="M49" s="61">
        <v>0.10422453703703703</v>
      </c>
      <c r="N49" s="61">
        <v>5.1273148148148141E-4</v>
      </c>
      <c r="O49" s="61">
        <v>7.3731481481481481E-2</v>
      </c>
      <c r="P49" s="61">
        <v>0.20621643518518518</v>
      </c>
      <c r="Q49" s="59" t="s">
        <v>2796</v>
      </c>
      <c r="R49" s="8">
        <f t="shared" si="0"/>
        <v>879</v>
      </c>
      <c r="S49" s="38"/>
      <c r="T49" s="38"/>
      <c r="U49" s="38"/>
      <c r="V49" s="38"/>
      <c r="W49" s="38"/>
      <c r="X49" s="38"/>
      <c r="Y49" s="39"/>
    </row>
    <row r="50" spans="1:25" ht="15.75" customHeight="1">
      <c r="A50" s="37">
        <v>49</v>
      </c>
      <c r="B50" s="59">
        <v>49</v>
      </c>
      <c r="C50" s="59">
        <v>139</v>
      </c>
      <c r="D50" s="59" t="s">
        <v>240</v>
      </c>
      <c r="E50" s="59" t="s">
        <v>34</v>
      </c>
      <c r="F50" s="59" t="s">
        <v>138</v>
      </c>
      <c r="G50" s="59" t="s">
        <v>340</v>
      </c>
      <c r="H50" s="59" t="s">
        <v>242</v>
      </c>
      <c r="I50" s="59">
        <v>2</v>
      </c>
      <c r="J50" s="59">
        <v>2</v>
      </c>
      <c r="K50" s="61">
        <v>2.1300925925925928E-2</v>
      </c>
      <c r="L50" s="61">
        <v>2.0682870370370369E-3</v>
      </c>
      <c r="M50" s="61">
        <v>0.10469328703703704</v>
      </c>
      <c r="N50" s="61">
        <v>6.2962962962962961E-4</v>
      </c>
      <c r="O50" s="61">
        <v>7.7770833333333331E-2</v>
      </c>
      <c r="P50" s="61">
        <v>0.20646527777777776</v>
      </c>
      <c r="Q50" s="59" t="s">
        <v>2797</v>
      </c>
      <c r="R50" s="8">
        <f t="shared" si="0"/>
        <v>878</v>
      </c>
      <c r="S50" s="38"/>
      <c r="T50" s="38"/>
      <c r="U50" s="38"/>
      <c r="V50" s="38"/>
      <c r="W50" s="38"/>
      <c r="X50" s="38"/>
      <c r="Y50" s="39"/>
    </row>
    <row r="51" spans="1:25" ht="15.75" customHeight="1">
      <c r="A51" s="37">
        <v>50</v>
      </c>
      <c r="B51" s="59">
        <v>50</v>
      </c>
      <c r="C51" s="59">
        <v>145</v>
      </c>
      <c r="D51" s="59" t="s">
        <v>205</v>
      </c>
      <c r="E51" s="59" t="s">
        <v>2798</v>
      </c>
      <c r="F51" s="59"/>
      <c r="G51" s="59" t="s">
        <v>340</v>
      </c>
      <c r="H51" s="59" t="s">
        <v>139</v>
      </c>
      <c r="I51" s="59">
        <v>17</v>
      </c>
      <c r="J51" s="59">
        <v>2</v>
      </c>
      <c r="K51" s="61">
        <v>2.5129629629629627E-2</v>
      </c>
      <c r="L51" s="61">
        <v>1.9664351851851852E-3</v>
      </c>
      <c r="M51" s="61">
        <v>0.11088078703703703</v>
      </c>
      <c r="N51" s="61">
        <v>7.7199074074074073E-4</v>
      </c>
      <c r="O51" s="61">
        <v>7.0399305555555555E-2</v>
      </c>
      <c r="P51" s="61">
        <v>0.20914930555555555</v>
      </c>
      <c r="Q51" s="59" t="s">
        <v>2799</v>
      </c>
      <c r="R51" s="8">
        <f t="shared" si="0"/>
        <v>867</v>
      </c>
      <c r="S51" s="38"/>
      <c r="T51" s="38"/>
      <c r="U51" s="38"/>
      <c r="V51" s="38"/>
      <c r="W51" s="38"/>
      <c r="X51" s="38"/>
      <c r="Y51" s="39"/>
    </row>
    <row r="52" spans="1:25" ht="15.75" customHeight="1">
      <c r="A52" s="37">
        <v>51</v>
      </c>
      <c r="B52" s="59">
        <v>51</v>
      </c>
      <c r="C52" s="59">
        <v>166</v>
      </c>
      <c r="D52" s="59" t="s">
        <v>477</v>
      </c>
      <c r="E52" s="59" t="s">
        <v>2800</v>
      </c>
      <c r="F52" s="59"/>
      <c r="G52" s="59" t="s">
        <v>340</v>
      </c>
      <c r="H52" s="59" t="s">
        <v>163</v>
      </c>
      <c r="I52" s="59">
        <v>6</v>
      </c>
      <c r="J52" s="59">
        <v>4</v>
      </c>
      <c r="K52" s="61">
        <v>2.6657407407407404E-2</v>
      </c>
      <c r="L52" s="61">
        <v>1.9189814814814816E-3</v>
      </c>
      <c r="M52" s="61">
        <v>0.10212962962962963</v>
      </c>
      <c r="N52" s="61">
        <v>1.0277777777777778E-3</v>
      </c>
      <c r="O52" s="61">
        <v>7.9538194444444446E-2</v>
      </c>
      <c r="P52" s="61">
        <v>0.21127430555555554</v>
      </c>
      <c r="Q52" s="59" t="s">
        <v>2801</v>
      </c>
      <c r="R52" s="8">
        <f t="shared" si="0"/>
        <v>858</v>
      </c>
      <c r="S52" s="38"/>
      <c r="T52" s="38"/>
      <c r="U52" s="38"/>
      <c r="V52" s="38"/>
      <c r="W52" s="38"/>
      <c r="X52" s="38"/>
      <c r="Y52" s="39"/>
    </row>
    <row r="53" spans="1:25" ht="15.75" customHeight="1">
      <c r="A53" s="37">
        <v>52</v>
      </c>
      <c r="B53" s="59">
        <v>52</v>
      </c>
      <c r="C53" s="59">
        <v>136</v>
      </c>
      <c r="D53" s="59" t="s">
        <v>2802</v>
      </c>
      <c r="E53" s="59" t="s">
        <v>2803</v>
      </c>
      <c r="F53" s="59"/>
      <c r="G53" s="59" t="s">
        <v>340</v>
      </c>
      <c r="H53" s="59" t="s">
        <v>154</v>
      </c>
      <c r="I53" s="59">
        <v>11</v>
      </c>
      <c r="J53" s="59">
        <v>2</v>
      </c>
      <c r="K53" s="61">
        <v>2.5650462962962962E-2</v>
      </c>
      <c r="L53" s="61">
        <v>3.4293981481481484E-3</v>
      </c>
      <c r="M53" s="61">
        <v>0.10695601851851852</v>
      </c>
      <c r="N53" s="61">
        <v>2.4421296296296296E-3</v>
      </c>
      <c r="O53" s="61">
        <v>7.5018518518518526E-2</v>
      </c>
      <c r="P53" s="61">
        <v>0.21349768518518519</v>
      </c>
      <c r="Q53" s="59" t="s">
        <v>2804</v>
      </c>
      <c r="R53" s="8">
        <f t="shared" si="0"/>
        <v>849</v>
      </c>
      <c r="S53" s="38"/>
      <c r="T53" s="38"/>
      <c r="U53" s="38"/>
      <c r="V53" s="38"/>
      <c r="W53" s="38"/>
      <c r="X53" s="38"/>
      <c r="Y53" s="39"/>
    </row>
    <row r="54" spans="1:25" ht="15.75" customHeight="1">
      <c r="A54" s="37">
        <v>53</v>
      </c>
      <c r="B54" s="59">
        <v>53</v>
      </c>
      <c r="C54" s="59">
        <v>153</v>
      </c>
      <c r="D54" s="59" t="s">
        <v>844</v>
      </c>
      <c r="E54" s="59" t="s">
        <v>2805</v>
      </c>
      <c r="F54" s="59" t="s">
        <v>846</v>
      </c>
      <c r="G54" s="59" t="s">
        <v>340</v>
      </c>
      <c r="H54" s="59" t="s">
        <v>154</v>
      </c>
      <c r="I54" s="59">
        <v>12</v>
      </c>
      <c r="J54" s="59">
        <v>2</v>
      </c>
      <c r="K54" s="61">
        <v>3.2820601851851851E-2</v>
      </c>
      <c r="L54" s="61">
        <v>3.0914351851851853E-3</v>
      </c>
      <c r="M54" s="61">
        <v>0.10996296296296296</v>
      </c>
      <c r="N54" s="61">
        <v>1.2650462962962962E-3</v>
      </c>
      <c r="O54" s="61">
        <v>6.731712962962963E-2</v>
      </c>
      <c r="P54" s="61">
        <v>0.21445833333333333</v>
      </c>
      <c r="Q54" s="59" t="s">
        <v>2806</v>
      </c>
      <c r="R54" s="8">
        <f t="shared" si="0"/>
        <v>846</v>
      </c>
      <c r="S54" s="38"/>
      <c r="T54" s="38"/>
      <c r="U54" s="38"/>
      <c r="V54" s="38"/>
      <c r="W54" s="38"/>
      <c r="X54" s="38"/>
      <c r="Y54" s="39"/>
    </row>
    <row r="55" spans="1:25" ht="15.75" customHeight="1">
      <c r="A55" s="37">
        <v>54</v>
      </c>
      <c r="B55" s="59">
        <v>54</v>
      </c>
      <c r="C55" s="59">
        <v>149</v>
      </c>
      <c r="D55" s="59" t="s">
        <v>274</v>
      </c>
      <c r="E55" s="59" t="s">
        <v>35</v>
      </c>
      <c r="F55" s="59" t="s">
        <v>138</v>
      </c>
      <c r="G55" s="59" t="s">
        <v>340</v>
      </c>
      <c r="H55" s="59" t="s">
        <v>242</v>
      </c>
      <c r="I55" s="59">
        <v>3</v>
      </c>
      <c r="J55" s="59">
        <v>2</v>
      </c>
      <c r="K55" s="61">
        <v>2.5016203703703704E-2</v>
      </c>
      <c r="L55" s="61">
        <v>1.8773148148148147E-3</v>
      </c>
      <c r="M55" s="61">
        <v>0.11423263888888889</v>
      </c>
      <c r="N55" s="61">
        <v>7.6504629629629622E-4</v>
      </c>
      <c r="O55" s="61">
        <v>7.3188657407407404E-2</v>
      </c>
      <c r="P55" s="61">
        <v>0.21508217592592591</v>
      </c>
      <c r="Q55" s="59" t="s">
        <v>2807</v>
      </c>
      <c r="R55" s="8">
        <f t="shared" si="0"/>
        <v>843</v>
      </c>
      <c r="S55" s="38"/>
      <c r="T55" s="38"/>
      <c r="U55" s="38"/>
      <c r="V55" s="38"/>
      <c r="W55" s="38"/>
      <c r="X55" s="38"/>
      <c r="Y55" s="39"/>
    </row>
    <row r="56" spans="1:25" ht="15.75" customHeight="1">
      <c r="A56" s="37">
        <v>55</v>
      </c>
      <c r="B56" s="59">
        <v>55</v>
      </c>
      <c r="C56" s="59">
        <v>158</v>
      </c>
      <c r="D56" s="59" t="s">
        <v>227</v>
      </c>
      <c r="E56" s="59" t="s">
        <v>2808</v>
      </c>
      <c r="F56" s="59" t="s">
        <v>199</v>
      </c>
      <c r="G56" s="59" t="s">
        <v>340</v>
      </c>
      <c r="H56" s="59" t="s">
        <v>159</v>
      </c>
      <c r="I56" s="59">
        <v>4</v>
      </c>
      <c r="J56" s="59">
        <v>4</v>
      </c>
      <c r="K56" s="61">
        <v>2.5150462962962961E-2</v>
      </c>
      <c r="L56" s="61">
        <v>2.0775462962962961E-3</v>
      </c>
      <c r="M56" s="61">
        <v>0.11111921296296297</v>
      </c>
      <c r="N56" s="61">
        <v>7.9861111111111116E-4</v>
      </c>
      <c r="O56" s="61">
        <v>7.6025462962962961E-2</v>
      </c>
      <c r="P56" s="61">
        <v>0.21517245370370372</v>
      </c>
      <c r="Q56" s="59" t="s">
        <v>2809</v>
      </c>
      <c r="R56" s="8">
        <f t="shared" si="0"/>
        <v>843</v>
      </c>
      <c r="S56" s="38"/>
      <c r="T56" s="38"/>
      <c r="U56" s="38"/>
      <c r="V56" s="38"/>
      <c r="W56" s="38"/>
      <c r="X56" s="38"/>
      <c r="Y56" s="39"/>
    </row>
    <row r="57" spans="1:25" ht="15.75" customHeight="1">
      <c r="A57" s="37">
        <v>56</v>
      </c>
      <c r="B57" s="59">
        <v>56</v>
      </c>
      <c r="C57" s="59">
        <v>2</v>
      </c>
      <c r="D57" s="59" t="s">
        <v>1093</v>
      </c>
      <c r="E57" s="59" t="s">
        <v>37</v>
      </c>
      <c r="F57" s="59" t="s">
        <v>138</v>
      </c>
      <c r="G57" s="59" t="s">
        <v>319</v>
      </c>
      <c r="H57" s="59" t="s">
        <v>288</v>
      </c>
      <c r="I57" s="59">
        <v>1</v>
      </c>
      <c r="J57" s="59">
        <v>3</v>
      </c>
      <c r="K57" s="61">
        <v>2.2209490740740741E-2</v>
      </c>
      <c r="L57" s="61">
        <v>1.5590277777777777E-3</v>
      </c>
      <c r="M57" s="61">
        <v>0.11317013888888888</v>
      </c>
      <c r="N57" s="61">
        <v>2.6273148148148146E-4</v>
      </c>
      <c r="O57" s="61">
        <v>7.856481481481481E-2</v>
      </c>
      <c r="P57" s="61">
        <v>0.21576851851851853</v>
      </c>
      <c r="Q57" s="59" t="s">
        <v>2810</v>
      </c>
      <c r="R57" s="8">
        <f t="shared" si="0"/>
        <v>841</v>
      </c>
      <c r="S57" s="38"/>
      <c r="T57" s="38"/>
      <c r="U57" s="38"/>
      <c r="V57" s="38"/>
      <c r="W57" s="38"/>
      <c r="X57" s="38"/>
      <c r="Y57" s="39"/>
    </row>
    <row r="58" spans="1:25" ht="15.75" customHeight="1">
      <c r="A58" s="37">
        <v>57</v>
      </c>
      <c r="B58" s="59">
        <v>57</v>
      </c>
      <c r="C58" s="59">
        <v>137</v>
      </c>
      <c r="D58" s="59" t="s">
        <v>290</v>
      </c>
      <c r="E58" s="59" t="s">
        <v>2811</v>
      </c>
      <c r="F58" s="59"/>
      <c r="G58" s="59" t="s">
        <v>340</v>
      </c>
      <c r="H58" s="59" t="s">
        <v>154</v>
      </c>
      <c r="I58" s="59">
        <v>13</v>
      </c>
      <c r="J58" s="59">
        <v>2</v>
      </c>
      <c r="K58" s="61">
        <v>2.8686342592592593E-2</v>
      </c>
      <c r="L58" s="61">
        <v>2.8182870370370371E-3</v>
      </c>
      <c r="M58" s="61">
        <v>0.11288773148148148</v>
      </c>
      <c r="N58" s="61">
        <v>5.9722222222222219E-4</v>
      </c>
      <c r="O58" s="61">
        <v>7.085185185185186E-2</v>
      </c>
      <c r="P58" s="61">
        <v>0.21584375000000003</v>
      </c>
      <c r="Q58" s="59" t="s">
        <v>2812</v>
      </c>
      <c r="R58" s="8">
        <f t="shared" si="0"/>
        <v>840</v>
      </c>
      <c r="S58" s="38"/>
      <c r="T58" s="38"/>
      <c r="U58" s="38"/>
      <c r="V58" s="38"/>
      <c r="W58" s="38"/>
      <c r="X58" s="38"/>
      <c r="Y58" s="39"/>
    </row>
    <row r="59" spans="1:25" ht="15.75" customHeight="1">
      <c r="A59" s="37">
        <v>58</v>
      </c>
      <c r="B59" s="59">
        <v>58</v>
      </c>
      <c r="C59" s="59">
        <v>8</v>
      </c>
      <c r="D59" s="59" t="s">
        <v>562</v>
      </c>
      <c r="E59" s="59" t="s">
        <v>2813</v>
      </c>
      <c r="F59" s="59" t="s">
        <v>199</v>
      </c>
      <c r="G59" s="59" t="s">
        <v>319</v>
      </c>
      <c r="H59" s="59" t="s">
        <v>2814</v>
      </c>
      <c r="I59" s="59">
        <v>1</v>
      </c>
      <c r="J59" s="59">
        <v>3</v>
      </c>
      <c r="K59" s="61">
        <v>2.6490740740740742E-2</v>
      </c>
      <c r="L59" s="61">
        <v>1.5266203703703705E-3</v>
      </c>
      <c r="M59" s="61">
        <v>0.11690162037037036</v>
      </c>
      <c r="N59" s="61">
        <v>4.907407407407407E-4</v>
      </c>
      <c r="O59" s="61">
        <v>7.3290509259259257E-2</v>
      </c>
      <c r="P59" s="61">
        <v>0.21870254629629632</v>
      </c>
      <c r="Q59" s="59" t="s">
        <v>2815</v>
      </c>
      <c r="R59" s="8">
        <f t="shared" si="0"/>
        <v>829</v>
      </c>
      <c r="S59" s="38"/>
      <c r="T59" s="38"/>
      <c r="U59" s="38"/>
      <c r="V59" s="38"/>
      <c r="W59" s="38"/>
      <c r="X59" s="38"/>
      <c r="Y59" s="39"/>
    </row>
    <row r="60" spans="1:25" ht="15.75" customHeight="1">
      <c r="A60" s="37">
        <v>59</v>
      </c>
      <c r="B60" s="59">
        <v>59</v>
      </c>
      <c r="C60" s="59">
        <v>146</v>
      </c>
      <c r="D60" s="59" t="s">
        <v>784</v>
      </c>
      <c r="E60" s="59" t="s">
        <v>2816</v>
      </c>
      <c r="F60" s="59"/>
      <c r="G60" s="59" t="s">
        <v>340</v>
      </c>
      <c r="H60" s="59" t="s">
        <v>139</v>
      </c>
      <c r="I60" s="59">
        <v>18</v>
      </c>
      <c r="J60" s="59">
        <v>2</v>
      </c>
      <c r="K60" s="61">
        <v>2.5465277777777774E-2</v>
      </c>
      <c r="L60" s="61">
        <v>1.675925925925926E-3</v>
      </c>
      <c r="M60" s="61">
        <v>0.11426157407407408</v>
      </c>
      <c r="N60" s="61">
        <v>8.9699074074074073E-4</v>
      </c>
      <c r="O60" s="61">
        <v>7.6702546296296303E-2</v>
      </c>
      <c r="P60" s="61">
        <v>0.21900347222222225</v>
      </c>
      <c r="Q60" s="59" t="s">
        <v>2817</v>
      </c>
      <c r="R60" s="8">
        <f t="shared" si="0"/>
        <v>828</v>
      </c>
      <c r="S60" s="38"/>
      <c r="T60" s="38"/>
      <c r="U60" s="38"/>
      <c r="V60" s="38"/>
      <c r="W60" s="38"/>
      <c r="X60" s="38"/>
      <c r="Y60" s="39"/>
    </row>
    <row r="61" spans="1:25" ht="15.75" customHeight="1">
      <c r="A61" s="37">
        <v>60</v>
      </c>
      <c r="B61" s="59">
        <v>60</v>
      </c>
      <c r="C61" s="59">
        <v>210</v>
      </c>
      <c r="D61" s="59" t="s">
        <v>2818</v>
      </c>
      <c r="E61" s="59" t="s">
        <v>2819</v>
      </c>
      <c r="F61" s="59"/>
      <c r="G61" s="59" t="s">
        <v>340</v>
      </c>
      <c r="H61" s="59" t="s">
        <v>139</v>
      </c>
      <c r="I61" s="59">
        <v>19</v>
      </c>
      <c r="J61" s="59">
        <v>5</v>
      </c>
      <c r="K61" s="61">
        <v>3.2930555555555553E-2</v>
      </c>
      <c r="L61" s="61">
        <v>3.4525462962962964E-3</v>
      </c>
      <c r="M61" s="61">
        <v>0.10662152777777778</v>
      </c>
      <c r="N61" s="61">
        <v>2.1087962962962961E-3</v>
      </c>
      <c r="O61" s="61">
        <v>7.4721064814814817E-2</v>
      </c>
      <c r="P61" s="61">
        <v>0.21983680555555557</v>
      </c>
      <c r="Q61" s="59" t="s">
        <v>2820</v>
      </c>
      <c r="R61" s="8">
        <f t="shared" si="0"/>
        <v>825</v>
      </c>
      <c r="S61" s="38"/>
      <c r="T61" s="38"/>
      <c r="U61" s="38"/>
      <c r="V61" s="38"/>
      <c r="W61" s="38"/>
      <c r="X61" s="38"/>
      <c r="Y61" s="39"/>
    </row>
    <row r="62" spans="1:25" ht="15.75" customHeight="1">
      <c r="A62" s="37">
        <v>61</v>
      </c>
      <c r="B62" s="59">
        <v>61</v>
      </c>
      <c r="C62" s="59">
        <v>5</v>
      </c>
      <c r="D62" s="59" t="s">
        <v>2821</v>
      </c>
      <c r="E62" s="59" t="s">
        <v>2822</v>
      </c>
      <c r="F62" s="59" t="s">
        <v>2823</v>
      </c>
      <c r="G62" s="59" t="s">
        <v>319</v>
      </c>
      <c r="H62" s="59" t="s">
        <v>2814</v>
      </c>
      <c r="I62" s="59">
        <v>2</v>
      </c>
      <c r="J62" s="59">
        <v>3</v>
      </c>
      <c r="K62" s="61">
        <v>2.8196759259259258E-2</v>
      </c>
      <c r="L62" s="61">
        <v>2.3634259259259259E-3</v>
      </c>
      <c r="M62" s="61">
        <v>0.11853587962962962</v>
      </c>
      <c r="N62" s="61">
        <v>1.0254629629629628E-3</v>
      </c>
      <c r="O62" s="61">
        <v>7.1491898148148145E-2</v>
      </c>
      <c r="P62" s="61">
        <v>0.22161574074074072</v>
      </c>
      <c r="Q62" s="59" t="s">
        <v>2824</v>
      </c>
      <c r="R62" s="8">
        <f t="shared" si="0"/>
        <v>818</v>
      </c>
      <c r="S62" s="38"/>
      <c r="T62" s="38"/>
      <c r="U62" s="38"/>
      <c r="V62" s="38"/>
      <c r="W62" s="38"/>
      <c r="X62" s="38"/>
      <c r="Y62" s="39"/>
    </row>
    <row r="63" spans="1:25" ht="15.75" customHeight="1">
      <c r="A63" s="37">
        <v>62</v>
      </c>
      <c r="B63" s="59">
        <v>62</v>
      </c>
      <c r="C63" s="59">
        <v>189</v>
      </c>
      <c r="D63" s="59" t="s">
        <v>2825</v>
      </c>
      <c r="E63" s="59" t="s">
        <v>2826</v>
      </c>
      <c r="F63" s="59"/>
      <c r="G63" s="59" t="s">
        <v>340</v>
      </c>
      <c r="H63" s="59" t="s">
        <v>159</v>
      </c>
      <c r="I63" s="59">
        <v>5</v>
      </c>
      <c r="J63" s="59">
        <v>5</v>
      </c>
      <c r="K63" s="61">
        <v>2.8259259259259258E-2</v>
      </c>
      <c r="L63" s="61">
        <v>2.0405092592592593E-3</v>
      </c>
      <c r="M63" s="61">
        <v>0.10348032407407408</v>
      </c>
      <c r="N63" s="61">
        <v>8.2060185185185187E-4</v>
      </c>
      <c r="O63" s="61">
        <v>8.7425925925925935E-2</v>
      </c>
      <c r="P63" s="61">
        <v>0.22202893518518518</v>
      </c>
      <c r="Q63" s="59" t="s">
        <v>2827</v>
      </c>
      <c r="R63" s="8">
        <f t="shared" si="0"/>
        <v>817</v>
      </c>
      <c r="S63" s="38"/>
      <c r="T63" s="38"/>
      <c r="U63" s="38"/>
      <c r="V63" s="38"/>
      <c r="W63" s="38"/>
      <c r="X63" s="38"/>
      <c r="Y63" s="39"/>
    </row>
    <row r="64" spans="1:25" ht="15.75" customHeight="1">
      <c r="A64" s="37">
        <v>63</v>
      </c>
      <c r="B64" s="59">
        <v>63</v>
      </c>
      <c r="C64" s="59">
        <v>150</v>
      </c>
      <c r="D64" s="59" t="s">
        <v>536</v>
      </c>
      <c r="E64" s="59" t="s">
        <v>2828</v>
      </c>
      <c r="F64" s="59" t="s">
        <v>538</v>
      </c>
      <c r="G64" s="59" t="s">
        <v>340</v>
      </c>
      <c r="H64" s="59" t="s">
        <v>163</v>
      </c>
      <c r="I64" s="59">
        <v>7</v>
      </c>
      <c r="J64" s="59">
        <v>2</v>
      </c>
      <c r="K64" s="61">
        <v>2.3075231481481481E-2</v>
      </c>
      <c r="L64" s="61">
        <v>3.2615740740740743E-3</v>
      </c>
      <c r="M64" s="61">
        <v>0.1182951388888889</v>
      </c>
      <c r="N64" s="61">
        <v>1.1168981481481481E-3</v>
      </c>
      <c r="O64" s="61">
        <v>7.6535879629629627E-2</v>
      </c>
      <c r="P64" s="61">
        <v>0.22228703703703703</v>
      </c>
      <c r="Q64" s="59" t="s">
        <v>2829</v>
      </c>
      <c r="R64" s="8">
        <f t="shared" si="0"/>
        <v>816</v>
      </c>
      <c r="S64" s="38"/>
      <c r="T64" s="38"/>
      <c r="U64" s="38"/>
      <c r="V64" s="38"/>
      <c r="W64" s="38"/>
      <c r="X64" s="38"/>
      <c r="Y64" s="39"/>
    </row>
    <row r="65" spans="1:25" ht="15.75" customHeight="1">
      <c r="A65" s="37">
        <v>64</v>
      </c>
      <c r="B65" s="59">
        <v>64</v>
      </c>
      <c r="C65" s="59">
        <v>171</v>
      </c>
      <c r="D65" s="59" t="s">
        <v>293</v>
      </c>
      <c r="E65" s="59" t="s">
        <v>2830</v>
      </c>
      <c r="F65" s="59" t="s">
        <v>199</v>
      </c>
      <c r="G65" s="59" t="s">
        <v>340</v>
      </c>
      <c r="H65" s="59" t="s">
        <v>139</v>
      </c>
      <c r="I65" s="59">
        <v>20</v>
      </c>
      <c r="J65" s="59">
        <v>4</v>
      </c>
      <c r="K65" s="61">
        <v>2.7846064814814817E-2</v>
      </c>
      <c r="L65" s="61">
        <v>1.7118055555555556E-3</v>
      </c>
      <c r="M65" s="61">
        <v>0.11145370370370371</v>
      </c>
      <c r="N65" s="61">
        <v>1.1631944444444443E-3</v>
      </c>
      <c r="O65" s="61">
        <v>8.0254629629629634E-2</v>
      </c>
      <c r="P65" s="61">
        <v>0.22243287037037038</v>
      </c>
      <c r="Q65" s="59" t="s">
        <v>2831</v>
      </c>
      <c r="R65" s="8">
        <f t="shared" si="0"/>
        <v>815</v>
      </c>
      <c r="S65" s="38"/>
      <c r="T65" s="38"/>
      <c r="U65" s="38"/>
      <c r="V65" s="38"/>
      <c r="W65" s="38"/>
      <c r="X65" s="38"/>
      <c r="Y65" s="39"/>
    </row>
    <row r="66" spans="1:25" ht="15.75" customHeight="1">
      <c r="A66" s="37">
        <v>65</v>
      </c>
      <c r="B66" s="59">
        <v>65</v>
      </c>
      <c r="C66" s="59">
        <v>161</v>
      </c>
      <c r="D66" s="59" t="s">
        <v>523</v>
      </c>
      <c r="E66" s="59" t="s">
        <v>2832</v>
      </c>
      <c r="F66" s="59"/>
      <c r="G66" s="59" t="s">
        <v>340</v>
      </c>
      <c r="H66" s="59" t="s">
        <v>139</v>
      </c>
      <c r="I66" s="59">
        <v>21</v>
      </c>
      <c r="J66" s="59">
        <v>4</v>
      </c>
      <c r="K66" s="61">
        <v>2.3327546296296298E-2</v>
      </c>
      <c r="L66" s="61">
        <v>1.8344907407407407E-3</v>
      </c>
      <c r="M66" s="61">
        <v>0.11826736111111111</v>
      </c>
      <c r="N66" s="61">
        <v>6.7245370370370375E-4</v>
      </c>
      <c r="O66" s="61">
        <v>7.8690972222222225E-2</v>
      </c>
      <c r="P66" s="61">
        <v>0.22279513888888888</v>
      </c>
      <c r="Q66" s="59" t="s">
        <v>2833</v>
      </c>
      <c r="R66" s="8">
        <f t="shared" si="0"/>
        <v>814</v>
      </c>
      <c r="S66" s="38"/>
      <c r="T66" s="38"/>
      <c r="U66" s="38"/>
      <c r="V66" s="38"/>
      <c r="W66" s="38"/>
      <c r="X66" s="38"/>
      <c r="Y66" s="39"/>
    </row>
    <row r="67" spans="1:25" ht="15.75" customHeight="1">
      <c r="A67" s="37">
        <v>66</v>
      </c>
      <c r="B67" s="59">
        <v>66</v>
      </c>
      <c r="C67" s="59">
        <v>152</v>
      </c>
      <c r="D67" s="59" t="s">
        <v>1844</v>
      </c>
      <c r="E67" s="59" t="s">
        <v>2834</v>
      </c>
      <c r="F67" s="59"/>
      <c r="G67" s="59" t="s">
        <v>340</v>
      </c>
      <c r="H67" s="59" t="s">
        <v>242</v>
      </c>
      <c r="I67" s="59">
        <v>4</v>
      </c>
      <c r="J67" s="59">
        <v>2</v>
      </c>
      <c r="K67" s="61">
        <v>2.4318287037037038E-2</v>
      </c>
      <c r="L67" s="61">
        <v>2.4548611111111112E-3</v>
      </c>
      <c r="M67" s="61">
        <v>0.11509259259259259</v>
      </c>
      <c r="N67" s="61">
        <v>1.3645833333333333E-3</v>
      </c>
      <c r="O67" s="61">
        <v>8.0531249999999999E-2</v>
      </c>
      <c r="P67" s="61">
        <v>0.2237638888888889</v>
      </c>
      <c r="Q67" s="59" t="s">
        <v>2835</v>
      </c>
      <c r="R67" s="8">
        <f t="shared" ref="R67:R121" si="1">IFERROR(ROUND($P$2/P67*1100,0),0)</f>
        <v>811</v>
      </c>
      <c r="S67" s="38"/>
      <c r="T67" s="38"/>
      <c r="U67" s="38"/>
      <c r="V67" s="38"/>
      <c r="W67" s="38"/>
      <c r="X67" s="38"/>
      <c r="Y67" s="39"/>
    </row>
    <row r="68" spans="1:25" ht="15.75" customHeight="1">
      <c r="A68" s="37">
        <v>67</v>
      </c>
      <c r="B68" s="59">
        <v>67</v>
      </c>
      <c r="C68" s="59">
        <v>101</v>
      </c>
      <c r="D68" s="59" t="s">
        <v>756</v>
      </c>
      <c r="E68" s="59" t="s">
        <v>2836</v>
      </c>
      <c r="F68" s="59"/>
      <c r="G68" s="59" t="s">
        <v>340</v>
      </c>
      <c r="H68" s="59" t="s">
        <v>163</v>
      </c>
      <c r="I68" s="59">
        <v>8</v>
      </c>
      <c r="J68" s="59">
        <v>1</v>
      </c>
      <c r="K68" s="61">
        <v>3.4728009259259257E-2</v>
      </c>
      <c r="L68" s="61">
        <v>1.7986111111111111E-3</v>
      </c>
      <c r="M68" s="61">
        <v>0.11273958333333334</v>
      </c>
      <c r="N68" s="61">
        <v>1.7523148148148148E-3</v>
      </c>
      <c r="O68" s="61">
        <v>7.3011574074074076E-2</v>
      </c>
      <c r="P68" s="61">
        <v>0.22403356481481482</v>
      </c>
      <c r="Q68" s="59" t="s">
        <v>2837</v>
      </c>
      <c r="R68" s="8">
        <f t="shared" si="1"/>
        <v>810</v>
      </c>
      <c r="S68" s="38"/>
      <c r="T68" s="38"/>
      <c r="U68" s="38"/>
      <c r="V68" s="38"/>
      <c r="W68" s="38"/>
      <c r="X68" s="38"/>
      <c r="Y68" s="39"/>
    </row>
    <row r="69" spans="1:25" ht="15.75" customHeight="1">
      <c r="A69" s="37">
        <v>68</v>
      </c>
      <c r="B69" s="59">
        <v>68</v>
      </c>
      <c r="C69" s="59">
        <v>194</v>
      </c>
      <c r="D69" s="59" t="s">
        <v>780</v>
      </c>
      <c r="E69" s="59" t="s">
        <v>2838</v>
      </c>
      <c r="F69" s="59" t="s">
        <v>782</v>
      </c>
      <c r="G69" s="59" t="s">
        <v>340</v>
      </c>
      <c r="H69" s="59" t="s">
        <v>154</v>
      </c>
      <c r="I69" s="59">
        <v>14</v>
      </c>
      <c r="J69" s="59">
        <v>5</v>
      </c>
      <c r="K69" s="61">
        <v>1.9247685185185184E-2</v>
      </c>
      <c r="L69" s="61">
        <v>2.1168981481481481E-3</v>
      </c>
      <c r="M69" s="61">
        <v>0.11714814814814815</v>
      </c>
      <c r="N69" s="61">
        <v>7.9166666666666676E-4</v>
      </c>
      <c r="O69" s="61">
        <v>8.5041666666666668E-2</v>
      </c>
      <c r="P69" s="61">
        <v>0.2243472222222222</v>
      </c>
      <c r="Q69" s="59" t="s">
        <v>2839</v>
      </c>
      <c r="R69" s="8">
        <f t="shared" si="1"/>
        <v>808</v>
      </c>
      <c r="S69" s="38"/>
      <c r="T69" s="38"/>
      <c r="U69" s="38"/>
      <c r="V69" s="38"/>
      <c r="W69" s="38"/>
      <c r="X69" s="38"/>
      <c r="Y69" s="39"/>
    </row>
    <row r="70" spans="1:25" ht="15.75" customHeight="1">
      <c r="A70" s="37">
        <v>69</v>
      </c>
      <c r="B70" s="59">
        <v>69</v>
      </c>
      <c r="C70" s="59">
        <v>173</v>
      </c>
      <c r="D70" s="59" t="s">
        <v>1821</v>
      </c>
      <c r="E70" s="59" t="s">
        <v>2840</v>
      </c>
      <c r="F70" s="59"/>
      <c r="G70" s="59" t="s">
        <v>340</v>
      </c>
      <c r="H70" s="59" t="s">
        <v>139</v>
      </c>
      <c r="I70" s="59">
        <v>22</v>
      </c>
      <c r="J70" s="59">
        <v>4</v>
      </c>
      <c r="K70" s="61">
        <v>2.9096064814814814E-2</v>
      </c>
      <c r="L70" s="61">
        <v>2.1851851851851854E-3</v>
      </c>
      <c r="M70" s="61">
        <v>0.1135462962962963</v>
      </c>
      <c r="N70" s="61">
        <v>1.2870370370370371E-3</v>
      </c>
      <c r="O70" s="61">
        <v>7.9116898148148151E-2</v>
      </c>
      <c r="P70" s="61">
        <v>0.22523379629629631</v>
      </c>
      <c r="Q70" s="59" t="s">
        <v>2841</v>
      </c>
      <c r="R70" s="8">
        <f t="shared" si="1"/>
        <v>805</v>
      </c>
      <c r="S70" s="38"/>
      <c r="T70" s="38"/>
      <c r="U70" s="38"/>
      <c r="V70" s="38"/>
      <c r="W70" s="38"/>
      <c r="X70" s="38"/>
      <c r="Y70" s="39"/>
    </row>
    <row r="71" spans="1:25" ht="15.75" customHeight="1">
      <c r="A71" s="37">
        <v>70</v>
      </c>
      <c r="B71" s="59">
        <v>70</v>
      </c>
      <c r="C71" s="59">
        <v>164</v>
      </c>
      <c r="D71" s="59" t="s">
        <v>2452</v>
      </c>
      <c r="E71" s="59" t="s">
        <v>2842</v>
      </c>
      <c r="F71" s="59" t="s">
        <v>148</v>
      </c>
      <c r="G71" s="59" t="s">
        <v>340</v>
      </c>
      <c r="H71" s="59" t="s">
        <v>149</v>
      </c>
      <c r="I71" s="59">
        <v>12</v>
      </c>
      <c r="J71" s="59">
        <v>4</v>
      </c>
      <c r="K71" s="61">
        <v>2.7890046296296295E-2</v>
      </c>
      <c r="L71" s="61">
        <v>2.4733796296296296E-3</v>
      </c>
      <c r="M71" s="61">
        <v>0.11487962962962964</v>
      </c>
      <c r="N71" s="61">
        <v>1.3888888888888889E-3</v>
      </c>
      <c r="O71" s="61">
        <v>7.9253472222222218E-2</v>
      </c>
      <c r="P71" s="61">
        <v>0.2258877314814815</v>
      </c>
      <c r="Q71" s="59" t="s">
        <v>2843</v>
      </c>
      <c r="R71" s="8">
        <f t="shared" si="1"/>
        <v>803</v>
      </c>
      <c r="S71" s="38"/>
      <c r="T71" s="38"/>
      <c r="U71" s="38"/>
      <c r="V71" s="38"/>
      <c r="W71" s="38"/>
      <c r="X71" s="38"/>
      <c r="Y71" s="39"/>
    </row>
    <row r="72" spans="1:25" ht="15.75" customHeight="1">
      <c r="A72" s="37">
        <v>71</v>
      </c>
      <c r="B72" s="59">
        <v>71</v>
      </c>
      <c r="C72" s="59">
        <v>4</v>
      </c>
      <c r="D72" s="59" t="s">
        <v>1640</v>
      </c>
      <c r="E72" s="59" t="s">
        <v>2844</v>
      </c>
      <c r="F72" s="59" t="s">
        <v>173</v>
      </c>
      <c r="G72" s="59" t="s">
        <v>319</v>
      </c>
      <c r="H72" s="59" t="s">
        <v>288</v>
      </c>
      <c r="I72" s="59">
        <v>2</v>
      </c>
      <c r="J72" s="59">
        <v>3</v>
      </c>
      <c r="K72" s="61">
        <v>3.0379629629629631E-2</v>
      </c>
      <c r="L72" s="61">
        <v>2.2430555555555559E-3</v>
      </c>
      <c r="M72" s="61">
        <v>0.12746064814814814</v>
      </c>
      <c r="N72" s="61">
        <v>2.0486111111111109E-4</v>
      </c>
      <c r="O72" s="61">
        <v>6.5671296296296297E-2</v>
      </c>
      <c r="P72" s="61">
        <v>0.22596180555555553</v>
      </c>
      <c r="Q72" s="59" t="s">
        <v>2845</v>
      </c>
      <c r="R72" s="8">
        <f t="shared" si="1"/>
        <v>803</v>
      </c>
      <c r="S72" s="38"/>
      <c r="T72" s="38"/>
      <c r="U72" s="38"/>
      <c r="V72" s="38"/>
      <c r="W72" s="38"/>
      <c r="X72" s="38"/>
      <c r="Y72" s="39"/>
    </row>
    <row r="73" spans="1:25" ht="15.75" customHeight="1">
      <c r="A73" s="37">
        <v>72</v>
      </c>
      <c r="B73" s="59">
        <v>72</v>
      </c>
      <c r="C73" s="59">
        <v>181</v>
      </c>
      <c r="D73" s="59" t="s">
        <v>1773</v>
      </c>
      <c r="E73" s="59" t="s">
        <v>2846</v>
      </c>
      <c r="F73" s="59" t="s">
        <v>2847</v>
      </c>
      <c r="G73" s="59" t="s">
        <v>340</v>
      </c>
      <c r="H73" s="59" t="s">
        <v>163</v>
      </c>
      <c r="I73" s="59">
        <v>9</v>
      </c>
      <c r="J73" s="59">
        <v>4</v>
      </c>
      <c r="K73" s="61">
        <v>3.0886574074074073E-2</v>
      </c>
      <c r="L73" s="61">
        <v>3.3865740740740744E-3</v>
      </c>
      <c r="M73" s="61">
        <v>0.11399768518518517</v>
      </c>
      <c r="N73" s="61">
        <v>9.849537037037036E-4</v>
      </c>
      <c r="O73" s="61">
        <v>7.7113425925925932E-2</v>
      </c>
      <c r="P73" s="61">
        <v>0.22637268518518516</v>
      </c>
      <c r="Q73" s="59" t="s">
        <v>2848</v>
      </c>
      <c r="R73" s="8">
        <f t="shared" si="1"/>
        <v>801</v>
      </c>
      <c r="S73" s="38"/>
      <c r="T73" s="38"/>
      <c r="U73" s="38"/>
      <c r="V73" s="38"/>
      <c r="W73" s="38"/>
      <c r="X73" s="38"/>
      <c r="Y73" s="39"/>
    </row>
    <row r="74" spans="1:25" ht="15.75" customHeight="1">
      <c r="A74" s="37">
        <v>73</v>
      </c>
      <c r="B74" s="59">
        <v>73</v>
      </c>
      <c r="C74" s="59">
        <v>6</v>
      </c>
      <c r="D74" s="59" t="s">
        <v>2119</v>
      </c>
      <c r="E74" s="59" t="s">
        <v>2849</v>
      </c>
      <c r="F74" s="59" t="s">
        <v>173</v>
      </c>
      <c r="G74" s="59" t="s">
        <v>319</v>
      </c>
      <c r="H74" s="59" t="s">
        <v>2850</v>
      </c>
      <c r="I74" s="59">
        <v>1</v>
      </c>
      <c r="J74" s="59">
        <v>3</v>
      </c>
      <c r="K74" s="61">
        <v>2.8116898148148151E-2</v>
      </c>
      <c r="L74" s="61">
        <v>1.8611111111111113E-3</v>
      </c>
      <c r="M74" s="61">
        <v>0.12019328703703705</v>
      </c>
      <c r="N74" s="61">
        <v>2.5462962962962961E-4</v>
      </c>
      <c r="O74" s="61">
        <v>7.6828703703703705E-2</v>
      </c>
      <c r="P74" s="61">
        <v>0.22725578703703705</v>
      </c>
      <c r="Q74" s="59" t="s">
        <v>2851</v>
      </c>
      <c r="R74" s="8">
        <f t="shared" si="1"/>
        <v>798</v>
      </c>
      <c r="S74" s="38"/>
      <c r="T74" s="38"/>
      <c r="U74" s="38"/>
      <c r="V74" s="38"/>
      <c r="W74" s="38"/>
      <c r="X74" s="38"/>
      <c r="Y74" s="39"/>
    </row>
    <row r="75" spans="1:25" ht="15.75" customHeight="1">
      <c r="A75" s="37">
        <v>74</v>
      </c>
      <c r="B75" s="59">
        <v>74</v>
      </c>
      <c r="C75" s="59">
        <v>198</v>
      </c>
      <c r="D75" s="59" t="s">
        <v>270</v>
      </c>
      <c r="E75" s="59" t="s">
        <v>2852</v>
      </c>
      <c r="F75" s="59" t="s">
        <v>272</v>
      </c>
      <c r="G75" s="59" t="s">
        <v>340</v>
      </c>
      <c r="H75" s="59" t="s">
        <v>149</v>
      </c>
      <c r="I75" s="59">
        <v>13</v>
      </c>
      <c r="J75" s="59">
        <v>5</v>
      </c>
      <c r="K75" s="61">
        <v>2.8552083333333336E-2</v>
      </c>
      <c r="L75" s="61">
        <v>2.4421296296296296E-3</v>
      </c>
      <c r="M75" s="61">
        <v>0.11791087962962964</v>
      </c>
      <c r="N75" s="61">
        <v>7.4768518518518511E-4</v>
      </c>
      <c r="O75" s="61">
        <v>7.8160879629629629E-2</v>
      </c>
      <c r="P75" s="61">
        <v>0.22781597222222222</v>
      </c>
      <c r="Q75" s="59" t="s">
        <v>2853</v>
      </c>
      <c r="R75" s="8">
        <f t="shared" si="1"/>
        <v>796</v>
      </c>
      <c r="S75" s="38"/>
      <c r="T75" s="38"/>
      <c r="U75" s="38"/>
      <c r="V75" s="38"/>
      <c r="W75" s="38"/>
      <c r="X75" s="38"/>
      <c r="Y75" s="39"/>
    </row>
    <row r="76" spans="1:25" ht="15.75" customHeight="1">
      <c r="A76" s="37">
        <v>75</v>
      </c>
      <c r="B76" s="59">
        <v>75</v>
      </c>
      <c r="C76" s="59">
        <v>15</v>
      </c>
      <c r="D76" s="59" t="s">
        <v>1838</v>
      </c>
      <c r="E76" s="59" t="s">
        <v>2854</v>
      </c>
      <c r="F76" s="59" t="s">
        <v>1808</v>
      </c>
      <c r="G76" s="59" t="s">
        <v>319</v>
      </c>
      <c r="H76" s="59" t="s">
        <v>2850</v>
      </c>
      <c r="I76" s="59">
        <v>2</v>
      </c>
      <c r="J76" s="59">
        <v>3</v>
      </c>
      <c r="K76" s="61">
        <v>2.7393518518518522E-2</v>
      </c>
      <c r="L76" s="61">
        <v>1.8784722222222223E-3</v>
      </c>
      <c r="M76" s="61">
        <v>0.12303819444444444</v>
      </c>
      <c r="N76" s="61">
        <v>1.1354166666666665E-3</v>
      </c>
      <c r="O76" s="61">
        <v>7.5186342592592603E-2</v>
      </c>
      <c r="P76" s="61">
        <v>0.22863425925925926</v>
      </c>
      <c r="Q76" s="59" t="s">
        <v>2855</v>
      </c>
      <c r="R76" s="8">
        <f t="shared" si="1"/>
        <v>793</v>
      </c>
      <c r="S76" s="38"/>
      <c r="T76" s="38"/>
      <c r="U76" s="38"/>
      <c r="V76" s="38"/>
      <c r="W76" s="38"/>
      <c r="X76" s="38"/>
      <c r="Y76" s="39"/>
    </row>
    <row r="77" spans="1:25" ht="15.75" customHeight="1">
      <c r="A77" s="37">
        <v>76</v>
      </c>
      <c r="B77" s="59">
        <v>76</v>
      </c>
      <c r="C77" s="59">
        <v>191</v>
      </c>
      <c r="D77" s="59" t="s">
        <v>283</v>
      </c>
      <c r="E77" s="59" t="s">
        <v>2856</v>
      </c>
      <c r="F77" s="59" t="s">
        <v>199</v>
      </c>
      <c r="G77" s="59" t="s">
        <v>340</v>
      </c>
      <c r="H77" s="59" t="s">
        <v>139</v>
      </c>
      <c r="I77" s="59">
        <v>23</v>
      </c>
      <c r="J77" s="59">
        <v>5</v>
      </c>
      <c r="K77" s="61">
        <v>2.8620370370370372E-2</v>
      </c>
      <c r="L77" s="61">
        <v>2.4293981481481484E-3</v>
      </c>
      <c r="M77" s="61">
        <v>0.11710879629629631</v>
      </c>
      <c r="N77" s="61">
        <v>1.1388888888888889E-3</v>
      </c>
      <c r="O77" s="61">
        <v>7.9616898148148138E-2</v>
      </c>
      <c r="P77" s="61">
        <v>0.22891782407407407</v>
      </c>
      <c r="Q77" s="59" t="s">
        <v>2857</v>
      </c>
      <c r="R77" s="8">
        <f t="shared" si="1"/>
        <v>792</v>
      </c>
      <c r="S77" s="38"/>
      <c r="T77" s="38"/>
      <c r="U77" s="38"/>
      <c r="V77" s="38"/>
      <c r="W77" s="38"/>
      <c r="X77" s="38"/>
      <c r="Y77" s="39"/>
    </row>
    <row r="78" spans="1:25" ht="15.75" customHeight="1">
      <c r="A78" s="37">
        <v>77</v>
      </c>
      <c r="B78" s="59">
        <v>77</v>
      </c>
      <c r="C78" s="59">
        <v>176</v>
      </c>
      <c r="D78" s="59" t="s">
        <v>1740</v>
      </c>
      <c r="E78" s="59" t="s">
        <v>2858</v>
      </c>
      <c r="F78" s="59"/>
      <c r="G78" s="59" t="s">
        <v>340</v>
      </c>
      <c r="H78" s="59" t="s">
        <v>163</v>
      </c>
      <c r="I78" s="59">
        <v>10</v>
      </c>
      <c r="J78" s="59">
        <v>4</v>
      </c>
      <c r="K78" s="61">
        <v>2.4420138888888891E-2</v>
      </c>
      <c r="L78" s="61">
        <v>2.3842592592592591E-3</v>
      </c>
      <c r="M78" s="61">
        <v>0.11605092592592592</v>
      </c>
      <c r="N78" s="61">
        <v>1.6099537037037037E-3</v>
      </c>
      <c r="O78" s="61">
        <v>8.5155092592592588E-2</v>
      </c>
      <c r="P78" s="61">
        <v>0.22962152777777778</v>
      </c>
      <c r="Q78" s="59" t="s">
        <v>2859</v>
      </c>
      <c r="R78" s="8">
        <f t="shared" si="1"/>
        <v>790</v>
      </c>
      <c r="S78" s="38"/>
      <c r="T78" s="38"/>
      <c r="U78" s="38"/>
      <c r="V78" s="38"/>
      <c r="W78" s="38"/>
      <c r="X78" s="38"/>
      <c r="Y78" s="39"/>
    </row>
    <row r="79" spans="1:25" ht="15.75" customHeight="1">
      <c r="A79" s="37">
        <v>78</v>
      </c>
      <c r="B79" s="59">
        <v>78</v>
      </c>
      <c r="C79" s="59">
        <v>3</v>
      </c>
      <c r="D79" s="59" t="s">
        <v>1139</v>
      </c>
      <c r="E79" s="59" t="s">
        <v>2860</v>
      </c>
      <c r="F79" s="59" t="s">
        <v>173</v>
      </c>
      <c r="G79" s="59" t="s">
        <v>319</v>
      </c>
      <c r="H79" s="59" t="s">
        <v>2861</v>
      </c>
      <c r="I79" s="59">
        <v>1</v>
      </c>
      <c r="J79" s="59">
        <v>3</v>
      </c>
      <c r="K79" s="61">
        <v>2.6054398148148146E-2</v>
      </c>
      <c r="L79" s="61">
        <v>1.414351851851852E-3</v>
      </c>
      <c r="M79" s="61">
        <v>0.12338310185185185</v>
      </c>
      <c r="N79" s="61">
        <v>3.9004629629629632E-4</v>
      </c>
      <c r="O79" s="61">
        <v>7.8805555555555559E-2</v>
      </c>
      <c r="P79" s="61">
        <v>0.23005092592592594</v>
      </c>
      <c r="Q79" s="59" t="s">
        <v>2862</v>
      </c>
      <c r="R79" s="8">
        <f t="shared" si="1"/>
        <v>788</v>
      </c>
      <c r="S79" s="38"/>
      <c r="T79" s="38"/>
      <c r="U79" s="38"/>
      <c r="V79" s="38"/>
      <c r="W79" s="38"/>
      <c r="X79" s="38"/>
      <c r="Y79" s="39"/>
    </row>
    <row r="80" spans="1:25" ht="15.75" customHeight="1">
      <c r="A80" s="37">
        <v>79</v>
      </c>
      <c r="B80" s="59">
        <v>79</v>
      </c>
      <c r="C80" s="59">
        <v>172</v>
      </c>
      <c r="D80" s="59" t="s">
        <v>2863</v>
      </c>
      <c r="E80" s="59" t="s">
        <v>2864</v>
      </c>
      <c r="F80" s="59" t="s">
        <v>148</v>
      </c>
      <c r="G80" s="59" t="s">
        <v>340</v>
      </c>
      <c r="H80" s="59" t="s">
        <v>163</v>
      </c>
      <c r="I80" s="59">
        <v>11</v>
      </c>
      <c r="J80" s="59">
        <v>4</v>
      </c>
      <c r="K80" s="61">
        <v>2.5100694444444443E-2</v>
      </c>
      <c r="L80" s="61">
        <v>4.2418981481481483E-3</v>
      </c>
      <c r="M80" s="61">
        <v>0.11519097222222222</v>
      </c>
      <c r="N80" s="61">
        <v>3.6481481481481482E-3</v>
      </c>
      <c r="O80" s="61">
        <v>8.221296296296296E-2</v>
      </c>
      <c r="P80" s="61">
        <v>0.23039814814814816</v>
      </c>
      <c r="Q80" s="59" t="s">
        <v>2865</v>
      </c>
      <c r="R80" s="8">
        <f t="shared" si="1"/>
        <v>787</v>
      </c>
      <c r="S80" s="38"/>
      <c r="T80" s="38"/>
      <c r="U80" s="38"/>
      <c r="V80" s="38"/>
      <c r="W80" s="38"/>
      <c r="X80" s="38"/>
      <c r="Y80" s="39"/>
    </row>
    <row r="81" spans="1:25" ht="15.75" customHeight="1">
      <c r="A81" s="37">
        <v>80</v>
      </c>
      <c r="B81" s="59">
        <v>80</v>
      </c>
      <c r="C81" s="59">
        <v>193</v>
      </c>
      <c r="D81" s="59" t="s">
        <v>1696</v>
      </c>
      <c r="E81" s="59" t="s">
        <v>2866</v>
      </c>
      <c r="F81" s="59"/>
      <c r="G81" s="59" t="s">
        <v>340</v>
      </c>
      <c r="H81" s="59" t="s">
        <v>139</v>
      </c>
      <c r="I81" s="59">
        <v>24</v>
      </c>
      <c r="J81" s="59">
        <v>5</v>
      </c>
      <c r="K81" s="61">
        <v>2.8447916666666666E-2</v>
      </c>
      <c r="L81" s="61">
        <v>2.204861111111111E-3</v>
      </c>
      <c r="M81" s="61">
        <v>0.11554166666666665</v>
      </c>
      <c r="N81" s="61">
        <v>1.7152777777777776E-3</v>
      </c>
      <c r="O81" s="61">
        <v>8.3896990740740737E-2</v>
      </c>
      <c r="P81" s="61">
        <v>0.23180902777777776</v>
      </c>
      <c r="Q81" s="59" t="s">
        <v>2867</v>
      </c>
      <c r="R81" s="8">
        <f t="shared" si="1"/>
        <v>782</v>
      </c>
      <c r="S81" s="38"/>
      <c r="T81" s="38"/>
      <c r="U81" s="38"/>
      <c r="V81" s="38"/>
      <c r="W81" s="38"/>
      <c r="X81" s="38"/>
      <c r="Y81" s="39"/>
    </row>
    <row r="82" spans="1:25" ht="15.75" customHeight="1">
      <c r="A82" s="37">
        <v>81</v>
      </c>
      <c r="B82" s="59">
        <v>81</v>
      </c>
      <c r="C82" s="59">
        <v>175</v>
      </c>
      <c r="D82" s="59" t="s">
        <v>550</v>
      </c>
      <c r="E82" s="59" t="s">
        <v>2868</v>
      </c>
      <c r="F82" s="59" t="s">
        <v>1099</v>
      </c>
      <c r="G82" s="59" t="s">
        <v>340</v>
      </c>
      <c r="H82" s="59" t="s">
        <v>139</v>
      </c>
      <c r="I82" s="59">
        <v>25</v>
      </c>
      <c r="J82" s="59">
        <v>4</v>
      </c>
      <c r="K82" s="61">
        <v>2.8008101851851853E-2</v>
      </c>
      <c r="L82" s="61">
        <v>2.0972222222222221E-3</v>
      </c>
      <c r="M82" s="61">
        <v>0.11463773148148149</v>
      </c>
      <c r="N82" s="61">
        <v>1.4872685185185186E-3</v>
      </c>
      <c r="O82" s="61">
        <v>8.5964120370370378E-2</v>
      </c>
      <c r="P82" s="61">
        <v>0.23219675925925926</v>
      </c>
      <c r="Q82" s="59" t="s">
        <v>2869</v>
      </c>
      <c r="R82" s="8">
        <f t="shared" si="1"/>
        <v>781</v>
      </c>
      <c r="S82" s="38"/>
      <c r="T82" s="38"/>
      <c r="U82" s="38"/>
      <c r="V82" s="38"/>
      <c r="W82" s="38"/>
      <c r="X82" s="38"/>
      <c r="Y82" s="39"/>
    </row>
    <row r="83" spans="1:25" ht="15.75" customHeight="1">
      <c r="A83" s="37">
        <v>82</v>
      </c>
      <c r="B83" s="59">
        <v>82</v>
      </c>
      <c r="C83" s="59">
        <v>143</v>
      </c>
      <c r="D83" s="59" t="s">
        <v>532</v>
      </c>
      <c r="E83" s="59" t="s">
        <v>2870</v>
      </c>
      <c r="F83" s="59" t="s">
        <v>534</v>
      </c>
      <c r="G83" s="59" t="s">
        <v>340</v>
      </c>
      <c r="H83" s="59" t="s">
        <v>149</v>
      </c>
      <c r="I83" s="59">
        <v>14</v>
      </c>
      <c r="J83" s="59">
        <v>2</v>
      </c>
      <c r="K83" s="61">
        <v>3.2686342592592593E-2</v>
      </c>
      <c r="L83" s="61">
        <v>1.8240740740740741E-3</v>
      </c>
      <c r="M83" s="61">
        <v>0.10953935185185186</v>
      </c>
      <c r="N83" s="61">
        <v>5.6944444444444447E-4</v>
      </c>
      <c r="O83" s="61">
        <v>8.7611111111111112E-2</v>
      </c>
      <c r="P83" s="61">
        <v>0.23223148148148148</v>
      </c>
      <c r="Q83" s="59" t="s">
        <v>2871</v>
      </c>
      <c r="R83" s="8">
        <f t="shared" si="1"/>
        <v>781</v>
      </c>
      <c r="S83" s="38"/>
      <c r="T83" s="38"/>
      <c r="U83" s="38"/>
      <c r="V83" s="38"/>
      <c r="W83" s="38"/>
      <c r="X83" s="38"/>
      <c r="Y83" s="39"/>
    </row>
    <row r="84" spans="1:25" ht="15.75" customHeight="1">
      <c r="A84" s="37">
        <v>83</v>
      </c>
      <c r="B84" s="59">
        <v>83</v>
      </c>
      <c r="C84" s="59">
        <v>10</v>
      </c>
      <c r="D84" s="59" t="s">
        <v>868</v>
      </c>
      <c r="E84" s="59" t="s">
        <v>2872</v>
      </c>
      <c r="F84" s="59" t="s">
        <v>153</v>
      </c>
      <c r="G84" s="59" t="s">
        <v>319</v>
      </c>
      <c r="H84" s="59" t="s">
        <v>2861</v>
      </c>
      <c r="I84" s="59">
        <v>2</v>
      </c>
      <c r="J84" s="59">
        <v>3</v>
      </c>
      <c r="K84" s="61">
        <v>2.6430555555555554E-2</v>
      </c>
      <c r="L84" s="61">
        <v>2.2083333333333334E-3</v>
      </c>
      <c r="M84" s="61">
        <v>0.12627777777777777</v>
      </c>
      <c r="N84" s="61">
        <v>7.0601851851851847E-4</v>
      </c>
      <c r="O84" s="61">
        <v>7.7414351851851859E-2</v>
      </c>
      <c r="P84" s="61">
        <v>0.23303935185185184</v>
      </c>
      <c r="Q84" s="59" t="s">
        <v>2873</v>
      </c>
      <c r="R84" s="8">
        <f t="shared" si="1"/>
        <v>778</v>
      </c>
      <c r="S84" s="38"/>
      <c r="T84" s="38"/>
      <c r="U84" s="38"/>
      <c r="V84" s="38"/>
      <c r="W84" s="38"/>
      <c r="X84" s="38"/>
      <c r="Y84" s="39"/>
    </row>
    <row r="85" spans="1:25" ht="15.75" customHeight="1">
      <c r="A85" s="37">
        <v>84</v>
      </c>
      <c r="B85" s="59">
        <v>84</v>
      </c>
      <c r="C85" s="59">
        <v>170</v>
      </c>
      <c r="D85" s="59" t="s">
        <v>2874</v>
      </c>
      <c r="E85" s="59" t="s">
        <v>2875</v>
      </c>
      <c r="F85" s="59"/>
      <c r="G85" s="59" t="s">
        <v>340</v>
      </c>
      <c r="H85" s="59" t="s">
        <v>159</v>
      </c>
      <c r="I85" s="59">
        <v>6</v>
      </c>
      <c r="J85" s="59">
        <v>4</v>
      </c>
      <c r="K85" s="61">
        <v>2.8248842592592589E-2</v>
      </c>
      <c r="L85" s="61">
        <v>2.7824074074074075E-3</v>
      </c>
      <c r="M85" s="61">
        <v>0.12010763888888888</v>
      </c>
      <c r="N85" s="61">
        <v>1.5393518518518519E-3</v>
      </c>
      <c r="O85" s="61">
        <v>8.0812499999999995E-2</v>
      </c>
      <c r="P85" s="61">
        <v>0.23349305555555555</v>
      </c>
      <c r="Q85" s="59" t="s">
        <v>2876</v>
      </c>
      <c r="R85" s="8">
        <f t="shared" si="1"/>
        <v>777</v>
      </c>
      <c r="S85" s="38"/>
      <c r="T85" s="38"/>
      <c r="U85" s="38"/>
      <c r="V85" s="38"/>
      <c r="W85" s="38"/>
      <c r="X85" s="38"/>
      <c r="Y85" s="39"/>
    </row>
    <row r="86" spans="1:25" ht="15.75" customHeight="1">
      <c r="A86" s="37">
        <v>85</v>
      </c>
      <c r="B86" s="59">
        <v>85</v>
      </c>
      <c r="C86" s="59">
        <v>196</v>
      </c>
      <c r="D86" s="59" t="s">
        <v>1768</v>
      </c>
      <c r="E86" s="59" t="s">
        <v>2877</v>
      </c>
      <c r="F86" s="59" t="s">
        <v>1769</v>
      </c>
      <c r="G86" s="59" t="s">
        <v>340</v>
      </c>
      <c r="H86" s="59" t="s">
        <v>139</v>
      </c>
      <c r="I86" s="59">
        <v>26</v>
      </c>
      <c r="J86" s="59">
        <v>5</v>
      </c>
      <c r="K86" s="61">
        <v>2.729513888888889E-2</v>
      </c>
      <c r="L86" s="61">
        <v>2.0925925925925925E-3</v>
      </c>
      <c r="M86" s="61">
        <v>0.12314699074074073</v>
      </c>
      <c r="N86" s="61">
        <v>3.4953703703703704E-4</v>
      </c>
      <c r="O86" s="61">
        <v>8.0895833333333333E-2</v>
      </c>
      <c r="P86" s="61">
        <v>0.23378240740740741</v>
      </c>
      <c r="Q86" s="59" t="s">
        <v>2878</v>
      </c>
      <c r="R86" s="8">
        <f t="shared" si="1"/>
        <v>776</v>
      </c>
      <c r="S86" s="38"/>
      <c r="T86" s="38"/>
      <c r="U86" s="38"/>
      <c r="V86" s="38"/>
      <c r="W86" s="38"/>
      <c r="X86" s="38"/>
      <c r="Y86" s="39"/>
    </row>
    <row r="87" spans="1:25" ht="15.75" customHeight="1">
      <c r="A87" s="37">
        <v>86</v>
      </c>
      <c r="B87" s="59">
        <v>86</v>
      </c>
      <c r="C87" s="59">
        <v>183</v>
      </c>
      <c r="D87" s="59" t="s">
        <v>2879</v>
      </c>
      <c r="E87" s="59" t="s">
        <v>2880</v>
      </c>
      <c r="F87" s="59" t="s">
        <v>2881</v>
      </c>
      <c r="G87" s="59" t="s">
        <v>340</v>
      </c>
      <c r="H87" s="59" t="s">
        <v>144</v>
      </c>
      <c r="I87" s="59">
        <v>1</v>
      </c>
      <c r="J87" s="59">
        <v>5</v>
      </c>
      <c r="K87" s="61">
        <v>2.7766203703703703E-2</v>
      </c>
      <c r="L87" s="61">
        <v>3.4212962962962964E-3</v>
      </c>
      <c r="M87" s="61">
        <v>0.12129166666666667</v>
      </c>
      <c r="N87" s="61">
        <v>1.0613425925925927E-3</v>
      </c>
      <c r="O87" s="61">
        <v>8.0288194444444447E-2</v>
      </c>
      <c r="P87" s="61">
        <v>0.23383217592592592</v>
      </c>
      <c r="Q87" s="59" t="s">
        <v>2882</v>
      </c>
      <c r="R87" s="8">
        <f t="shared" si="1"/>
        <v>776</v>
      </c>
      <c r="S87" s="38"/>
      <c r="T87" s="38"/>
      <c r="U87" s="38"/>
      <c r="V87" s="38"/>
      <c r="W87" s="38"/>
      <c r="X87" s="38"/>
      <c r="Y87" s="39"/>
    </row>
    <row r="88" spans="1:25" ht="15.75" customHeight="1">
      <c r="A88" s="37">
        <v>87</v>
      </c>
      <c r="B88" s="59">
        <v>87</v>
      </c>
      <c r="C88" s="59">
        <v>7</v>
      </c>
      <c r="D88" s="59" t="s">
        <v>2883</v>
      </c>
      <c r="E88" s="59" t="s">
        <v>2884</v>
      </c>
      <c r="F88" s="59"/>
      <c r="G88" s="59" t="s">
        <v>319</v>
      </c>
      <c r="H88" s="59" t="s">
        <v>2850</v>
      </c>
      <c r="I88" s="59">
        <v>3</v>
      </c>
      <c r="J88" s="59">
        <v>3</v>
      </c>
      <c r="K88" s="61">
        <v>2.8782407407407409E-2</v>
      </c>
      <c r="L88" s="61">
        <v>2.1608796296296293E-3</v>
      </c>
      <c r="M88" s="61">
        <v>0.11914120370370369</v>
      </c>
      <c r="N88" s="61">
        <v>7.1296296296296299E-4</v>
      </c>
      <c r="O88" s="61">
        <v>8.4203703703703697E-2</v>
      </c>
      <c r="P88" s="61">
        <v>0.23500578703703703</v>
      </c>
      <c r="Q88" s="59" t="s">
        <v>2885</v>
      </c>
      <c r="R88" s="8">
        <f t="shared" si="1"/>
        <v>772</v>
      </c>
      <c r="S88" s="38"/>
      <c r="T88" s="38"/>
      <c r="U88" s="38"/>
      <c r="V88" s="38"/>
      <c r="W88" s="38"/>
      <c r="X88" s="38"/>
      <c r="Y88" s="39"/>
    </row>
    <row r="89" spans="1:25" ht="15.75" customHeight="1">
      <c r="A89" s="37">
        <v>88</v>
      </c>
      <c r="B89" s="59">
        <v>88</v>
      </c>
      <c r="C89" s="59">
        <v>182</v>
      </c>
      <c r="D89" s="59" t="s">
        <v>296</v>
      </c>
      <c r="E89" s="59" t="s">
        <v>2886</v>
      </c>
      <c r="F89" s="59" t="s">
        <v>199</v>
      </c>
      <c r="G89" s="59" t="s">
        <v>340</v>
      </c>
      <c r="H89" s="59" t="s">
        <v>242</v>
      </c>
      <c r="I89" s="59">
        <v>5</v>
      </c>
      <c r="J89" s="59">
        <v>4</v>
      </c>
      <c r="K89" s="61">
        <v>2.6100694444444444E-2</v>
      </c>
      <c r="L89" s="61">
        <v>1.988425925925926E-3</v>
      </c>
      <c r="M89" s="61">
        <v>0.10933101851851852</v>
      </c>
      <c r="N89" s="61">
        <v>5.8217592592592587E-4</v>
      </c>
      <c r="O89" s="61">
        <v>9.7547453703703713E-2</v>
      </c>
      <c r="P89" s="61">
        <v>0.23555324074074074</v>
      </c>
      <c r="Q89" s="59" t="s">
        <v>2887</v>
      </c>
      <c r="R89" s="8">
        <f t="shared" si="1"/>
        <v>770</v>
      </c>
      <c r="S89" s="38"/>
      <c r="T89" s="38"/>
      <c r="U89" s="38"/>
      <c r="V89" s="38"/>
      <c r="W89" s="38"/>
      <c r="X89" s="38"/>
      <c r="Y89" s="39"/>
    </row>
    <row r="90" spans="1:25" ht="15.75" customHeight="1">
      <c r="A90" s="37">
        <v>89</v>
      </c>
      <c r="B90" s="59">
        <v>89</v>
      </c>
      <c r="C90" s="59">
        <v>203</v>
      </c>
      <c r="D90" s="59" t="s">
        <v>1834</v>
      </c>
      <c r="E90" s="59" t="s">
        <v>2888</v>
      </c>
      <c r="F90" s="59"/>
      <c r="G90" s="59" t="s">
        <v>340</v>
      </c>
      <c r="H90" s="59" t="s">
        <v>139</v>
      </c>
      <c r="I90" s="59">
        <v>27</v>
      </c>
      <c r="J90" s="59">
        <v>5</v>
      </c>
      <c r="K90" s="61">
        <v>2.8712962962962964E-2</v>
      </c>
      <c r="L90" s="61">
        <v>3.7245370370370371E-3</v>
      </c>
      <c r="M90" s="61">
        <v>0.12903124999999999</v>
      </c>
      <c r="N90" s="61">
        <v>1.0069444444444444E-3</v>
      </c>
      <c r="O90" s="61">
        <v>7.3142361111111109E-2</v>
      </c>
      <c r="P90" s="61">
        <v>0.23562037037037034</v>
      </c>
      <c r="Q90" s="59" t="s">
        <v>2889</v>
      </c>
      <c r="R90" s="8">
        <f t="shared" si="1"/>
        <v>770</v>
      </c>
      <c r="S90" s="38"/>
      <c r="T90" s="38"/>
      <c r="U90" s="38"/>
      <c r="V90" s="38"/>
      <c r="W90" s="38"/>
      <c r="X90" s="38"/>
      <c r="Y90" s="39"/>
    </row>
    <row r="91" spans="1:25" ht="15.75" customHeight="1">
      <c r="A91" s="37">
        <v>90</v>
      </c>
      <c r="B91" s="59">
        <v>90</v>
      </c>
      <c r="C91" s="59">
        <v>179</v>
      </c>
      <c r="D91" s="59" t="s">
        <v>321</v>
      </c>
      <c r="E91" s="59" t="s">
        <v>2890</v>
      </c>
      <c r="F91" s="59"/>
      <c r="G91" s="59" t="s">
        <v>340</v>
      </c>
      <c r="H91" s="59" t="s">
        <v>139</v>
      </c>
      <c r="I91" s="59">
        <v>28</v>
      </c>
      <c r="J91" s="59">
        <v>4</v>
      </c>
      <c r="K91" s="61">
        <v>2.9064814814814814E-2</v>
      </c>
      <c r="L91" s="61">
        <v>1.662037037037037E-3</v>
      </c>
      <c r="M91" s="61">
        <v>0.12440393518518518</v>
      </c>
      <c r="N91" s="61">
        <v>1.0740740740740741E-3</v>
      </c>
      <c r="O91" s="61">
        <v>8.0181712962962962E-2</v>
      </c>
      <c r="P91" s="61">
        <v>0.2363888888888889</v>
      </c>
      <c r="Q91" s="59" t="s">
        <v>2891</v>
      </c>
      <c r="R91" s="8">
        <f t="shared" si="1"/>
        <v>767</v>
      </c>
      <c r="S91" s="38"/>
      <c r="T91" s="38"/>
      <c r="U91" s="38"/>
      <c r="V91" s="38"/>
      <c r="W91" s="38"/>
      <c r="X91" s="38"/>
      <c r="Y91" s="39"/>
    </row>
    <row r="92" spans="1:25" ht="15.75" customHeight="1">
      <c r="A92" s="37">
        <v>91</v>
      </c>
      <c r="B92" s="59">
        <v>91</v>
      </c>
      <c r="C92" s="59">
        <v>178</v>
      </c>
      <c r="D92" s="59" t="s">
        <v>2892</v>
      </c>
      <c r="E92" s="59" t="s">
        <v>2893</v>
      </c>
      <c r="F92" s="59" t="s">
        <v>2894</v>
      </c>
      <c r="G92" s="59" t="s">
        <v>340</v>
      </c>
      <c r="H92" s="59" t="s">
        <v>144</v>
      </c>
      <c r="I92" s="59">
        <v>2</v>
      </c>
      <c r="J92" s="59">
        <v>4</v>
      </c>
      <c r="K92" s="61">
        <v>2.7462962962962967E-2</v>
      </c>
      <c r="L92" s="61">
        <v>2.9444444444444444E-3</v>
      </c>
      <c r="M92" s="61">
        <v>0.12357060185185186</v>
      </c>
      <c r="N92" s="61">
        <v>1.767361111111111E-3</v>
      </c>
      <c r="O92" s="61">
        <v>8.1869212962962956E-2</v>
      </c>
      <c r="P92" s="61">
        <v>0.23761689814814813</v>
      </c>
      <c r="Q92" s="59" t="s">
        <v>2895</v>
      </c>
      <c r="R92" s="8">
        <f t="shared" si="1"/>
        <v>763</v>
      </c>
      <c r="S92" s="38"/>
      <c r="T92" s="38"/>
      <c r="U92" s="38"/>
      <c r="V92" s="38"/>
      <c r="W92" s="38"/>
      <c r="X92" s="38"/>
      <c r="Y92" s="39"/>
    </row>
    <row r="93" spans="1:25" ht="15.75" customHeight="1">
      <c r="A93" s="37">
        <v>92</v>
      </c>
      <c r="B93" s="59">
        <v>92</v>
      </c>
      <c r="C93" s="59">
        <v>202</v>
      </c>
      <c r="D93" s="59" t="s">
        <v>581</v>
      </c>
      <c r="E93" s="59" t="s">
        <v>2896</v>
      </c>
      <c r="F93" s="59" t="s">
        <v>1808</v>
      </c>
      <c r="G93" s="59" t="s">
        <v>340</v>
      </c>
      <c r="H93" s="59" t="s">
        <v>139</v>
      </c>
      <c r="I93" s="59">
        <v>29</v>
      </c>
      <c r="J93" s="59">
        <v>5</v>
      </c>
      <c r="K93" s="61">
        <v>2.8685185185185185E-2</v>
      </c>
      <c r="L93" s="61">
        <v>1.8495370370370371E-3</v>
      </c>
      <c r="M93" s="61">
        <v>0.11783217592592593</v>
      </c>
      <c r="N93" s="61">
        <v>9.1782407407407405E-4</v>
      </c>
      <c r="O93" s="61">
        <v>8.8537037037037039E-2</v>
      </c>
      <c r="P93" s="61">
        <v>0.23782407407407408</v>
      </c>
      <c r="Q93" s="59" t="s">
        <v>2897</v>
      </c>
      <c r="R93" s="8">
        <f t="shared" si="1"/>
        <v>763</v>
      </c>
      <c r="S93" s="38"/>
      <c r="T93" s="38"/>
      <c r="U93" s="38"/>
      <c r="V93" s="38"/>
      <c r="W93" s="38"/>
      <c r="X93" s="38"/>
      <c r="Y93" s="39"/>
    </row>
    <row r="94" spans="1:25" ht="15.75" customHeight="1">
      <c r="A94" s="37">
        <v>93</v>
      </c>
      <c r="B94" s="59">
        <v>93</v>
      </c>
      <c r="C94" s="59">
        <v>190</v>
      </c>
      <c r="D94" s="59" t="s">
        <v>1793</v>
      </c>
      <c r="E94" s="59" t="s">
        <v>2898</v>
      </c>
      <c r="F94" s="59" t="s">
        <v>1794</v>
      </c>
      <c r="G94" s="59" t="s">
        <v>340</v>
      </c>
      <c r="H94" s="59" t="s">
        <v>139</v>
      </c>
      <c r="I94" s="59">
        <v>30</v>
      </c>
      <c r="J94" s="59">
        <v>5</v>
      </c>
      <c r="K94" s="61">
        <v>3.1158564814814813E-2</v>
      </c>
      <c r="L94" s="61">
        <v>2.8668981481481479E-3</v>
      </c>
      <c r="M94" s="61">
        <v>0.12459953703703704</v>
      </c>
      <c r="N94" s="61">
        <v>3.2060185185185186E-4</v>
      </c>
      <c r="O94" s="61">
        <v>7.8989583333333335E-2</v>
      </c>
      <c r="P94" s="61">
        <v>0.23793865740740741</v>
      </c>
      <c r="Q94" s="59" t="s">
        <v>2899</v>
      </c>
      <c r="R94" s="8">
        <f t="shared" si="1"/>
        <v>762</v>
      </c>
      <c r="S94" s="38"/>
      <c r="T94" s="38"/>
      <c r="U94" s="38"/>
      <c r="V94" s="38"/>
      <c r="W94" s="38"/>
      <c r="X94" s="38"/>
      <c r="Y94" s="39"/>
    </row>
    <row r="95" spans="1:25" ht="15.75" customHeight="1">
      <c r="A95" s="37">
        <v>94</v>
      </c>
      <c r="B95" s="59">
        <v>94</v>
      </c>
      <c r="C95" s="59">
        <v>199</v>
      </c>
      <c r="D95" s="59" t="s">
        <v>2900</v>
      </c>
      <c r="E95" s="59" t="s">
        <v>2901</v>
      </c>
      <c r="F95" s="59" t="s">
        <v>1005</v>
      </c>
      <c r="G95" s="59" t="s">
        <v>340</v>
      </c>
      <c r="H95" s="59" t="s">
        <v>154</v>
      </c>
      <c r="I95" s="59">
        <v>15</v>
      </c>
      <c r="J95" s="59">
        <v>5</v>
      </c>
      <c r="K95" s="61">
        <v>2.7206018518518518E-2</v>
      </c>
      <c r="L95" s="61">
        <v>2.4305555555555556E-3</v>
      </c>
      <c r="M95" s="61">
        <v>0.11895949074074075</v>
      </c>
      <c r="N95" s="61">
        <v>1.0509259259259259E-3</v>
      </c>
      <c r="O95" s="61">
        <v>8.8783564814814808E-2</v>
      </c>
      <c r="P95" s="61">
        <v>0.23843287037037036</v>
      </c>
      <c r="Q95" s="59" t="s">
        <v>2902</v>
      </c>
      <c r="R95" s="8">
        <f t="shared" si="1"/>
        <v>761</v>
      </c>
      <c r="S95" s="38"/>
      <c r="T95" s="38"/>
      <c r="U95" s="38"/>
      <c r="V95" s="38"/>
      <c r="W95" s="38"/>
      <c r="X95" s="38"/>
      <c r="Y95" s="39"/>
    </row>
    <row r="96" spans="1:25" ht="15.75" customHeight="1">
      <c r="A96" s="37">
        <v>95</v>
      </c>
      <c r="B96" s="59">
        <v>95</v>
      </c>
      <c r="C96" s="59">
        <v>12</v>
      </c>
      <c r="D96" s="59" t="s">
        <v>1291</v>
      </c>
      <c r="E96" s="59" t="s">
        <v>43</v>
      </c>
      <c r="F96" s="59" t="s">
        <v>138</v>
      </c>
      <c r="G96" s="59" t="s">
        <v>319</v>
      </c>
      <c r="H96" s="59" t="s">
        <v>2903</v>
      </c>
      <c r="I96" s="59">
        <v>1</v>
      </c>
      <c r="J96" s="59">
        <v>3</v>
      </c>
      <c r="K96" s="61">
        <v>3.5770833333333335E-2</v>
      </c>
      <c r="L96" s="61">
        <v>2.9282407407407408E-3</v>
      </c>
      <c r="M96" s="61">
        <v>0.12603472222222223</v>
      </c>
      <c r="N96" s="61">
        <v>1.425925925925926E-3</v>
      </c>
      <c r="O96" s="61">
        <v>7.4200231481481471E-2</v>
      </c>
      <c r="P96" s="61">
        <v>0.24036226851851852</v>
      </c>
      <c r="Q96" s="59" t="s">
        <v>2904</v>
      </c>
      <c r="R96" s="8">
        <f t="shared" si="1"/>
        <v>755</v>
      </c>
      <c r="S96" s="38"/>
      <c r="T96" s="38"/>
      <c r="U96" s="38"/>
      <c r="V96" s="38"/>
      <c r="W96" s="38"/>
      <c r="X96" s="38"/>
      <c r="Y96" s="39"/>
    </row>
    <row r="97" spans="1:25" ht="15.75" customHeight="1">
      <c r="A97" s="40" t="s">
        <v>310</v>
      </c>
      <c r="B97" s="59">
        <v>96</v>
      </c>
      <c r="C97" s="59">
        <v>11</v>
      </c>
      <c r="D97" s="59" t="s">
        <v>929</v>
      </c>
      <c r="E97" s="59" t="s">
        <v>39</v>
      </c>
      <c r="F97" s="59" t="s">
        <v>138</v>
      </c>
      <c r="G97" s="59" t="s">
        <v>319</v>
      </c>
      <c r="H97" s="59" t="s">
        <v>2903</v>
      </c>
      <c r="I97" s="59">
        <v>2</v>
      </c>
      <c r="J97" s="59">
        <v>3</v>
      </c>
      <c r="K97" s="61">
        <v>2.9322916666666667E-2</v>
      </c>
      <c r="L97" s="61">
        <v>2.3958333333333331E-3</v>
      </c>
      <c r="M97" s="61">
        <v>0.12528124999999998</v>
      </c>
      <c r="N97" s="61">
        <v>1.2256944444444446E-3</v>
      </c>
      <c r="O97" s="61">
        <v>8.3403935185185185E-2</v>
      </c>
      <c r="P97" s="61">
        <v>0.24163310185185183</v>
      </c>
      <c r="Q97" s="59" t="s">
        <v>2905</v>
      </c>
      <c r="R97" s="8">
        <f t="shared" si="1"/>
        <v>751</v>
      </c>
      <c r="S97" s="38"/>
      <c r="T97" s="38"/>
      <c r="U97" s="38"/>
      <c r="V97" s="38"/>
      <c r="W97" s="38"/>
      <c r="X97" s="38"/>
      <c r="Y97" s="39"/>
    </row>
    <row r="98" spans="1:25" ht="15.75" customHeight="1">
      <c r="A98" s="40" t="s">
        <v>310</v>
      </c>
      <c r="B98" s="59">
        <v>97</v>
      </c>
      <c r="C98" s="59">
        <v>185</v>
      </c>
      <c r="D98" s="59" t="s">
        <v>315</v>
      </c>
      <c r="E98" s="59" t="s">
        <v>2906</v>
      </c>
      <c r="F98" s="59" t="s">
        <v>199</v>
      </c>
      <c r="G98" s="59" t="s">
        <v>340</v>
      </c>
      <c r="H98" s="59" t="s">
        <v>242</v>
      </c>
      <c r="I98" s="59">
        <v>6</v>
      </c>
      <c r="J98" s="59">
        <v>5</v>
      </c>
      <c r="K98" s="61">
        <v>2.9280092592592594E-2</v>
      </c>
      <c r="L98" s="61">
        <v>2.6226851851851849E-3</v>
      </c>
      <c r="M98" s="61">
        <v>0.11632523148148148</v>
      </c>
      <c r="N98" s="61">
        <v>9.3287037037037026E-4</v>
      </c>
      <c r="O98" s="61">
        <v>9.3182870370370374E-2</v>
      </c>
      <c r="P98" s="61">
        <v>0.24234606481481483</v>
      </c>
      <c r="Q98" s="59" t="s">
        <v>2907</v>
      </c>
      <c r="R98" s="8">
        <f t="shared" si="1"/>
        <v>748</v>
      </c>
      <c r="S98" s="38"/>
      <c r="T98" s="38"/>
      <c r="U98" s="38"/>
      <c r="V98" s="38"/>
      <c r="W98" s="38"/>
      <c r="X98" s="38"/>
      <c r="Y98" s="39"/>
    </row>
    <row r="99" spans="1:25" ht="15.75" customHeight="1">
      <c r="A99" s="37"/>
      <c r="B99" s="59">
        <v>98</v>
      </c>
      <c r="C99" s="59">
        <v>195</v>
      </c>
      <c r="D99" s="59" t="s">
        <v>330</v>
      </c>
      <c r="E99" s="59" t="s">
        <v>2908</v>
      </c>
      <c r="F99" s="59" t="s">
        <v>173</v>
      </c>
      <c r="G99" s="59" t="s">
        <v>340</v>
      </c>
      <c r="H99" s="59" t="s">
        <v>242</v>
      </c>
      <c r="I99" s="59">
        <v>7</v>
      </c>
      <c r="J99" s="59">
        <v>5</v>
      </c>
      <c r="K99" s="61">
        <v>2.6915509259259261E-2</v>
      </c>
      <c r="L99" s="61">
        <v>1.8217592592592593E-3</v>
      </c>
      <c r="M99" s="61">
        <v>0.11240277777777778</v>
      </c>
      <c r="N99" s="61">
        <v>8.1481481481481487E-4</v>
      </c>
      <c r="O99" s="61">
        <v>0.10119675925925925</v>
      </c>
      <c r="P99" s="61">
        <v>0.2431527777777778</v>
      </c>
      <c r="Q99" s="59" t="s">
        <v>2909</v>
      </c>
      <c r="R99" s="8">
        <f t="shared" si="1"/>
        <v>746</v>
      </c>
      <c r="S99" s="38"/>
      <c r="T99" s="38"/>
      <c r="U99" s="38"/>
      <c r="V99" s="38"/>
      <c r="W99" s="38"/>
      <c r="X99" s="38"/>
      <c r="Y99" s="39"/>
    </row>
    <row r="100" spans="1:25" ht="15.75" customHeight="1">
      <c r="A100" s="37"/>
      <c r="B100" s="59">
        <v>99</v>
      </c>
      <c r="C100" s="59">
        <v>165</v>
      </c>
      <c r="D100" s="59" t="s">
        <v>2910</v>
      </c>
      <c r="E100" s="59" t="s">
        <v>2911</v>
      </c>
      <c r="F100" s="59" t="s">
        <v>2912</v>
      </c>
      <c r="G100" s="59" t="s">
        <v>340</v>
      </c>
      <c r="H100" s="59" t="s">
        <v>163</v>
      </c>
      <c r="I100" s="59">
        <v>12</v>
      </c>
      <c r="J100" s="59">
        <v>4</v>
      </c>
      <c r="K100" s="61">
        <v>2.7197916666666669E-2</v>
      </c>
      <c r="L100" s="61">
        <v>3.4872685185185185E-3</v>
      </c>
      <c r="M100" s="61">
        <v>0.12319791666666666</v>
      </c>
      <c r="N100" s="61">
        <v>1.5717592592592593E-3</v>
      </c>
      <c r="O100" s="61">
        <v>8.9165509259259257E-2</v>
      </c>
      <c r="P100" s="61">
        <v>0.24462152777777776</v>
      </c>
      <c r="Q100" s="59" t="s">
        <v>2913</v>
      </c>
      <c r="R100" s="8">
        <f t="shared" si="1"/>
        <v>741</v>
      </c>
      <c r="S100" s="38"/>
      <c r="T100" s="38"/>
      <c r="U100" s="38"/>
      <c r="V100" s="38"/>
      <c r="W100" s="38"/>
      <c r="X100" s="38"/>
      <c r="Y100" s="39"/>
    </row>
    <row r="101" spans="1:25" ht="15.75" customHeight="1">
      <c r="A101" s="37"/>
      <c r="B101" s="59">
        <v>100</v>
      </c>
      <c r="C101" s="59">
        <v>167</v>
      </c>
      <c r="D101" s="59" t="s">
        <v>2914</v>
      </c>
      <c r="E101" s="59" t="s">
        <v>2915</v>
      </c>
      <c r="F101" s="59" t="s">
        <v>153</v>
      </c>
      <c r="G101" s="59" t="s">
        <v>340</v>
      </c>
      <c r="H101" s="59" t="s">
        <v>163</v>
      </c>
      <c r="I101" s="59">
        <v>13</v>
      </c>
      <c r="J101" s="59">
        <v>4</v>
      </c>
      <c r="K101" s="61">
        <v>2.5290509259259259E-2</v>
      </c>
      <c r="L101" s="61">
        <v>2.0347222222222225E-3</v>
      </c>
      <c r="M101" s="61">
        <v>0.11808217592592592</v>
      </c>
      <c r="N101" s="61">
        <v>4.0740740740740744E-4</v>
      </c>
      <c r="O101" s="61">
        <v>0.10266550925925925</v>
      </c>
      <c r="P101" s="61">
        <v>0.24848263888888891</v>
      </c>
      <c r="Q101" s="59" t="s">
        <v>2916</v>
      </c>
      <c r="R101" s="8">
        <f t="shared" si="1"/>
        <v>730</v>
      </c>
      <c r="S101" s="38"/>
      <c r="T101" s="38"/>
      <c r="U101" s="38"/>
      <c r="V101" s="38"/>
      <c r="W101" s="38"/>
      <c r="X101" s="38"/>
      <c r="Y101" s="39"/>
    </row>
    <row r="102" spans="1:25" ht="15.75" customHeight="1">
      <c r="A102" s="37"/>
      <c r="B102" s="59">
        <v>101</v>
      </c>
      <c r="C102" s="59">
        <v>174</v>
      </c>
      <c r="D102" s="59" t="s">
        <v>2917</v>
      </c>
      <c r="E102" s="59" t="s">
        <v>2918</v>
      </c>
      <c r="F102" s="59"/>
      <c r="G102" s="59" t="s">
        <v>340</v>
      </c>
      <c r="H102" s="59" t="s">
        <v>159</v>
      </c>
      <c r="I102" s="59">
        <v>7</v>
      </c>
      <c r="J102" s="59">
        <v>4</v>
      </c>
      <c r="K102" s="61">
        <v>2.7790509259259258E-2</v>
      </c>
      <c r="L102" s="61">
        <v>2.3425925925925927E-3</v>
      </c>
      <c r="M102" s="61">
        <v>0.12340740740740741</v>
      </c>
      <c r="N102" s="61">
        <v>1.451388888888889E-3</v>
      </c>
      <c r="O102" s="61">
        <v>9.4865740740740737E-2</v>
      </c>
      <c r="P102" s="61">
        <v>0.24985995370370373</v>
      </c>
      <c r="Q102" s="59" t="s">
        <v>2919</v>
      </c>
      <c r="R102" s="8">
        <f t="shared" si="1"/>
        <v>726</v>
      </c>
      <c r="S102" s="38"/>
      <c r="T102" s="38"/>
      <c r="U102" s="38"/>
      <c r="V102" s="38"/>
      <c r="W102" s="38"/>
      <c r="X102" s="38"/>
      <c r="Y102" s="39"/>
    </row>
    <row r="103" spans="1:25" ht="15.75" customHeight="1">
      <c r="A103" s="37"/>
      <c r="B103" s="59">
        <v>102</v>
      </c>
      <c r="C103" s="59">
        <v>186</v>
      </c>
      <c r="D103" s="59" t="s">
        <v>629</v>
      </c>
      <c r="E103" s="59" t="s">
        <v>2920</v>
      </c>
      <c r="F103" s="59" t="s">
        <v>2921</v>
      </c>
      <c r="G103" s="59" t="s">
        <v>340</v>
      </c>
      <c r="H103" s="59" t="s">
        <v>149</v>
      </c>
      <c r="I103" s="59">
        <v>15</v>
      </c>
      <c r="J103" s="59">
        <v>5</v>
      </c>
      <c r="K103" s="61">
        <v>2.8410879629629626E-2</v>
      </c>
      <c r="L103" s="61">
        <v>2.4745370370370372E-3</v>
      </c>
      <c r="M103" s="61">
        <v>0.12637499999999999</v>
      </c>
      <c r="N103" s="61">
        <v>1.1099537037037037E-3</v>
      </c>
      <c r="O103" s="61">
        <v>9.2144675925925928E-2</v>
      </c>
      <c r="P103" s="61">
        <v>0.25051736111111111</v>
      </c>
      <c r="Q103" s="59" t="s">
        <v>2922</v>
      </c>
      <c r="R103" s="8">
        <f t="shared" si="1"/>
        <v>724</v>
      </c>
      <c r="S103" s="38"/>
      <c r="T103" s="38"/>
      <c r="U103" s="38"/>
      <c r="V103" s="38"/>
      <c r="W103" s="38"/>
      <c r="X103" s="38"/>
      <c r="Y103" s="39"/>
    </row>
    <row r="104" spans="1:25" ht="15.75" customHeight="1">
      <c r="A104" s="37"/>
      <c r="B104" s="59">
        <v>103</v>
      </c>
      <c r="C104" s="59">
        <v>9</v>
      </c>
      <c r="D104" s="59" t="s">
        <v>2923</v>
      </c>
      <c r="E104" s="59" t="s">
        <v>2924</v>
      </c>
      <c r="F104" s="59" t="s">
        <v>148</v>
      </c>
      <c r="G104" s="59" t="s">
        <v>319</v>
      </c>
      <c r="H104" s="59" t="s">
        <v>2850</v>
      </c>
      <c r="I104" s="59">
        <v>4</v>
      </c>
      <c r="J104" s="59">
        <v>3</v>
      </c>
      <c r="K104" s="61">
        <v>2.9347222222222222E-2</v>
      </c>
      <c r="L104" s="61">
        <v>2.2986111111111111E-3</v>
      </c>
      <c r="M104" s="61">
        <v>0.12427314814814816</v>
      </c>
      <c r="N104" s="61">
        <v>1.5532407407407407E-3</v>
      </c>
      <c r="O104" s="61">
        <v>9.4302083333333328E-2</v>
      </c>
      <c r="P104" s="61">
        <v>0.25177662037037035</v>
      </c>
      <c r="Q104" s="59" t="s">
        <v>2925</v>
      </c>
      <c r="R104" s="8">
        <f t="shared" si="1"/>
        <v>720</v>
      </c>
      <c r="S104" s="38"/>
      <c r="T104" s="38"/>
      <c r="U104" s="38"/>
      <c r="V104" s="38"/>
      <c r="W104" s="38"/>
      <c r="X104" s="38"/>
      <c r="Y104" s="39"/>
    </row>
    <row r="105" spans="1:25" ht="15.75" customHeight="1">
      <c r="A105" s="37"/>
      <c r="B105" s="59">
        <v>104</v>
      </c>
      <c r="C105" s="59">
        <v>177</v>
      </c>
      <c r="D105" s="59" t="s">
        <v>885</v>
      </c>
      <c r="E105" s="59" t="s">
        <v>2926</v>
      </c>
      <c r="F105" s="59"/>
      <c r="G105" s="59" t="s">
        <v>340</v>
      </c>
      <c r="H105" s="59" t="s">
        <v>242</v>
      </c>
      <c r="I105" s="59">
        <v>8</v>
      </c>
      <c r="J105" s="59">
        <v>4</v>
      </c>
      <c r="K105" s="61">
        <v>2.8363425925925924E-2</v>
      </c>
      <c r="L105" s="61">
        <v>2.4699074074074076E-3</v>
      </c>
      <c r="M105" s="61">
        <v>0.12253819444444444</v>
      </c>
      <c r="N105" s="61">
        <v>1.7083333333333332E-3</v>
      </c>
      <c r="O105" s="61">
        <v>9.7959490740740743E-2</v>
      </c>
      <c r="P105" s="61">
        <v>0.25304166666666666</v>
      </c>
      <c r="Q105" s="59" t="s">
        <v>2927</v>
      </c>
      <c r="R105" s="8">
        <f t="shared" si="1"/>
        <v>717</v>
      </c>
      <c r="S105" s="38"/>
      <c r="T105" s="38"/>
      <c r="U105" s="38"/>
      <c r="V105" s="38"/>
      <c r="W105" s="38"/>
      <c r="X105" s="38"/>
      <c r="Y105" s="39"/>
    </row>
    <row r="106" spans="1:25" ht="15.75" customHeight="1">
      <c r="A106" s="37"/>
      <c r="B106" s="59">
        <v>105</v>
      </c>
      <c r="C106" s="59">
        <v>192</v>
      </c>
      <c r="D106" s="59" t="s">
        <v>327</v>
      </c>
      <c r="E106" s="59" t="s">
        <v>2928</v>
      </c>
      <c r="F106" s="59"/>
      <c r="G106" s="59" t="s">
        <v>340</v>
      </c>
      <c r="H106" s="59" t="s">
        <v>139</v>
      </c>
      <c r="I106" s="59">
        <v>31</v>
      </c>
      <c r="J106" s="59">
        <v>5</v>
      </c>
      <c r="K106" s="61">
        <v>2.8409722222222222E-2</v>
      </c>
      <c r="L106" s="61">
        <v>1.8402777777777777E-3</v>
      </c>
      <c r="M106" s="61">
        <v>0.12407291666666666</v>
      </c>
      <c r="N106" s="61">
        <v>5.8449074074074078E-4</v>
      </c>
      <c r="O106" s="61">
        <v>9.8189814814814813E-2</v>
      </c>
      <c r="P106" s="61">
        <v>0.2530972222222222</v>
      </c>
      <c r="Q106" s="59" t="s">
        <v>2929</v>
      </c>
      <c r="R106" s="8">
        <f t="shared" si="1"/>
        <v>717</v>
      </c>
      <c r="S106" s="38"/>
      <c r="T106" s="38"/>
      <c r="U106" s="38"/>
      <c r="V106" s="38"/>
      <c r="W106" s="38"/>
      <c r="X106" s="38"/>
      <c r="Y106" s="39"/>
    </row>
    <row r="107" spans="1:25" ht="15.75" customHeight="1">
      <c r="A107" s="37"/>
      <c r="B107" s="59">
        <v>106</v>
      </c>
      <c r="C107" s="59">
        <v>188</v>
      </c>
      <c r="D107" s="59" t="s">
        <v>305</v>
      </c>
      <c r="E107" s="59" t="s">
        <v>2930</v>
      </c>
      <c r="F107" s="59"/>
      <c r="G107" s="59" t="s">
        <v>340</v>
      </c>
      <c r="H107" s="59" t="s">
        <v>159</v>
      </c>
      <c r="I107" s="59">
        <v>8</v>
      </c>
      <c r="J107" s="59">
        <v>5</v>
      </c>
      <c r="K107" s="61">
        <v>2.901273148148148E-2</v>
      </c>
      <c r="L107" s="61">
        <v>3.239583333333333E-3</v>
      </c>
      <c r="M107" s="61">
        <v>0.12769560185185186</v>
      </c>
      <c r="N107" s="61">
        <v>1.5358796296296294E-3</v>
      </c>
      <c r="O107" s="61">
        <v>9.510416666666667E-2</v>
      </c>
      <c r="P107" s="61">
        <v>0.25659027777777782</v>
      </c>
      <c r="Q107" s="59" t="s">
        <v>2931</v>
      </c>
      <c r="R107" s="8">
        <f t="shared" si="1"/>
        <v>707</v>
      </c>
      <c r="S107" s="38"/>
      <c r="T107" s="38"/>
      <c r="U107" s="38"/>
      <c r="V107" s="38"/>
      <c r="W107" s="38"/>
      <c r="X107" s="38"/>
      <c r="Y107" s="39"/>
    </row>
    <row r="108" spans="1:25" ht="15.75" customHeight="1">
      <c r="A108" s="37"/>
      <c r="B108" s="59">
        <v>107</v>
      </c>
      <c r="C108" s="59">
        <v>206</v>
      </c>
      <c r="D108" s="59" t="s">
        <v>659</v>
      </c>
      <c r="E108" s="59" t="s">
        <v>2932</v>
      </c>
      <c r="F108" s="59" t="s">
        <v>199</v>
      </c>
      <c r="G108" s="59" t="s">
        <v>340</v>
      </c>
      <c r="H108" s="59" t="s">
        <v>154</v>
      </c>
      <c r="I108" s="59">
        <v>16</v>
      </c>
      <c r="J108" s="59">
        <v>5</v>
      </c>
      <c r="K108" s="61">
        <v>2.7486111111111114E-2</v>
      </c>
      <c r="L108" s="61">
        <v>2.6469907407407406E-3</v>
      </c>
      <c r="M108" s="61">
        <v>0.12950231481481481</v>
      </c>
      <c r="N108" s="61">
        <v>1.6018518518518519E-3</v>
      </c>
      <c r="O108" s="61">
        <v>9.6846064814814808E-2</v>
      </c>
      <c r="P108" s="61">
        <v>0.25808564814814811</v>
      </c>
      <c r="Q108" s="59" t="s">
        <v>2933</v>
      </c>
      <c r="R108" s="8">
        <f t="shared" si="1"/>
        <v>703</v>
      </c>
      <c r="S108" s="38"/>
      <c r="T108" s="38"/>
      <c r="U108" s="38"/>
      <c r="V108" s="38"/>
      <c r="W108" s="38"/>
      <c r="X108" s="38"/>
      <c r="Y108" s="39"/>
    </row>
    <row r="109" spans="1:25" ht="15.75" customHeight="1">
      <c r="A109" s="37"/>
      <c r="B109" s="59">
        <v>108</v>
      </c>
      <c r="C109" s="59">
        <v>169</v>
      </c>
      <c r="D109" s="59" t="s">
        <v>1145</v>
      </c>
      <c r="E109" s="59" t="s">
        <v>2934</v>
      </c>
      <c r="F109" s="59" t="s">
        <v>538</v>
      </c>
      <c r="G109" s="59" t="s">
        <v>340</v>
      </c>
      <c r="H109" s="59" t="s">
        <v>2935</v>
      </c>
      <c r="I109" s="59">
        <v>1</v>
      </c>
      <c r="J109" s="59">
        <v>4</v>
      </c>
      <c r="K109" s="61">
        <v>3.1129629629629629E-2</v>
      </c>
      <c r="L109" s="61">
        <v>3.5011574074074073E-3</v>
      </c>
      <c r="M109" s="61">
        <v>0.14337268518518517</v>
      </c>
      <c r="N109" s="61">
        <v>1.6493055555555556E-3</v>
      </c>
      <c r="O109" s="61">
        <v>8.0881944444444437E-2</v>
      </c>
      <c r="P109" s="61">
        <v>0.26053703703703707</v>
      </c>
      <c r="Q109" s="59" t="s">
        <v>2936</v>
      </c>
      <c r="R109" s="8">
        <f t="shared" si="1"/>
        <v>696</v>
      </c>
      <c r="S109" s="38"/>
      <c r="T109" s="38"/>
      <c r="U109" s="38"/>
      <c r="V109" s="38"/>
      <c r="W109" s="38"/>
      <c r="X109" s="38"/>
      <c r="Y109" s="39"/>
    </row>
    <row r="110" spans="1:25" ht="15.75" customHeight="1">
      <c r="A110" s="37"/>
      <c r="B110" s="59">
        <v>109</v>
      </c>
      <c r="C110" s="59">
        <v>197</v>
      </c>
      <c r="D110" s="59" t="s">
        <v>622</v>
      </c>
      <c r="E110" s="59" t="s">
        <v>2937</v>
      </c>
      <c r="F110" s="59" t="s">
        <v>173</v>
      </c>
      <c r="G110" s="59" t="s">
        <v>340</v>
      </c>
      <c r="H110" s="59" t="s">
        <v>2935</v>
      </c>
      <c r="I110" s="59">
        <v>2</v>
      </c>
      <c r="J110" s="59">
        <v>5</v>
      </c>
      <c r="K110" s="61">
        <v>3.0658564814814816E-2</v>
      </c>
      <c r="L110" s="61">
        <v>2.940972222222222E-3</v>
      </c>
      <c r="M110" s="61">
        <v>0.13501157407407408</v>
      </c>
      <c r="N110" s="61">
        <v>2.0983796296296297E-3</v>
      </c>
      <c r="O110" s="61">
        <v>9.0696759259259255E-2</v>
      </c>
      <c r="P110" s="61">
        <v>0.26140856481481484</v>
      </c>
      <c r="Q110" s="59" t="s">
        <v>2938</v>
      </c>
      <c r="R110" s="8">
        <f t="shared" si="1"/>
        <v>694</v>
      </c>
      <c r="S110" s="38"/>
      <c r="T110" s="38"/>
      <c r="U110" s="38"/>
      <c r="V110" s="38"/>
      <c r="W110" s="38"/>
      <c r="X110" s="38"/>
      <c r="Y110" s="39"/>
    </row>
    <row r="111" spans="1:25" ht="15.75" customHeight="1">
      <c r="A111" s="37"/>
      <c r="B111" s="59">
        <v>110</v>
      </c>
      <c r="C111" s="59">
        <v>157</v>
      </c>
      <c r="D111" s="59" t="s">
        <v>2939</v>
      </c>
      <c r="E111" s="59" t="s">
        <v>2940</v>
      </c>
      <c r="F111" s="59" t="s">
        <v>199</v>
      </c>
      <c r="G111" s="59" t="s">
        <v>340</v>
      </c>
      <c r="H111" s="59" t="s">
        <v>159</v>
      </c>
      <c r="I111" s="59">
        <v>9</v>
      </c>
      <c r="J111" s="59">
        <v>4</v>
      </c>
      <c r="K111" s="61">
        <v>3.2153935185185181E-2</v>
      </c>
      <c r="L111" s="61">
        <v>2.4074074074074076E-3</v>
      </c>
      <c r="M111" s="61">
        <v>0.11616550925925927</v>
      </c>
      <c r="N111" s="61">
        <v>2.6145833333333333E-3</v>
      </c>
      <c r="O111" s="61">
        <v>0.11021527777777779</v>
      </c>
      <c r="P111" s="61">
        <v>0.26356018518518515</v>
      </c>
      <c r="Q111" s="59" t="s">
        <v>2941</v>
      </c>
      <c r="R111" s="8">
        <f t="shared" si="1"/>
        <v>688</v>
      </c>
      <c r="S111" s="38"/>
      <c r="T111" s="38"/>
      <c r="U111" s="38"/>
      <c r="V111" s="38"/>
      <c r="W111" s="38"/>
      <c r="X111" s="38"/>
      <c r="Y111" s="39"/>
    </row>
    <row r="112" spans="1:25" ht="15.75" customHeight="1">
      <c r="A112" s="37"/>
      <c r="B112" s="59">
        <v>111</v>
      </c>
      <c r="C112" s="59">
        <v>200</v>
      </c>
      <c r="D112" s="59" t="s">
        <v>2942</v>
      </c>
      <c r="E112" s="59" t="s">
        <v>2943</v>
      </c>
      <c r="F112" s="59"/>
      <c r="G112" s="59" t="s">
        <v>340</v>
      </c>
      <c r="H112" s="59" t="s">
        <v>159</v>
      </c>
      <c r="I112" s="59">
        <v>10</v>
      </c>
      <c r="J112" s="59">
        <v>5</v>
      </c>
      <c r="K112" s="61">
        <v>3.0359953703703701E-2</v>
      </c>
      <c r="L112" s="61">
        <v>3.5578703703703701E-3</v>
      </c>
      <c r="M112" s="61">
        <v>0.12972337962962963</v>
      </c>
      <c r="N112" s="61">
        <v>1.6365740740740741E-3</v>
      </c>
      <c r="O112" s="61">
        <v>9.9385416666666657E-2</v>
      </c>
      <c r="P112" s="61">
        <v>0.26466666666666666</v>
      </c>
      <c r="Q112" s="59" t="s">
        <v>2944</v>
      </c>
      <c r="R112" s="8">
        <f t="shared" si="1"/>
        <v>685</v>
      </c>
      <c r="S112" s="38"/>
      <c r="T112" s="38"/>
      <c r="U112" s="38"/>
      <c r="V112" s="38"/>
      <c r="W112" s="38"/>
      <c r="X112" s="38"/>
      <c r="Y112" s="39"/>
    </row>
    <row r="113" spans="1:25" ht="15.75" customHeight="1">
      <c r="A113" s="37"/>
      <c r="B113" s="59">
        <v>112</v>
      </c>
      <c r="C113" s="59">
        <v>14</v>
      </c>
      <c r="D113" s="59" t="s">
        <v>1003</v>
      </c>
      <c r="E113" s="59" t="s">
        <v>2945</v>
      </c>
      <c r="F113" s="59" t="s">
        <v>1005</v>
      </c>
      <c r="G113" s="59" t="s">
        <v>319</v>
      </c>
      <c r="H113" s="59" t="s">
        <v>2903</v>
      </c>
      <c r="I113" s="59">
        <v>3</v>
      </c>
      <c r="J113" s="59">
        <v>3</v>
      </c>
      <c r="K113" s="61">
        <v>3.0943287037037037E-2</v>
      </c>
      <c r="L113" s="61">
        <v>1.9027777777777778E-3</v>
      </c>
      <c r="M113" s="61">
        <v>0.12560185185185185</v>
      </c>
      <c r="N113" s="61">
        <v>1.0624999999999999E-3</v>
      </c>
      <c r="O113" s="61">
        <v>0.10515856481481482</v>
      </c>
      <c r="P113" s="61">
        <v>0.26467245370370374</v>
      </c>
      <c r="Q113" s="59" t="s">
        <v>2946</v>
      </c>
      <c r="R113" s="8">
        <f t="shared" si="1"/>
        <v>685</v>
      </c>
      <c r="S113" s="38"/>
      <c r="T113" s="38"/>
      <c r="U113" s="38"/>
      <c r="V113" s="38"/>
      <c r="W113" s="38"/>
      <c r="X113" s="38"/>
      <c r="Y113" s="39"/>
    </row>
    <row r="114" spans="1:25" ht="15.75" customHeight="1">
      <c r="A114" s="37"/>
      <c r="B114" s="59">
        <v>113</v>
      </c>
      <c r="C114" s="59">
        <v>204</v>
      </c>
      <c r="D114" s="59" t="s">
        <v>2947</v>
      </c>
      <c r="E114" s="59" t="s">
        <v>2948</v>
      </c>
      <c r="F114" s="59"/>
      <c r="G114" s="59" t="s">
        <v>340</v>
      </c>
      <c r="H114" s="59" t="s">
        <v>144</v>
      </c>
      <c r="I114" s="59">
        <v>3</v>
      </c>
      <c r="J114" s="59">
        <v>5</v>
      </c>
      <c r="K114" s="61">
        <v>3.0392361111111113E-2</v>
      </c>
      <c r="L114" s="61">
        <v>2.886574074074074E-3</v>
      </c>
      <c r="M114" s="61">
        <v>0.13046412037037036</v>
      </c>
      <c r="N114" s="61">
        <v>1.4965277777777778E-3</v>
      </c>
      <c r="O114" s="61">
        <v>9.9431712962962965E-2</v>
      </c>
      <c r="P114" s="61">
        <v>0.2646736111111111</v>
      </c>
      <c r="Q114" s="59" t="s">
        <v>2949</v>
      </c>
      <c r="R114" s="8">
        <f t="shared" si="1"/>
        <v>685</v>
      </c>
      <c r="S114" s="38"/>
      <c r="T114" s="38"/>
      <c r="U114" s="38"/>
      <c r="V114" s="38"/>
      <c r="W114" s="38"/>
      <c r="X114" s="38"/>
      <c r="Y114" s="39"/>
    </row>
    <row r="115" spans="1:25" ht="15.75" customHeight="1">
      <c r="A115" s="37"/>
      <c r="B115" s="59">
        <v>114</v>
      </c>
      <c r="C115" s="59">
        <v>205</v>
      </c>
      <c r="D115" s="59" t="s">
        <v>2950</v>
      </c>
      <c r="E115" s="59" t="s">
        <v>2951</v>
      </c>
      <c r="F115" s="59"/>
      <c r="G115" s="59" t="s">
        <v>340</v>
      </c>
      <c r="H115" s="59" t="s">
        <v>159</v>
      </c>
      <c r="I115" s="59">
        <v>11</v>
      </c>
      <c r="J115" s="59">
        <v>5</v>
      </c>
      <c r="K115" s="61">
        <v>3.129861111111111E-2</v>
      </c>
      <c r="L115" s="61">
        <v>4.0196759259259257E-3</v>
      </c>
      <c r="M115" s="61">
        <v>0.13324074074074074</v>
      </c>
      <c r="N115" s="61">
        <v>1.6782407407407408E-3</v>
      </c>
      <c r="O115" s="61">
        <v>9.8707175925925913E-2</v>
      </c>
      <c r="P115" s="61">
        <v>0.26894560185185185</v>
      </c>
      <c r="Q115" s="59" t="s">
        <v>2952</v>
      </c>
      <c r="R115" s="8">
        <f t="shared" si="1"/>
        <v>674</v>
      </c>
      <c r="S115" s="38"/>
      <c r="T115" s="38"/>
      <c r="U115" s="38"/>
      <c r="V115" s="38"/>
      <c r="W115" s="38"/>
      <c r="X115" s="38"/>
      <c r="Y115" s="39"/>
    </row>
    <row r="116" spans="1:25" ht="15.75" customHeight="1">
      <c r="A116" s="37"/>
      <c r="B116" s="59">
        <v>115</v>
      </c>
      <c r="C116" s="59">
        <v>17</v>
      </c>
      <c r="D116" s="59" t="s">
        <v>680</v>
      </c>
      <c r="E116" s="59" t="s">
        <v>2953</v>
      </c>
      <c r="F116" s="59" t="s">
        <v>199</v>
      </c>
      <c r="G116" s="59" t="s">
        <v>319</v>
      </c>
      <c r="H116" s="59" t="s">
        <v>2850</v>
      </c>
      <c r="I116" s="59">
        <v>5</v>
      </c>
      <c r="J116" s="59">
        <v>3</v>
      </c>
      <c r="K116" s="61">
        <v>3.3281249999999998E-2</v>
      </c>
      <c r="L116" s="61">
        <v>3.5462962962962961E-3</v>
      </c>
      <c r="M116" s="61">
        <v>0.13796296296296295</v>
      </c>
      <c r="N116" s="61">
        <v>2.2916666666666667E-3</v>
      </c>
      <c r="O116" s="61">
        <v>9.7459490740740742E-2</v>
      </c>
      <c r="P116" s="61">
        <v>0.2745428240740741</v>
      </c>
      <c r="Q116" s="59" t="s">
        <v>2954</v>
      </c>
      <c r="R116" s="8">
        <f t="shared" si="1"/>
        <v>661</v>
      </c>
      <c r="S116" s="38"/>
      <c r="T116" s="38"/>
      <c r="U116" s="38"/>
      <c r="V116" s="38"/>
      <c r="W116" s="38"/>
      <c r="X116" s="38"/>
      <c r="Y116" s="39"/>
    </row>
    <row r="117" spans="1:25" ht="15.75" customHeight="1">
      <c r="A117" s="37"/>
      <c r="B117" s="59">
        <v>116</v>
      </c>
      <c r="C117" s="59">
        <v>208</v>
      </c>
      <c r="D117" s="59" t="s">
        <v>2955</v>
      </c>
      <c r="E117" s="59" t="s">
        <v>2956</v>
      </c>
      <c r="F117" s="59"/>
      <c r="G117" s="59" t="s">
        <v>340</v>
      </c>
      <c r="H117" s="59" t="s">
        <v>139</v>
      </c>
      <c r="I117" s="59">
        <v>32</v>
      </c>
      <c r="J117" s="59">
        <v>5</v>
      </c>
      <c r="K117" s="61">
        <v>4.4277777777777777E-2</v>
      </c>
      <c r="L117" s="61">
        <v>2.7824074074074075E-3</v>
      </c>
      <c r="M117" s="61">
        <v>0.13512152777777778</v>
      </c>
      <c r="N117" s="61">
        <v>1.7233796296296296E-3</v>
      </c>
      <c r="O117" s="61">
        <v>0.10368518518518519</v>
      </c>
      <c r="P117" s="61">
        <v>0.28759259259259257</v>
      </c>
      <c r="Q117" s="59" t="s">
        <v>2957</v>
      </c>
      <c r="R117" s="8">
        <f t="shared" si="1"/>
        <v>631</v>
      </c>
      <c r="S117" s="38"/>
      <c r="T117" s="38"/>
      <c r="U117" s="38"/>
      <c r="V117" s="38"/>
      <c r="W117" s="38"/>
      <c r="X117" s="38"/>
      <c r="Y117" s="39"/>
    </row>
    <row r="118" spans="1:25" ht="15.75" customHeight="1">
      <c r="A118" s="37"/>
      <c r="B118" s="59" t="s">
        <v>683</v>
      </c>
      <c r="C118" s="59">
        <v>111</v>
      </c>
      <c r="D118" s="59" t="s">
        <v>2958</v>
      </c>
      <c r="E118" s="59" t="s">
        <v>71</v>
      </c>
      <c r="F118" s="59" t="s">
        <v>138</v>
      </c>
      <c r="G118" s="59" t="s">
        <v>340</v>
      </c>
      <c r="H118" s="59" t="s">
        <v>149</v>
      </c>
      <c r="I118" s="59"/>
      <c r="J118" s="59">
        <v>1</v>
      </c>
      <c r="K118" s="61">
        <v>2.4603009259259258E-2</v>
      </c>
      <c r="L118" s="61">
        <v>1.9016203703703706E-3</v>
      </c>
      <c r="M118" s="61">
        <v>0.1006388888888889</v>
      </c>
      <c r="N118" s="61">
        <v>6.2962962962962961E-4</v>
      </c>
      <c r="O118" s="59"/>
      <c r="P118" s="59" t="s">
        <v>686</v>
      </c>
      <c r="Q118" s="59"/>
      <c r="R118" s="8">
        <f t="shared" si="1"/>
        <v>0</v>
      </c>
      <c r="S118" s="38"/>
      <c r="T118" s="38"/>
      <c r="U118" s="38"/>
      <c r="V118" s="38"/>
      <c r="W118" s="38"/>
      <c r="X118" s="38"/>
      <c r="Y118" s="39"/>
    </row>
    <row r="119" spans="1:25" ht="15.75" customHeight="1">
      <c r="A119" s="37"/>
      <c r="B119" s="59" t="s">
        <v>683</v>
      </c>
      <c r="C119" s="59">
        <v>16</v>
      </c>
      <c r="D119" s="59" t="s">
        <v>671</v>
      </c>
      <c r="E119" s="59" t="s">
        <v>2959</v>
      </c>
      <c r="F119" s="59" t="s">
        <v>199</v>
      </c>
      <c r="G119" s="59" t="s">
        <v>319</v>
      </c>
      <c r="H119" s="59" t="s">
        <v>2850</v>
      </c>
      <c r="I119" s="59"/>
      <c r="J119" s="59">
        <v>3</v>
      </c>
      <c r="K119" s="61">
        <v>2.954398148148148E-2</v>
      </c>
      <c r="L119" s="61">
        <v>2.8344907407407407E-3</v>
      </c>
      <c r="M119" s="59"/>
      <c r="N119" s="59"/>
      <c r="O119" s="59"/>
      <c r="P119" s="59" t="s">
        <v>686</v>
      </c>
      <c r="Q119" s="59"/>
      <c r="R119" s="8">
        <f t="shared" si="1"/>
        <v>0</v>
      </c>
      <c r="S119" s="38"/>
      <c r="T119" s="38"/>
      <c r="U119" s="38"/>
      <c r="V119" s="38"/>
      <c r="W119" s="38"/>
      <c r="X119" s="38"/>
      <c r="Y119" s="39"/>
    </row>
    <row r="120" spans="1:25" ht="15.75" customHeight="1">
      <c r="A120" s="37"/>
      <c r="B120" s="59" t="s">
        <v>683</v>
      </c>
      <c r="C120" s="59">
        <v>162</v>
      </c>
      <c r="D120" s="59" t="s">
        <v>588</v>
      </c>
      <c r="E120" s="59" t="s">
        <v>2960</v>
      </c>
      <c r="F120" s="59" t="s">
        <v>199</v>
      </c>
      <c r="G120" s="59" t="s">
        <v>340</v>
      </c>
      <c r="H120" s="59" t="s">
        <v>139</v>
      </c>
      <c r="I120" s="59"/>
      <c r="J120" s="59">
        <v>4</v>
      </c>
      <c r="K120" s="61">
        <v>2.745138888888889E-2</v>
      </c>
      <c r="L120" s="61">
        <v>1.9930555555555556E-3</v>
      </c>
      <c r="M120" s="61">
        <v>0.11197222222222222</v>
      </c>
      <c r="N120" s="61">
        <v>1.1018518518518519E-3</v>
      </c>
      <c r="O120" s="59"/>
      <c r="P120" s="59" t="s">
        <v>686</v>
      </c>
      <c r="Q120" s="59"/>
      <c r="R120" s="8">
        <f t="shared" si="1"/>
        <v>0</v>
      </c>
      <c r="S120" s="38"/>
      <c r="T120" s="38"/>
      <c r="U120" s="38"/>
      <c r="V120" s="38"/>
      <c r="W120" s="38"/>
      <c r="X120" s="38"/>
      <c r="Y120" s="39"/>
    </row>
    <row r="121" spans="1:25" ht="15.75" customHeight="1">
      <c r="A121" s="37"/>
      <c r="B121" s="59" t="s">
        <v>683</v>
      </c>
      <c r="C121" s="59">
        <v>115</v>
      </c>
      <c r="D121" s="59" t="s">
        <v>2961</v>
      </c>
      <c r="E121" s="59" t="s">
        <v>70</v>
      </c>
      <c r="F121" s="59" t="s">
        <v>138</v>
      </c>
      <c r="G121" s="59" t="s">
        <v>340</v>
      </c>
      <c r="H121" s="59" t="s">
        <v>149</v>
      </c>
      <c r="I121" s="59"/>
      <c r="J121" s="59">
        <v>1</v>
      </c>
      <c r="K121" s="61">
        <v>2.5630787037037039E-2</v>
      </c>
      <c r="L121" s="61">
        <v>2.1064814814814813E-3</v>
      </c>
      <c r="M121" s="61">
        <v>9.9767361111111105E-2</v>
      </c>
      <c r="N121" s="61">
        <v>7.4537037037037041E-4</v>
      </c>
      <c r="O121" s="59"/>
      <c r="P121" s="59" t="s">
        <v>686</v>
      </c>
      <c r="Q121" s="59"/>
      <c r="R121" s="8">
        <f t="shared" si="1"/>
        <v>0</v>
      </c>
      <c r="S121" s="38"/>
      <c r="T121" s="38"/>
      <c r="U121" s="38"/>
      <c r="V121" s="38"/>
      <c r="W121" s="38"/>
      <c r="X121" s="38"/>
      <c r="Y121" s="39"/>
    </row>
    <row r="122" spans="1:25" ht="15.75" customHeight="1">
      <c r="A122" s="37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9"/>
    </row>
    <row r="123" spans="1:25" ht="15.75" customHeight="1">
      <c r="A123" s="37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9"/>
    </row>
    <row r="124" spans="1:25" ht="15" customHeight="1">
      <c r="A124" s="37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9"/>
    </row>
    <row r="125" spans="1:25" ht="15" customHeight="1">
      <c r="A125" s="37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9"/>
    </row>
    <row r="126" spans="1:25" ht="15" customHeight="1">
      <c r="A126" s="37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9"/>
    </row>
    <row r="127" spans="1:25" ht="15" customHeight="1">
      <c r="A127" s="37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9"/>
    </row>
    <row r="128" spans="1:25" ht="15" customHeight="1">
      <c r="A128" s="37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9"/>
    </row>
    <row r="129" spans="1:25" ht="15" customHeight="1">
      <c r="A129" s="37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9"/>
    </row>
    <row r="130" spans="1:25" ht="15" customHeight="1">
      <c r="A130" s="37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9"/>
    </row>
    <row r="131" spans="1:25" ht="15" customHeight="1">
      <c r="A131" s="37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9"/>
    </row>
    <row r="132" spans="1:25" ht="15" customHeight="1">
      <c r="A132" s="37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9"/>
    </row>
    <row r="133" spans="1:25" ht="15" customHeight="1">
      <c r="A133" s="37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9"/>
    </row>
    <row r="134" spans="1:25" ht="15" customHeight="1">
      <c r="A134" s="37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9"/>
    </row>
    <row r="135" spans="1:25" ht="15" customHeight="1">
      <c r="A135" s="37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9"/>
    </row>
    <row r="136" spans="1:25" ht="15" customHeight="1">
      <c r="A136" s="37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9"/>
    </row>
    <row r="137" spans="1:25" ht="15" customHeight="1">
      <c r="A137" s="37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9"/>
    </row>
    <row r="138" spans="1:25" ht="15" customHeight="1">
      <c r="A138" s="37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9"/>
    </row>
    <row r="139" spans="1:25" ht="15" customHeight="1">
      <c r="A139" s="37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9"/>
    </row>
    <row r="140" spans="1:25" ht="15" customHeight="1">
      <c r="A140" s="37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9"/>
    </row>
    <row r="141" spans="1:25" ht="15" customHeight="1">
      <c r="A141" s="37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9"/>
    </row>
    <row r="142" spans="1:25" ht="15" customHeight="1">
      <c r="A142" s="37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9"/>
    </row>
    <row r="143" spans="1:25" ht="15" customHeight="1">
      <c r="A143" s="37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9"/>
    </row>
    <row r="144" spans="1:25" ht="15" customHeight="1">
      <c r="A144" s="37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9"/>
    </row>
    <row r="145" spans="1:25" ht="15" customHeight="1">
      <c r="A145" s="37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9"/>
    </row>
    <row r="146" spans="1:25" ht="15" customHeight="1">
      <c r="A146" s="37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9"/>
    </row>
    <row r="147" spans="1:25" ht="15" customHeight="1">
      <c r="A147" s="37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9"/>
    </row>
    <row r="148" spans="1:25" ht="15" customHeight="1">
      <c r="A148" s="37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9"/>
    </row>
    <row r="149" spans="1:25" ht="15" customHeight="1">
      <c r="A149" s="37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9"/>
    </row>
    <row r="150" spans="1:25" ht="15" customHeight="1">
      <c r="A150" s="37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9"/>
    </row>
    <row r="151" spans="1:25" ht="15" customHeight="1">
      <c r="A151" s="37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9"/>
    </row>
    <row r="152" spans="1:25" ht="15" customHeight="1">
      <c r="A152" s="37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9"/>
    </row>
    <row r="153" spans="1:25" ht="15" customHeight="1">
      <c r="A153" s="37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9"/>
    </row>
    <row r="154" spans="1:25" ht="15" customHeight="1">
      <c r="A154" s="37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9"/>
    </row>
    <row r="155" spans="1:25" ht="15" customHeight="1">
      <c r="A155" s="37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9"/>
    </row>
    <row r="156" spans="1:25" ht="15" customHeight="1">
      <c r="A156" s="37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9"/>
    </row>
    <row r="157" spans="1:25" ht="15" customHeight="1">
      <c r="A157" s="37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9"/>
    </row>
    <row r="158" spans="1:25" ht="15" customHeight="1">
      <c r="A158" s="37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9"/>
    </row>
    <row r="159" spans="1:25" ht="15" customHeight="1">
      <c r="A159" s="37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9"/>
    </row>
    <row r="160" spans="1:25" ht="15" customHeight="1">
      <c r="A160" s="3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9"/>
    </row>
    <row r="161" spans="1:25" ht="15" customHeight="1">
      <c r="A161" s="37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9"/>
    </row>
    <row r="162" spans="1:25" ht="15" customHeight="1">
      <c r="A162" s="37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9"/>
    </row>
    <row r="163" spans="1:25" ht="15" customHeight="1">
      <c r="A163" s="37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9"/>
    </row>
    <row r="164" spans="1:25" ht="15" customHeight="1">
      <c r="A164" s="37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9"/>
    </row>
    <row r="165" spans="1:25" ht="15" customHeight="1">
      <c r="A165" s="37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9"/>
    </row>
    <row r="166" spans="1:25" ht="15" customHeight="1">
      <c r="A166" s="37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9"/>
    </row>
    <row r="167" spans="1:25" ht="15" customHeight="1">
      <c r="A167" s="37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9"/>
    </row>
    <row r="168" spans="1:25" ht="15" customHeight="1">
      <c r="A168" s="37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9"/>
    </row>
    <row r="169" spans="1:25" ht="15" customHeight="1">
      <c r="A169" s="37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9"/>
    </row>
    <row r="170" spans="1:25" ht="15" customHeight="1">
      <c r="A170" s="37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9"/>
    </row>
    <row r="171" spans="1:25" ht="15" customHeight="1">
      <c r="A171" s="37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9"/>
    </row>
    <row r="172" spans="1:25" ht="15" customHeight="1">
      <c r="A172" s="37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9"/>
    </row>
    <row r="173" spans="1:25" ht="15" customHeight="1">
      <c r="A173" s="37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9"/>
    </row>
    <row r="174" spans="1:25" ht="15" customHeight="1">
      <c r="A174" s="37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9"/>
    </row>
    <row r="175" spans="1:25" ht="15" customHeight="1">
      <c r="A175" s="37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9"/>
    </row>
    <row r="176" spans="1:25" ht="15" customHeight="1">
      <c r="A176" s="37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9"/>
    </row>
    <row r="177" spans="1:25" ht="15" customHeight="1">
      <c r="A177" s="37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9"/>
    </row>
    <row r="178" spans="1:25" ht="15" customHeight="1">
      <c r="A178" s="37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9"/>
    </row>
    <row r="179" spans="1:25" ht="15" customHeight="1">
      <c r="A179" s="37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9"/>
    </row>
    <row r="180" spans="1:25" ht="15" customHeight="1">
      <c r="A180" s="37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9"/>
    </row>
    <row r="181" spans="1:25" ht="15" customHeight="1">
      <c r="A181" s="37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9"/>
    </row>
    <row r="182" spans="1:25" ht="15" customHeight="1">
      <c r="A182" s="37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9"/>
    </row>
    <row r="183" spans="1:25" ht="15" customHeight="1">
      <c r="A183" s="37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9"/>
    </row>
    <row r="184" spans="1:25" ht="15" customHeight="1">
      <c r="A184" s="37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9"/>
    </row>
    <row r="185" spans="1:25" ht="15" customHeight="1">
      <c r="A185" s="37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9"/>
    </row>
    <row r="186" spans="1:25" ht="15" customHeight="1">
      <c r="A186" s="37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9"/>
    </row>
    <row r="187" spans="1:25" ht="15" customHeight="1">
      <c r="A187" s="37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9"/>
    </row>
    <row r="188" spans="1:25" ht="15" customHeight="1">
      <c r="A188" s="37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9"/>
    </row>
    <row r="189" spans="1:25" ht="15" customHeight="1">
      <c r="A189" s="37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9"/>
    </row>
    <row r="190" spans="1:25" ht="15" customHeight="1">
      <c r="A190" s="37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9"/>
    </row>
    <row r="191" spans="1:25" ht="15" customHeight="1">
      <c r="A191" s="37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9"/>
    </row>
    <row r="192" spans="1:25" ht="15" customHeight="1">
      <c r="A192" s="37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9"/>
    </row>
    <row r="193" spans="1:25" ht="15" customHeight="1">
      <c r="A193" s="37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9"/>
    </row>
    <row r="194" spans="1:25" ht="15" customHeight="1">
      <c r="A194" s="37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9"/>
    </row>
    <row r="195" spans="1:25" ht="15" customHeight="1">
      <c r="A195" s="37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9"/>
    </row>
    <row r="196" spans="1:25" ht="15" customHeight="1">
      <c r="A196" s="37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9"/>
    </row>
    <row r="197" spans="1:25" ht="15" customHeight="1">
      <c r="A197" s="37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9"/>
    </row>
    <row r="198" spans="1:25" ht="15" customHeight="1">
      <c r="A198" s="37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9"/>
    </row>
    <row r="199" spans="1:25" ht="15" customHeight="1">
      <c r="A199" s="37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9"/>
    </row>
    <row r="200" spans="1:25" ht="15" customHeight="1">
      <c r="A200" s="37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9"/>
    </row>
    <row r="201" spans="1:25" ht="15" customHeight="1">
      <c r="A201" s="37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9"/>
    </row>
    <row r="202" spans="1:25" ht="15" customHeight="1">
      <c r="A202" s="37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9"/>
    </row>
    <row r="203" spans="1:25" ht="15" customHeight="1">
      <c r="A203" s="37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9"/>
    </row>
    <row r="204" spans="1:25" ht="15" customHeight="1">
      <c r="A204" s="37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9"/>
    </row>
    <row r="205" spans="1:25" ht="15" customHeight="1">
      <c r="A205" s="37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9"/>
    </row>
    <row r="206" spans="1:25" ht="15" customHeight="1">
      <c r="A206" s="37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9"/>
    </row>
    <row r="207" spans="1:25" ht="15" customHeight="1">
      <c r="A207" s="37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9"/>
    </row>
    <row r="208" spans="1:25" ht="15" customHeight="1">
      <c r="A208" s="37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9"/>
    </row>
    <row r="209" spans="1:25" ht="15" customHeight="1">
      <c r="A209" s="37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9"/>
    </row>
    <row r="210" spans="1:25" ht="15" customHeight="1">
      <c r="A210" s="37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9"/>
    </row>
    <row r="211" spans="1:25" ht="15" customHeight="1">
      <c r="A211" s="37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9"/>
    </row>
    <row r="212" spans="1:25" ht="15" customHeight="1">
      <c r="A212" s="37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9"/>
    </row>
    <row r="213" spans="1:25" ht="15" customHeight="1">
      <c r="A213" s="37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9"/>
    </row>
    <row r="214" spans="1:25" ht="15" customHeight="1">
      <c r="A214" s="37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9"/>
    </row>
    <row r="215" spans="1:25" ht="15" customHeight="1">
      <c r="A215" s="37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9"/>
    </row>
    <row r="216" spans="1:25" ht="15" customHeight="1">
      <c r="A216" s="37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9"/>
    </row>
    <row r="217" spans="1:25" ht="15" customHeight="1">
      <c r="A217" s="37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9"/>
    </row>
    <row r="218" spans="1:25" ht="15" customHeight="1">
      <c r="A218" s="37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9"/>
    </row>
    <row r="219" spans="1:25" ht="15" customHeight="1">
      <c r="A219" s="37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9"/>
    </row>
    <row r="220" spans="1:25" ht="15" customHeight="1">
      <c r="A220" s="37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9"/>
    </row>
    <row r="221" spans="1:25" ht="15" customHeight="1">
      <c r="A221" s="37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9"/>
    </row>
    <row r="222" spans="1:25" ht="15" customHeight="1">
      <c r="A222" s="37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9"/>
    </row>
    <row r="223" spans="1:25" ht="15" customHeight="1">
      <c r="A223" s="37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9"/>
    </row>
    <row r="224" spans="1:25" ht="15" customHeight="1">
      <c r="A224" s="37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9"/>
    </row>
    <row r="225" spans="1:25" ht="15" customHeight="1">
      <c r="A225" s="37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9"/>
    </row>
    <row r="226" spans="1:25" ht="15" customHeight="1">
      <c r="A226" s="37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9"/>
    </row>
    <row r="227" spans="1:25" ht="15" customHeight="1">
      <c r="A227" s="37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9"/>
    </row>
    <row r="228" spans="1:25" ht="15" customHeight="1">
      <c r="A228" s="37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9"/>
    </row>
    <row r="229" spans="1:25" ht="15" customHeight="1">
      <c r="A229" s="37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9"/>
    </row>
    <row r="230" spans="1:25" ht="15" customHeight="1">
      <c r="A230" s="37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9"/>
    </row>
    <row r="231" spans="1:25" ht="15" customHeight="1">
      <c r="A231" s="37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9"/>
    </row>
    <row r="232" spans="1:25" ht="15" customHeight="1">
      <c r="A232" s="37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9"/>
    </row>
    <row r="233" spans="1:25" ht="15" customHeight="1">
      <c r="A233" s="37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9"/>
    </row>
    <row r="234" spans="1:25" ht="15" customHeight="1">
      <c r="A234" s="37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9"/>
    </row>
    <row r="235" spans="1:25" ht="15" customHeight="1">
      <c r="A235" s="37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9"/>
    </row>
    <row r="236" spans="1:25" ht="15" customHeight="1">
      <c r="A236" s="37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9"/>
    </row>
    <row r="237" spans="1:25" ht="15" customHeight="1">
      <c r="A237" s="37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9"/>
    </row>
    <row r="238" spans="1:25" ht="15" customHeight="1">
      <c r="A238" s="37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9"/>
    </row>
    <row r="239" spans="1:25" ht="15" customHeight="1">
      <c r="A239" s="37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9"/>
    </row>
    <row r="240" spans="1:25" ht="15" customHeight="1">
      <c r="A240" s="37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9"/>
    </row>
    <row r="241" spans="1:25" ht="15" customHeight="1">
      <c r="A241" s="37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9"/>
    </row>
    <row r="242" spans="1:25" ht="15" customHeight="1">
      <c r="A242" s="37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9"/>
    </row>
    <row r="243" spans="1:25" ht="15" customHeight="1">
      <c r="A243" s="37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9"/>
    </row>
    <row r="244" spans="1:25" ht="15" customHeight="1">
      <c r="A244" s="37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9"/>
    </row>
    <row r="245" spans="1:25" ht="15" customHeight="1">
      <c r="A245" s="37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9"/>
    </row>
    <row r="246" spans="1:25" ht="15" customHeight="1">
      <c r="A246" s="37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9"/>
    </row>
    <row r="247" spans="1:25" ht="15" customHeight="1">
      <c r="A247" s="37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9"/>
    </row>
    <row r="248" spans="1:25" ht="15" customHeight="1">
      <c r="A248" s="37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9"/>
    </row>
    <row r="249" spans="1:25" ht="15" customHeight="1">
      <c r="A249" s="37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9"/>
    </row>
    <row r="250" spans="1:25" ht="15" customHeight="1">
      <c r="A250" s="37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9"/>
    </row>
    <row r="251" spans="1:25" ht="15" customHeight="1">
      <c r="A251" s="37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9"/>
    </row>
    <row r="252" spans="1:25" ht="15" customHeight="1">
      <c r="A252" s="37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9"/>
    </row>
    <row r="253" spans="1:25" ht="15" customHeight="1">
      <c r="A253" s="37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9"/>
    </row>
    <row r="254" spans="1:25" ht="15" customHeight="1">
      <c r="A254" s="37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9"/>
    </row>
    <row r="255" spans="1:25" ht="15" customHeight="1">
      <c r="A255" s="37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9"/>
    </row>
    <row r="256" spans="1:25" ht="15" customHeight="1">
      <c r="A256" s="37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9"/>
    </row>
    <row r="257" spans="1:25" ht="15" customHeight="1">
      <c r="A257" s="37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9"/>
    </row>
    <row r="258" spans="1:25" ht="15" customHeight="1">
      <c r="A258" s="37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9"/>
    </row>
    <row r="259" spans="1:25" ht="15" customHeight="1">
      <c r="A259" s="37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9"/>
    </row>
    <row r="260" spans="1:25" ht="15" customHeight="1">
      <c r="A260" s="37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9"/>
    </row>
    <row r="261" spans="1:25" ht="15" customHeight="1">
      <c r="A261" s="37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9"/>
    </row>
    <row r="262" spans="1:25" ht="15" customHeight="1">
      <c r="A262" s="37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9"/>
    </row>
    <row r="263" spans="1:25" ht="15" customHeight="1">
      <c r="A263" s="37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9"/>
    </row>
    <row r="264" spans="1:25" ht="15" customHeight="1">
      <c r="A264" s="37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9"/>
    </row>
    <row r="265" spans="1:25" ht="15" customHeight="1">
      <c r="A265" s="37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9"/>
    </row>
    <row r="266" spans="1:25" ht="15" customHeight="1">
      <c r="A266" s="37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9"/>
    </row>
    <row r="267" spans="1:25" ht="15" customHeight="1">
      <c r="A267" s="37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9"/>
    </row>
    <row r="268" spans="1:25" ht="15" customHeight="1">
      <c r="A268" s="37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9"/>
    </row>
    <row r="269" spans="1:25" ht="15" customHeight="1">
      <c r="A269" s="37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9"/>
    </row>
    <row r="270" spans="1:25" ht="15" customHeight="1">
      <c r="A270" s="37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9"/>
    </row>
    <row r="271" spans="1:25" ht="15" customHeight="1">
      <c r="A271" s="37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9"/>
    </row>
    <row r="272" spans="1:25" ht="15" customHeight="1">
      <c r="A272" s="37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9"/>
    </row>
    <row r="273" spans="1:25" ht="15" customHeight="1">
      <c r="A273" s="37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9"/>
    </row>
    <row r="274" spans="1:25" ht="15" customHeight="1">
      <c r="A274" s="37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9"/>
    </row>
    <row r="275" spans="1:25" ht="15" customHeight="1">
      <c r="A275" s="37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9"/>
    </row>
    <row r="276" spans="1:25" ht="15" customHeight="1">
      <c r="A276" s="37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9"/>
    </row>
    <row r="277" spans="1:25" ht="15" customHeight="1">
      <c r="A277" s="37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9"/>
    </row>
    <row r="278" spans="1:25" ht="15" customHeight="1">
      <c r="A278" s="37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9"/>
    </row>
    <row r="279" spans="1:25" ht="15" customHeight="1">
      <c r="A279" s="37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9"/>
    </row>
    <row r="280" spans="1:25" ht="15" customHeight="1">
      <c r="A280" s="37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9"/>
    </row>
    <row r="281" spans="1:25" ht="15" customHeight="1">
      <c r="A281" s="37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9"/>
    </row>
    <row r="282" spans="1:25" ht="15" customHeight="1">
      <c r="A282" s="37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9"/>
    </row>
    <row r="283" spans="1:25" ht="15" customHeight="1">
      <c r="A283" s="37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9"/>
    </row>
    <row r="284" spans="1:25" ht="15" customHeight="1">
      <c r="A284" s="37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9"/>
    </row>
    <row r="285" spans="1:25" ht="15" customHeight="1">
      <c r="A285" s="37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9"/>
    </row>
    <row r="286" spans="1:25" ht="15" customHeight="1">
      <c r="A286" s="37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9"/>
    </row>
    <row r="287" spans="1:25" ht="15" customHeight="1">
      <c r="A287" s="37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9"/>
    </row>
    <row r="288" spans="1:25" ht="15" customHeight="1">
      <c r="A288" s="37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9"/>
    </row>
    <row r="289" spans="1:25" ht="15" customHeight="1">
      <c r="A289" s="37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9"/>
    </row>
    <row r="290" spans="1:25" ht="15" customHeight="1">
      <c r="A290" s="37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9"/>
    </row>
    <row r="291" spans="1:25" ht="15" customHeight="1">
      <c r="A291" s="37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9"/>
    </row>
    <row r="292" spans="1:25" ht="15" customHeight="1">
      <c r="A292" s="37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9"/>
    </row>
    <row r="293" spans="1:25" ht="15" customHeight="1">
      <c r="A293" s="37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9"/>
    </row>
    <row r="294" spans="1:25" ht="15" customHeight="1">
      <c r="A294" s="37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9"/>
    </row>
    <row r="295" spans="1:25" ht="15" customHeight="1">
      <c r="A295" s="37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9"/>
    </row>
    <row r="296" spans="1:25" ht="15" customHeight="1">
      <c r="A296" s="37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9"/>
    </row>
    <row r="297" spans="1:25" ht="15" customHeight="1">
      <c r="A297" s="37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9"/>
    </row>
    <row r="298" spans="1:25" ht="15" customHeight="1">
      <c r="A298" s="37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9"/>
    </row>
    <row r="299" spans="1:25" ht="15" customHeight="1">
      <c r="A299" s="37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9"/>
    </row>
    <row r="300" spans="1:25" ht="15" customHeight="1">
      <c r="A300" s="37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9"/>
    </row>
    <row r="301" spans="1:25" ht="15" customHeight="1">
      <c r="A301" s="37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9"/>
    </row>
    <row r="302" spans="1:25" ht="15" customHeight="1">
      <c r="A302" s="37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9"/>
    </row>
    <row r="303" spans="1:25" ht="15" customHeight="1">
      <c r="A303" s="37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9"/>
    </row>
    <row r="304" spans="1:25" ht="15" customHeight="1">
      <c r="A304" s="37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9"/>
    </row>
    <row r="305" spans="1:25" ht="15" customHeight="1">
      <c r="A305" s="37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9"/>
    </row>
    <row r="306" spans="1:25" ht="15" customHeight="1">
      <c r="A306" s="37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9"/>
    </row>
    <row r="307" spans="1:25" ht="15" customHeight="1">
      <c r="A307" s="37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9"/>
    </row>
    <row r="308" spans="1:25" ht="15" customHeight="1">
      <c r="A308" s="37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9"/>
    </row>
    <row r="309" spans="1:25" ht="15" customHeight="1">
      <c r="A309" s="37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9"/>
    </row>
    <row r="310" spans="1:25" ht="15" customHeight="1">
      <c r="A310" s="37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9"/>
    </row>
    <row r="311" spans="1:25" ht="15" customHeight="1">
      <c r="A311" s="37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9"/>
    </row>
    <row r="312" spans="1:25" ht="15" customHeight="1">
      <c r="A312" s="37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9"/>
    </row>
    <row r="313" spans="1:25" ht="15" customHeight="1">
      <c r="A313" s="37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9"/>
    </row>
    <row r="314" spans="1:25" ht="15" customHeight="1">
      <c r="A314" s="37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9"/>
    </row>
    <row r="315" spans="1:25" ht="15" customHeight="1">
      <c r="A315" s="37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9"/>
    </row>
    <row r="316" spans="1:25" ht="15" customHeight="1">
      <c r="A316" s="37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9"/>
    </row>
    <row r="317" spans="1:25" ht="15" customHeight="1">
      <c r="A317" s="37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9"/>
    </row>
    <row r="318" spans="1:25" ht="15" customHeight="1">
      <c r="A318" s="37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9"/>
    </row>
    <row r="319" spans="1:25" ht="15" customHeight="1">
      <c r="A319" s="37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9"/>
    </row>
    <row r="320" spans="1:25" ht="15" customHeight="1">
      <c r="A320" s="37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9"/>
    </row>
    <row r="321" spans="1:25" ht="15" customHeight="1">
      <c r="A321" s="37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9"/>
    </row>
    <row r="322" spans="1:25" ht="15" customHeight="1">
      <c r="A322" s="37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9"/>
    </row>
    <row r="323" spans="1:25" ht="15" customHeight="1">
      <c r="A323" s="37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9"/>
    </row>
    <row r="324" spans="1:25" ht="15" customHeight="1">
      <c r="A324" s="37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9"/>
    </row>
    <row r="325" spans="1:25" ht="15" customHeight="1">
      <c r="A325" s="37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9"/>
    </row>
    <row r="326" spans="1:25" ht="15" customHeight="1">
      <c r="A326" s="37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9"/>
    </row>
    <row r="327" spans="1:25" ht="15" customHeight="1">
      <c r="A327" s="37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9"/>
    </row>
    <row r="328" spans="1:25" ht="15" customHeight="1">
      <c r="A328" s="37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9"/>
    </row>
    <row r="329" spans="1:25" ht="15" customHeight="1">
      <c r="A329" s="37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9"/>
    </row>
    <row r="330" spans="1:25" ht="15" customHeight="1">
      <c r="A330" s="37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9"/>
    </row>
    <row r="331" spans="1:25" ht="15" customHeight="1">
      <c r="A331" s="37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9"/>
    </row>
    <row r="332" spans="1:25" ht="15" customHeight="1">
      <c r="A332" s="37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9"/>
    </row>
    <row r="333" spans="1:25" ht="15" customHeight="1">
      <c r="A333" s="37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9"/>
    </row>
    <row r="334" spans="1:25" ht="15" customHeight="1">
      <c r="A334" s="37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9"/>
    </row>
    <row r="335" spans="1:25" ht="15" customHeight="1">
      <c r="A335" s="37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9"/>
    </row>
    <row r="336" spans="1:25" ht="15" customHeight="1">
      <c r="A336" s="37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9"/>
    </row>
    <row r="337" spans="1:25" ht="15" customHeight="1">
      <c r="A337" s="37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9"/>
    </row>
    <row r="338" spans="1:25" ht="15" customHeight="1">
      <c r="A338" s="37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9"/>
    </row>
    <row r="339" spans="1:25" ht="15" customHeight="1">
      <c r="A339" s="37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9"/>
    </row>
    <row r="340" spans="1:25" ht="15" customHeight="1">
      <c r="A340" s="37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9"/>
    </row>
    <row r="341" spans="1:25" ht="15" customHeight="1">
      <c r="A341" s="37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9"/>
    </row>
    <row r="342" spans="1:25" ht="15" customHeight="1">
      <c r="A342" s="37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9"/>
    </row>
    <row r="343" spans="1:25" ht="15" customHeight="1">
      <c r="A343" s="37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9"/>
    </row>
    <row r="344" spans="1:25" ht="15" customHeight="1">
      <c r="A344" s="37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9"/>
    </row>
    <row r="345" spans="1:25" ht="15" customHeight="1">
      <c r="A345" s="37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9"/>
    </row>
    <row r="346" spans="1:25" ht="15" customHeight="1">
      <c r="A346" s="37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9"/>
    </row>
    <row r="347" spans="1:25" ht="15" customHeight="1">
      <c r="A347" s="37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9"/>
    </row>
    <row r="348" spans="1:25" ht="15" customHeight="1">
      <c r="A348" s="37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9"/>
    </row>
    <row r="349" spans="1:25" ht="15" customHeight="1">
      <c r="A349" s="37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9"/>
    </row>
    <row r="350" spans="1:25" ht="15" customHeight="1">
      <c r="A350" s="37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9"/>
    </row>
    <row r="351" spans="1:25" ht="15" customHeight="1">
      <c r="A351" s="37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9"/>
    </row>
    <row r="352" spans="1:25" ht="15" customHeight="1">
      <c r="A352" s="37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9"/>
    </row>
    <row r="353" spans="1:25" ht="15" customHeight="1">
      <c r="A353" s="37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9"/>
    </row>
    <row r="354" spans="1:25" ht="15" customHeight="1">
      <c r="A354" s="37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9"/>
    </row>
    <row r="355" spans="1:25" ht="15" customHeight="1">
      <c r="A355" s="37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9"/>
    </row>
    <row r="356" spans="1:25" ht="15" customHeight="1">
      <c r="A356" s="37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9"/>
    </row>
    <row r="357" spans="1:25" ht="15" customHeight="1">
      <c r="A357" s="37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9"/>
    </row>
    <row r="358" spans="1:25" ht="15" customHeight="1">
      <c r="A358" s="37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9"/>
    </row>
    <row r="359" spans="1:25" ht="15" customHeight="1">
      <c r="A359" s="37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9"/>
    </row>
    <row r="360" spans="1:25" ht="15" customHeight="1">
      <c r="A360" s="37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9"/>
    </row>
    <row r="361" spans="1:25" ht="15" customHeight="1">
      <c r="A361" s="37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9"/>
    </row>
    <row r="362" spans="1:25" ht="15" customHeight="1">
      <c r="A362" s="37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9"/>
    </row>
    <row r="363" spans="1:25" ht="15" customHeight="1">
      <c r="A363" s="37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9"/>
    </row>
    <row r="364" spans="1:25" ht="15" customHeight="1">
      <c r="A364" s="37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9"/>
    </row>
    <row r="365" spans="1:25" ht="15" customHeight="1">
      <c r="A365" s="37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9"/>
    </row>
    <row r="366" spans="1:25" ht="15" customHeight="1">
      <c r="A366" s="37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9"/>
    </row>
    <row r="367" spans="1:25" ht="15" customHeight="1">
      <c r="A367" s="37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9"/>
    </row>
    <row r="368" spans="1:25" ht="15" customHeight="1">
      <c r="A368" s="37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9"/>
    </row>
    <row r="369" spans="1:25" ht="15" customHeight="1">
      <c r="A369" s="37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9"/>
    </row>
    <row r="370" spans="1:25" ht="15" customHeight="1">
      <c r="A370" s="37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9"/>
    </row>
    <row r="371" spans="1:25" ht="15" customHeight="1">
      <c r="A371" s="37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9"/>
    </row>
    <row r="372" spans="1:25" ht="15" customHeight="1">
      <c r="A372" s="37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9"/>
    </row>
    <row r="373" spans="1:25" ht="15" customHeight="1">
      <c r="A373" s="37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9"/>
    </row>
    <row r="374" spans="1:25" ht="15" customHeight="1">
      <c r="A374" s="37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9"/>
    </row>
    <row r="375" spans="1:25" ht="15" customHeight="1">
      <c r="A375" s="37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9"/>
    </row>
    <row r="376" spans="1:25" ht="15" customHeight="1">
      <c r="A376" s="37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9"/>
    </row>
    <row r="377" spans="1:25" ht="15" customHeight="1">
      <c r="A377" s="37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9"/>
    </row>
    <row r="378" spans="1:25" ht="15" customHeight="1">
      <c r="A378" s="37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9"/>
    </row>
    <row r="379" spans="1:25" ht="15" customHeight="1">
      <c r="A379" s="37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9"/>
    </row>
    <row r="380" spans="1:25" ht="15" customHeight="1">
      <c r="A380" s="37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9"/>
    </row>
    <row r="381" spans="1:25" ht="15" customHeight="1">
      <c r="A381" s="37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9"/>
    </row>
    <row r="382" spans="1:25" ht="15" customHeight="1">
      <c r="A382" s="37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9"/>
    </row>
    <row r="383" spans="1:25" ht="15" customHeight="1">
      <c r="A383" s="37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9"/>
    </row>
    <row r="384" spans="1:25" ht="15" customHeight="1">
      <c r="A384" s="37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9"/>
    </row>
    <row r="385" spans="1:25" ht="15" customHeight="1">
      <c r="A385" s="37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9"/>
    </row>
    <row r="386" spans="1:25" ht="15" customHeight="1">
      <c r="A386" s="37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9"/>
    </row>
    <row r="387" spans="1:25" ht="15" customHeight="1">
      <c r="A387" s="37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9"/>
    </row>
    <row r="388" spans="1:25" ht="15" customHeight="1">
      <c r="A388" s="37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9"/>
    </row>
    <row r="389" spans="1:25" ht="15" customHeight="1">
      <c r="A389" s="37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9"/>
    </row>
    <row r="390" spans="1:25" ht="15" customHeight="1">
      <c r="A390" s="37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9"/>
    </row>
    <row r="391" spans="1:25" ht="15" customHeight="1">
      <c r="A391" s="37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9"/>
    </row>
    <row r="392" spans="1:25" ht="15" customHeight="1">
      <c r="A392" s="37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9"/>
    </row>
    <row r="393" spans="1:25" ht="15" customHeight="1">
      <c r="A393" s="37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9"/>
    </row>
    <row r="394" spans="1:25" ht="15" customHeight="1">
      <c r="A394" s="37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9"/>
    </row>
    <row r="395" spans="1:25" ht="15" customHeight="1">
      <c r="A395" s="37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9"/>
    </row>
    <row r="396" spans="1:25" ht="15" customHeight="1">
      <c r="A396" s="37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9"/>
    </row>
    <row r="397" spans="1:25" ht="15" customHeight="1">
      <c r="A397" s="37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9"/>
    </row>
    <row r="398" spans="1:25" ht="15" customHeight="1">
      <c r="A398" s="37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9"/>
    </row>
    <row r="399" spans="1:25" ht="15" customHeight="1">
      <c r="A399" s="37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9"/>
    </row>
    <row r="400" spans="1:25" ht="15" customHeight="1">
      <c r="A400" s="37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9"/>
    </row>
    <row r="401" spans="1:25" ht="15" customHeight="1">
      <c r="A401" s="37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9"/>
    </row>
    <row r="402" spans="1:25" ht="15" customHeight="1">
      <c r="A402" s="37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9"/>
    </row>
    <row r="403" spans="1:25" ht="15" customHeight="1">
      <c r="A403" s="37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9"/>
    </row>
    <row r="404" spans="1:25" ht="15" customHeight="1">
      <c r="A404" s="37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9"/>
    </row>
    <row r="405" spans="1:25" ht="15" customHeight="1">
      <c r="A405" s="37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9"/>
    </row>
    <row r="406" spans="1:25" ht="15" customHeight="1">
      <c r="A406" s="37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9"/>
    </row>
    <row r="407" spans="1:25" ht="15" customHeight="1">
      <c r="A407" s="37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9"/>
    </row>
    <row r="408" spans="1:25" ht="15" customHeight="1">
      <c r="A408" s="37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9"/>
    </row>
    <row r="409" spans="1:25" ht="15" customHeight="1">
      <c r="A409" s="37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9"/>
    </row>
    <row r="410" spans="1:25" ht="15" customHeight="1">
      <c r="A410" s="37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9"/>
    </row>
    <row r="411" spans="1:25" ht="15" customHeight="1">
      <c r="A411" s="37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9"/>
    </row>
    <row r="412" spans="1:25" ht="15" customHeight="1">
      <c r="A412" s="37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9"/>
    </row>
    <row r="413" spans="1:25" ht="15" customHeight="1">
      <c r="A413" s="37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9"/>
    </row>
    <row r="414" spans="1:25" ht="15" customHeight="1">
      <c r="A414" s="37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9"/>
    </row>
    <row r="415" spans="1:25" ht="15" customHeight="1">
      <c r="A415" s="37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9"/>
    </row>
    <row r="416" spans="1:25" ht="15" customHeight="1">
      <c r="A416" s="37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9"/>
    </row>
    <row r="417" spans="1:25" ht="15" customHeight="1">
      <c r="A417" s="37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9"/>
    </row>
    <row r="418" spans="1:25" ht="15" customHeight="1">
      <c r="A418" s="37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9"/>
    </row>
    <row r="419" spans="1:25" ht="15" customHeight="1">
      <c r="A419" s="37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9"/>
    </row>
    <row r="420" spans="1:25" ht="15" customHeight="1">
      <c r="A420" s="37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9"/>
    </row>
    <row r="421" spans="1:25" ht="15" customHeight="1">
      <c r="A421" s="37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9"/>
    </row>
    <row r="422" spans="1:25" ht="15" customHeight="1">
      <c r="A422" s="37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9"/>
    </row>
    <row r="423" spans="1:25" ht="15" customHeight="1">
      <c r="A423" s="37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9"/>
    </row>
    <row r="424" spans="1:25" ht="15" customHeight="1">
      <c r="A424" s="37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9"/>
    </row>
    <row r="425" spans="1:25" ht="15" customHeight="1">
      <c r="A425" s="37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9"/>
    </row>
    <row r="426" spans="1:25" ht="15" customHeight="1">
      <c r="A426" s="37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9"/>
    </row>
    <row r="427" spans="1:25" ht="15" customHeight="1">
      <c r="A427" s="37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9"/>
    </row>
    <row r="428" spans="1:25" ht="15" customHeight="1">
      <c r="A428" s="37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9"/>
    </row>
    <row r="429" spans="1:25" ht="15" customHeight="1">
      <c r="A429" s="37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9"/>
    </row>
    <row r="430" spans="1:25" ht="15" customHeight="1">
      <c r="A430" s="37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9"/>
    </row>
    <row r="431" spans="1:25" ht="15" customHeight="1">
      <c r="A431" s="37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9"/>
    </row>
    <row r="432" spans="1:25" ht="15" customHeight="1">
      <c r="A432" s="37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9"/>
    </row>
    <row r="433" spans="1:25" ht="15" customHeight="1">
      <c r="A433" s="37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9"/>
    </row>
    <row r="434" spans="1:25" ht="15" customHeight="1">
      <c r="A434" s="37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9"/>
    </row>
    <row r="435" spans="1:25" ht="15" customHeight="1">
      <c r="A435" s="37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9"/>
    </row>
    <row r="436" spans="1:25" ht="15" customHeight="1">
      <c r="A436" s="37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9"/>
    </row>
    <row r="437" spans="1:25" ht="15" customHeight="1">
      <c r="A437" s="37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9"/>
    </row>
    <row r="438" spans="1:25" ht="15" customHeight="1">
      <c r="A438" s="37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9"/>
    </row>
    <row r="439" spans="1:25" ht="15" customHeight="1">
      <c r="A439" s="37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9"/>
    </row>
    <row r="440" spans="1:25" ht="15" customHeight="1">
      <c r="A440" s="37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9"/>
    </row>
    <row r="441" spans="1:25" ht="15" customHeight="1">
      <c r="A441" s="37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9"/>
    </row>
    <row r="442" spans="1:25" ht="15" customHeight="1">
      <c r="A442" s="37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9"/>
    </row>
    <row r="443" spans="1:25" ht="15" customHeight="1">
      <c r="A443" s="37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9"/>
    </row>
    <row r="444" spans="1:25" ht="15" customHeight="1">
      <c r="A444" s="37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9"/>
    </row>
    <row r="445" spans="1:25" ht="15" customHeight="1">
      <c r="A445" s="37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9"/>
    </row>
    <row r="446" spans="1:25" ht="15" customHeight="1">
      <c r="A446" s="37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9"/>
    </row>
    <row r="447" spans="1:25" ht="15" customHeight="1">
      <c r="A447" s="37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9"/>
    </row>
    <row r="448" spans="1:25" ht="15" customHeight="1">
      <c r="A448" s="37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9"/>
    </row>
    <row r="449" spans="1:25" ht="15" customHeight="1">
      <c r="A449" s="37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9"/>
    </row>
    <row r="450" spans="1:25" ht="15" customHeight="1">
      <c r="A450" s="37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9"/>
    </row>
    <row r="451" spans="1:25" ht="15" customHeight="1">
      <c r="A451" s="37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9"/>
    </row>
    <row r="452" spans="1:25" ht="15" customHeight="1">
      <c r="A452" s="37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9"/>
    </row>
    <row r="453" spans="1:25" ht="15" customHeight="1">
      <c r="A453" s="37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9"/>
    </row>
    <row r="454" spans="1:25" ht="15" customHeight="1">
      <c r="A454" s="37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9"/>
    </row>
    <row r="455" spans="1:25" ht="15" customHeight="1">
      <c r="A455" s="37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9"/>
    </row>
    <row r="456" spans="1:25" ht="15" customHeight="1">
      <c r="A456" s="37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9"/>
    </row>
    <row r="457" spans="1:25" ht="15" customHeight="1">
      <c r="A457" s="37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9"/>
    </row>
    <row r="458" spans="1:25" ht="15" customHeight="1">
      <c r="A458" s="37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9"/>
    </row>
    <row r="459" spans="1:25" ht="15" customHeight="1">
      <c r="A459" s="37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9"/>
    </row>
    <row r="460" spans="1:25" ht="15" customHeight="1">
      <c r="A460" s="37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9"/>
    </row>
    <row r="461" spans="1:25" ht="15" customHeight="1">
      <c r="A461" s="37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9"/>
    </row>
    <row r="462" spans="1:25" ht="15" customHeight="1">
      <c r="A462" s="37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9"/>
    </row>
    <row r="463" spans="1:25" ht="15" customHeight="1">
      <c r="A463" s="37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9"/>
    </row>
    <row r="464" spans="1:25" ht="15" customHeight="1">
      <c r="A464" s="37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9"/>
    </row>
    <row r="465" spans="1:25" ht="15" customHeight="1">
      <c r="A465" s="37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9"/>
    </row>
    <row r="466" spans="1:25" ht="15" customHeight="1">
      <c r="A466" s="37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9"/>
    </row>
    <row r="467" spans="1:25" ht="15" customHeight="1">
      <c r="A467" s="37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9"/>
    </row>
    <row r="468" spans="1:25" ht="15" customHeight="1">
      <c r="A468" s="37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9"/>
    </row>
    <row r="469" spans="1:25" ht="15" customHeight="1">
      <c r="A469" s="37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9"/>
    </row>
    <row r="470" spans="1:25" ht="15" customHeight="1">
      <c r="A470" s="37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9"/>
    </row>
    <row r="471" spans="1:25" ht="15" customHeight="1">
      <c r="A471" s="37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9"/>
    </row>
    <row r="472" spans="1:25" ht="15" customHeight="1">
      <c r="A472" s="37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9"/>
    </row>
    <row r="473" spans="1:25" ht="15" customHeight="1">
      <c r="A473" s="37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9"/>
    </row>
    <row r="474" spans="1:25" ht="15" customHeight="1">
      <c r="A474" s="37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9"/>
    </row>
    <row r="475" spans="1:25" ht="15" customHeight="1">
      <c r="A475" s="37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9"/>
    </row>
    <row r="476" spans="1:25" ht="15" customHeight="1">
      <c r="A476" s="37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9"/>
    </row>
    <row r="477" spans="1:25" ht="15" customHeight="1">
      <c r="A477" s="37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9"/>
    </row>
    <row r="478" spans="1:25" ht="15" customHeight="1">
      <c r="A478" s="37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9"/>
    </row>
    <row r="479" spans="1:25" ht="15" customHeight="1">
      <c r="A479" s="37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9"/>
    </row>
    <row r="480" spans="1:25" ht="15" customHeight="1">
      <c r="A480" s="37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9"/>
    </row>
    <row r="481" spans="1:25" ht="15" customHeight="1">
      <c r="A481" s="37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9"/>
    </row>
    <row r="482" spans="1:25" ht="15" customHeight="1">
      <c r="A482" s="37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9"/>
    </row>
    <row r="483" spans="1:25" ht="15" customHeight="1">
      <c r="A483" s="37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9"/>
    </row>
    <row r="484" spans="1:25" ht="15" customHeight="1">
      <c r="A484" s="37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9"/>
    </row>
    <row r="485" spans="1:25" ht="15" customHeight="1">
      <c r="A485" s="37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9"/>
    </row>
    <row r="486" spans="1:25" ht="15" customHeight="1">
      <c r="A486" s="37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9"/>
    </row>
    <row r="487" spans="1:25" ht="15" customHeight="1">
      <c r="A487" s="37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9"/>
    </row>
    <row r="488" spans="1:25" ht="15" customHeight="1">
      <c r="A488" s="37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9"/>
    </row>
    <row r="489" spans="1:25" ht="15" customHeight="1">
      <c r="A489" s="37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9"/>
    </row>
    <row r="490" spans="1:25" ht="15" customHeight="1">
      <c r="A490" s="37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9"/>
    </row>
    <row r="491" spans="1:25" ht="15" customHeight="1">
      <c r="A491" s="37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9"/>
    </row>
    <row r="492" spans="1:25" ht="15" customHeight="1">
      <c r="A492" s="37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9"/>
    </row>
    <row r="493" spans="1:25" ht="15" customHeight="1">
      <c r="A493" s="37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9"/>
    </row>
    <row r="494" spans="1:25" ht="15" customHeight="1">
      <c r="A494" s="37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9"/>
    </row>
    <row r="495" spans="1:25" ht="15" customHeight="1">
      <c r="A495" s="37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9"/>
    </row>
    <row r="496" spans="1:25" ht="15" customHeight="1">
      <c r="A496" s="37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9"/>
    </row>
    <row r="497" spans="1:25" ht="15" customHeight="1">
      <c r="A497" s="37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9"/>
    </row>
    <row r="498" spans="1:25" ht="15" customHeight="1">
      <c r="A498" s="37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9"/>
    </row>
    <row r="499" spans="1:25" ht="15" customHeight="1">
      <c r="A499" s="37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9"/>
    </row>
    <row r="500" spans="1:25" ht="15" customHeight="1">
      <c r="A500" s="37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9"/>
    </row>
    <row r="501" spans="1:25" ht="15" customHeight="1">
      <c r="A501" s="37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9"/>
    </row>
    <row r="502" spans="1:25" ht="15" customHeight="1">
      <c r="A502" s="37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9"/>
    </row>
    <row r="503" spans="1:25" ht="15" customHeight="1">
      <c r="A503" s="37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9"/>
    </row>
    <row r="504" spans="1:25" ht="15" customHeight="1">
      <c r="A504" s="37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9"/>
    </row>
    <row r="505" spans="1:25" ht="15" customHeight="1">
      <c r="A505" s="37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9"/>
    </row>
    <row r="506" spans="1:25" ht="15" customHeight="1">
      <c r="A506" s="37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9"/>
    </row>
    <row r="507" spans="1:25" ht="15" customHeight="1">
      <c r="A507" s="37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9"/>
    </row>
    <row r="508" spans="1:25" ht="15" customHeight="1">
      <c r="A508" s="37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9"/>
    </row>
    <row r="509" spans="1:25" ht="15" customHeight="1">
      <c r="A509" s="37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9"/>
    </row>
    <row r="510" spans="1:25" ht="15" customHeight="1">
      <c r="A510" s="37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9"/>
    </row>
    <row r="511" spans="1:25" ht="15" customHeight="1">
      <c r="A511" s="37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9"/>
    </row>
    <row r="512" spans="1:25" ht="15" customHeight="1">
      <c r="A512" s="37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9"/>
    </row>
    <row r="513" spans="1:25" ht="15" customHeight="1">
      <c r="A513" s="37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9"/>
    </row>
    <row r="514" spans="1:25" ht="15" customHeight="1">
      <c r="A514" s="37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9"/>
    </row>
    <row r="515" spans="1:25" ht="15" customHeight="1">
      <c r="A515" s="37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9"/>
    </row>
    <row r="516" spans="1:25" ht="15" customHeight="1">
      <c r="A516" s="37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9"/>
    </row>
    <row r="517" spans="1:25" ht="15" customHeight="1">
      <c r="A517" s="37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9"/>
    </row>
    <row r="518" spans="1:25" ht="15" customHeight="1">
      <c r="A518" s="37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9"/>
    </row>
    <row r="519" spans="1:25" ht="15" customHeight="1">
      <c r="A519" s="37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9"/>
    </row>
    <row r="520" spans="1:25" ht="15" customHeight="1">
      <c r="A520" s="37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9"/>
    </row>
    <row r="521" spans="1:25" ht="15" customHeight="1">
      <c r="A521" s="37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9"/>
    </row>
    <row r="522" spans="1:25" ht="15" customHeight="1">
      <c r="A522" s="37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9"/>
    </row>
    <row r="523" spans="1:25" ht="15" customHeight="1">
      <c r="A523" s="37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9"/>
    </row>
    <row r="524" spans="1:25" ht="15" customHeight="1">
      <c r="A524" s="37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9"/>
    </row>
    <row r="525" spans="1:25" ht="15" customHeight="1">
      <c r="A525" s="37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9"/>
    </row>
    <row r="526" spans="1:25" ht="15" customHeight="1">
      <c r="A526" s="37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9"/>
    </row>
    <row r="527" spans="1:25" ht="15" customHeight="1">
      <c r="A527" s="37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9"/>
    </row>
    <row r="528" spans="1:25" ht="15" customHeight="1">
      <c r="A528" s="37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9"/>
    </row>
    <row r="529" spans="1:25" ht="15" customHeight="1">
      <c r="A529" s="37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9"/>
    </row>
    <row r="530" spans="1:25" ht="15" customHeight="1">
      <c r="A530" s="37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9"/>
    </row>
    <row r="531" spans="1:25" ht="15" customHeight="1">
      <c r="A531" s="37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9"/>
    </row>
    <row r="532" spans="1:25" ht="15" customHeight="1">
      <c r="A532" s="37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9"/>
    </row>
    <row r="533" spans="1:25" ht="15" customHeight="1">
      <c r="A533" s="37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9"/>
    </row>
    <row r="534" spans="1:25" ht="15" customHeight="1">
      <c r="A534" s="37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9"/>
    </row>
    <row r="535" spans="1:25" ht="15" customHeight="1">
      <c r="A535" s="37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9"/>
    </row>
    <row r="536" spans="1:25" ht="15" customHeight="1">
      <c r="A536" s="37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9"/>
    </row>
    <row r="537" spans="1:25" ht="15" customHeight="1">
      <c r="A537" s="37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9"/>
    </row>
    <row r="538" spans="1:25" ht="15" customHeight="1">
      <c r="A538" s="37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9"/>
    </row>
    <row r="539" spans="1:25" ht="15" customHeight="1">
      <c r="A539" s="37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9"/>
    </row>
    <row r="540" spans="1:25" ht="15" customHeight="1">
      <c r="A540" s="37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9"/>
    </row>
    <row r="541" spans="1:25" ht="15" customHeight="1">
      <c r="A541" s="37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9"/>
    </row>
    <row r="542" spans="1:25" ht="15" customHeight="1">
      <c r="A542" s="37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9"/>
    </row>
    <row r="543" spans="1:25" ht="15" customHeight="1">
      <c r="A543" s="37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9"/>
    </row>
    <row r="544" spans="1:25" ht="15" customHeight="1">
      <c r="A544" s="37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9"/>
    </row>
    <row r="545" spans="1:25" ht="15" customHeight="1">
      <c r="A545" s="37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9"/>
    </row>
    <row r="546" spans="1:25" ht="15" customHeight="1">
      <c r="A546" s="37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9"/>
    </row>
    <row r="547" spans="1:25" ht="15" customHeight="1">
      <c r="A547" s="37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9"/>
    </row>
    <row r="548" spans="1:25" ht="15" customHeight="1">
      <c r="A548" s="37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9"/>
    </row>
    <row r="549" spans="1:25" ht="15" customHeight="1">
      <c r="A549" s="37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9"/>
    </row>
    <row r="550" spans="1:25" ht="15" customHeight="1">
      <c r="A550" s="37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9"/>
    </row>
    <row r="551" spans="1:25" ht="15" customHeight="1">
      <c r="A551" s="37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9"/>
    </row>
    <row r="552" spans="1:25" ht="15" customHeight="1">
      <c r="A552" s="37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9"/>
    </row>
    <row r="553" spans="1:25" ht="15" customHeight="1">
      <c r="A553" s="37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9"/>
    </row>
    <row r="554" spans="1:25" ht="15" customHeight="1">
      <c r="A554" s="37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9"/>
    </row>
    <row r="555" spans="1:25" ht="15" customHeight="1">
      <c r="A555" s="37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9"/>
    </row>
    <row r="556" spans="1:25" ht="15" customHeight="1">
      <c r="A556" s="37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9"/>
    </row>
    <row r="557" spans="1:25" ht="15" customHeight="1">
      <c r="A557" s="37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9"/>
    </row>
    <row r="558" spans="1:25" ht="15" customHeight="1">
      <c r="A558" s="37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9"/>
    </row>
    <row r="559" spans="1:25" ht="15" customHeight="1">
      <c r="A559" s="37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9"/>
    </row>
    <row r="560" spans="1:25" ht="15" customHeight="1">
      <c r="A560" s="37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9"/>
    </row>
    <row r="561" spans="1:25" ht="15" customHeight="1">
      <c r="A561" s="37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9"/>
    </row>
    <row r="562" spans="1:25" ht="15" customHeight="1">
      <c r="A562" s="37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9"/>
    </row>
    <row r="563" spans="1:25" ht="15" customHeight="1">
      <c r="A563" s="37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9"/>
    </row>
    <row r="564" spans="1:25" ht="15" customHeight="1">
      <c r="A564" s="37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9"/>
    </row>
    <row r="565" spans="1:25" ht="15" customHeight="1">
      <c r="A565" s="37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9"/>
    </row>
    <row r="566" spans="1:25" ht="15" customHeight="1">
      <c r="A566" s="37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9"/>
    </row>
    <row r="567" spans="1:25" ht="15" customHeight="1">
      <c r="A567" s="37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9"/>
    </row>
    <row r="568" spans="1:25" ht="15" customHeight="1">
      <c r="A568" s="37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9"/>
    </row>
    <row r="569" spans="1:25" ht="15" customHeight="1">
      <c r="A569" s="37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9"/>
    </row>
    <row r="570" spans="1:25" ht="15" customHeight="1">
      <c r="A570" s="37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9"/>
    </row>
    <row r="571" spans="1:25" ht="15" customHeight="1">
      <c r="A571" s="37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9"/>
    </row>
    <row r="572" spans="1:25" ht="15" customHeight="1">
      <c r="A572" s="37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9"/>
    </row>
    <row r="573" spans="1:25" ht="15" customHeight="1">
      <c r="A573" s="37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9"/>
    </row>
    <row r="574" spans="1:25" ht="15" customHeight="1">
      <c r="A574" s="37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9"/>
    </row>
    <row r="575" spans="1:25" ht="15" customHeight="1">
      <c r="A575" s="37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9"/>
    </row>
    <row r="576" spans="1:25" ht="15" customHeight="1">
      <c r="A576" s="37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9"/>
    </row>
    <row r="577" spans="1:25" ht="15" customHeight="1">
      <c r="A577" s="37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9"/>
    </row>
    <row r="578" spans="1:25" ht="15" customHeight="1">
      <c r="A578" s="37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9"/>
    </row>
    <row r="579" spans="1:25" ht="15" customHeight="1">
      <c r="A579" s="37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9"/>
    </row>
    <row r="580" spans="1:25" ht="15" customHeight="1">
      <c r="A580" s="37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9"/>
    </row>
    <row r="581" spans="1:25" ht="15" customHeight="1">
      <c r="A581" s="37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9"/>
    </row>
    <row r="582" spans="1:25" ht="15" customHeight="1">
      <c r="A582" s="37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9"/>
    </row>
    <row r="583" spans="1:25" ht="15" customHeight="1">
      <c r="A583" s="37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9"/>
    </row>
    <row r="584" spans="1:25" ht="15" customHeight="1">
      <c r="A584" s="37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9"/>
    </row>
    <row r="585" spans="1:25" ht="15" customHeight="1">
      <c r="A585" s="37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9"/>
    </row>
    <row r="586" spans="1:25" ht="15" customHeight="1">
      <c r="A586" s="37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9"/>
    </row>
    <row r="587" spans="1:25" ht="15" customHeight="1">
      <c r="A587" s="37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9"/>
    </row>
    <row r="588" spans="1:25" ht="15" customHeight="1">
      <c r="A588" s="37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9"/>
    </row>
    <row r="589" spans="1:25" ht="15" customHeight="1">
      <c r="A589" s="37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9"/>
    </row>
    <row r="590" spans="1:25" ht="15" customHeight="1">
      <c r="A590" s="37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9"/>
    </row>
    <row r="591" spans="1:25" ht="15" customHeight="1">
      <c r="A591" s="37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9"/>
    </row>
    <row r="592" spans="1:25" ht="15" customHeight="1">
      <c r="A592" s="37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9"/>
    </row>
    <row r="593" spans="1:25" ht="15" customHeight="1">
      <c r="A593" s="37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9"/>
    </row>
    <row r="594" spans="1:25" ht="15" customHeight="1">
      <c r="A594" s="37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9"/>
    </row>
    <row r="595" spans="1:25" ht="15" customHeight="1">
      <c r="A595" s="37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9"/>
    </row>
    <row r="596" spans="1:25" ht="15" customHeight="1">
      <c r="A596" s="37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9"/>
    </row>
    <row r="597" spans="1:25" ht="15" customHeight="1">
      <c r="A597" s="37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9"/>
    </row>
    <row r="598" spans="1:25" ht="15" customHeight="1">
      <c r="A598" s="37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9"/>
    </row>
    <row r="599" spans="1:25" ht="15" customHeight="1">
      <c r="A599" s="37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9"/>
    </row>
    <row r="600" spans="1:25" ht="15" customHeight="1">
      <c r="A600" s="37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9"/>
    </row>
    <row r="601" spans="1:25" ht="15" customHeight="1">
      <c r="A601" s="37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9"/>
    </row>
    <row r="602" spans="1:25" ht="15" customHeight="1">
      <c r="A602" s="37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9"/>
    </row>
    <row r="603" spans="1:25" ht="15" customHeight="1">
      <c r="A603" s="37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9"/>
    </row>
    <row r="604" spans="1:25" ht="15" customHeight="1">
      <c r="A604" s="37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9"/>
    </row>
    <row r="605" spans="1:25" ht="15" customHeight="1">
      <c r="A605" s="37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9"/>
    </row>
    <row r="606" spans="1:25" ht="15" customHeight="1">
      <c r="A606" s="37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9"/>
    </row>
    <row r="607" spans="1:25" ht="15" customHeight="1">
      <c r="A607" s="37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9"/>
    </row>
    <row r="608" spans="1:25" ht="15" customHeight="1">
      <c r="A608" s="37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9"/>
    </row>
    <row r="609" spans="1:25" ht="15" customHeight="1">
      <c r="A609" s="37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9"/>
    </row>
    <row r="610" spans="1:25" ht="15" customHeight="1">
      <c r="A610" s="37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9"/>
    </row>
    <row r="611" spans="1:25" ht="15" customHeight="1">
      <c r="A611" s="37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9"/>
    </row>
    <row r="612" spans="1:25" ht="15" customHeight="1">
      <c r="A612" s="37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9"/>
    </row>
    <row r="613" spans="1:25" ht="15" customHeight="1">
      <c r="A613" s="37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9"/>
    </row>
    <row r="614" spans="1:25" ht="15" customHeight="1">
      <c r="A614" s="37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9"/>
    </row>
    <row r="615" spans="1:25" ht="15" customHeight="1">
      <c r="A615" s="37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9"/>
    </row>
    <row r="616" spans="1:25" ht="15" customHeight="1">
      <c r="A616" s="37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9"/>
    </row>
    <row r="617" spans="1:25" ht="15" customHeight="1">
      <c r="A617" s="37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9"/>
    </row>
    <row r="618" spans="1:25" ht="15" customHeight="1">
      <c r="A618" s="37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9"/>
    </row>
    <row r="619" spans="1:25" ht="15" customHeight="1">
      <c r="A619" s="37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9"/>
    </row>
    <row r="620" spans="1:25" ht="15" customHeight="1">
      <c r="A620" s="37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9"/>
    </row>
    <row r="621" spans="1:25" ht="15" customHeight="1">
      <c r="A621" s="37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9"/>
    </row>
    <row r="622" spans="1:25" ht="15" customHeight="1">
      <c r="A622" s="37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9"/>
    </row>
    <row r="623" spans="1:25" ht="15" customHeight="1">
      <c r="A623" s="37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9"/>
    </row>
    <row r="624" spans="1:25" ht="15" customHeight="1">
      <c r="A624" s="37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9"/>
    </row>
    <row r="625" spans="1:25" ht="15" customHeight="1">
      <c r="A625" s="37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9"/>
    </row>
    <row r="626" spans="1:25" ht="15" customHeight="1">
      <c r="A626" s="37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9"/>
    </row>
    <row r="627" spans="1:25" ht="15" customHeight="1">
      <c r="A627" s="37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9"/>
    </row>
    <row r="628" spans="1:25" ht="15" customHeight="1">
      <c r="A628" s="37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9"/>
    </row>
    <row r="629" spans="1:25" ht="15" customHeight="1">
      <c r="A629" s="37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9"/>
    </row>
    <row r="630" spans="1:25" ht="15" customHeight="1">
      <c r="A630" s="37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9"/>
    </row>
    <row r="631" spans="1:25" ht="15" customHeight="1">
      <c r="A631" s="37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9"/>
    </row>
    <row r="632" spans="1:25" ht="15" customHeight="1">
      <c r="A632" s="37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9"/>
    </row>
    <row r="633" spans="1:25" ht="15" customHeight="1">
      <c r="A633" s="37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9"/>
    </row>
    <row r="634" spans="1:25" ht="15" customHeight="1">
      <c r="A634" s="37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9"/>
    </row>
    <row r="635" spans="1:25" ht="15" customHeight="1">
      <c r="A635" s="37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9"/>
    </row>
    <row r="636" spans="1:25" ht="15" customHeight="1">
      <c r="A636" s="37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9"/>
    </row>
    <row r="637" spans="1:25" ht="15" customHeight="1">
      <c r="A637" s="37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9"/>
    </row>
    <row r="638" spans="1:25" ht="15" customHeight="1">
      <c r="A638" s="37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9"/>
    </row>
    <row r="639" spans="1:25" ht="15" customHeight="1">
      <c r="A639" s="37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9"/>
    </row>
    <row r="640" spans="1:25" ht="15" customHeight="1">
      <c r="A640" s="37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9"/>
    </row>
    <row r="641" spans="1:25" ht="15" customHeight="1">
      <c r="A641" s="37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9"/>
    </row>
    <row r="642" spans="1:25" ht="15" customHeight="1">
      <c r="A642" s="37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9"/>
    </row>
    <row r="643" spans="1:25" ht="15" customHeight="1">
      <c r="A643" s="37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9"/>
    </row>
    <row r="644" spans="1:25" ht="15" customHeight="1">
      <c r="A644" s="37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9"/>
    </row>
    <row r="645" spans="1:25" ht="15" customHeight="1">
      <c r="A645" s="37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9"/>
    </row>
    <row r="646" spans="1:25" ht="15" customHeight="1">
      <c r="A646" s="37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9"/>
    </row>
    <row r="647" spans="1:25" ht="15" customHeight="1">
      <c r="A647" s="37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9"/>
    </row>
    <row r="648" spans="1:25" ht="15" customHeight="1">
      <c r="A648" s="37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9"/>
    </row>
    <row r="649" spans="1:25" ht="15" customHeight="1">
      <c r="A649" s="37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9"/>
    </row>
    <row r="650" spans="1:25" ht="15" customHeight="1">
      <c r="A650" s="37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9"/>
    </row>
    <row r="651" spans="1:25" ht="15" customHeight="1">
      <c r="A651" s="37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9"/>
    </row>
    <row r="652" spans="1:25" ht="15" customHeight="1">
      <c r="A652" s="37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9"/>
    </row>
    <row r="653" spans="1:25" ht="15" customHeight="1">
      <c r="A653" s="37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9"/>
    </row>
    <row r="654" spans="1:25" ht="15" customHeight="1">
      <c r="A654" s="37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9"/>
    </row>
    <row r="655" spans="1:25" ht="15" customHeight="1">
      <c r="A655" s="37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9"/>
    </row>
    <row r="656" spans="1:25" ht="15" customHeight="1">
      <c r="A656" s="37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9"/>
    </row>
    <row r="657" spans="1:25" ht="15" customHeight="1">
      <c r="A657" s="37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9"/>
    </row>
    <row r="658" spans="1:25" ht="15" customHeight="1">
      <c r="A658" s="37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9"/>
    </row>
    <row r="659" spans="1:25" ht="15" customHeight="1">
      <c r="A659" s="37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9"/>
    </row>
    <row r="660" spans="1:25" ht="15" customHeight="1">
      <c r="A660" s="37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9"/>
    </row>
    <row r="661" spans="1:25" ht="15" customHeight="1">
      <c r="A661" s="37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9"/>
    </row>
    <row r="662" spans="1:25" ht="15" customHeight="1">
      <c r="A662" s="37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9"/>
    </row>
    <row r="663" spans="1:25" ht="15" customHeight="1">
      <c r="A663" s="37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9"/>
    </row>
    <row r="664" spans="1:25" ht="15" customHeight="1">
      <c r="A664" s="37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9"/>
    </row>
    <row r="665" spans="1:25" ht="15" customHeight="1">
      <c r="A665" s="37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9"/>
    </row>
    <row r="666" spans="1:25" ht="15" customHeight="1">
      <c r="A666" s="37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9"/>
    </row>
    <row r="667" spans="1:25" ht="15" customHeight="1">
      <c r="A667" s="37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9"/>
    </row>
    <row r="668" spans="1:25" ht="15" customHeight="1">
      <c r="A668" s="37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9"/>
    </row>
    <row r="669" spans="1:25" ht="15" customHeight="1">
      <c r="A669" s="37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9"/>
    </row>
    <row r="670" spans="1:25" ht="15" customHeight="1">
      <c r="A670" s="37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9"/>
    </row>
    <row r="671" spans="1:25" ht="15" customHeight="1">
      <c r="A671" s="37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9"/>
    </row>
    <row r="672" spans="1:25" ht="15" customHeight="1">
      <c r="A672" s="37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9"/>
    </row>
    <row r="673" spans="1:25" ht="15" customHeight="1">
      <c r="A673" s="37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9"/>
    </row>
    <row r="674" spans="1:25" ht="15" customHeight="1">
      <c r="A674" s="37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9"/>
    </row>
    <row r="675" spans="1:25" ht="15" customHeight="1">
      <c r="A675" s="37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9"/>
    </row>
    <row r="676" spans="1:25" ht="15" customHeight="1">
      <c r="A676" s="37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9"/>
    </row>
    <row r="677" spans="1:25" ht="15" customHeight="1">
      <c r="A677" s="37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9"/>
    </row>
    <row r="678" spans="1:25" ht="15" customHeight="1">
      <c r="A678" s="37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9"/>
    </row>
    <row r="679" spans="1:25" ht="15" customHeight="1">
      <c r="A679" s="37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9"/>
    </row>
    <row r="680" spans="1:25" ht="15" customHeight="1">
      <c r="A680" s="37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9"/>
    </row>
    <row r="681" spans="1:25" ht="15" customHeight="1">
      <c r="A681" s="37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9"/>
    </row>
    <row r="682" spans="1:25" ht="15" customHeight="1">
      <c r="A682" s="37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9"/>
    </row>
    <row r="683" spans="1:25" ht="15" customHeight="1">
      <c r="A683" s="37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9"/>
    </row>
    <row r="684" spans="1:25" ht="15" customHeight="1">
      <c r="A684" s="37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9"/>
    </row>
    <row r="685" spans="1:25" ht="15" customHeight="1">
      <c r="A685" s="37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9"/>
    </row>
    <row r="686" spans="1:25" ht="15" customHeight="1">
      <c r="A686" s="37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9"/>
    </row>
    <row r="687" spans="1:25" ht="15" customHeight="1">
      <c r="A687" s="37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9"/>
    </row>
    <row r="688" spans="1:25" ht="15" customHeight="1">
      <c r="A688" s="37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9"/>
    </row>
    <row r="689" spans="1:25" ht="15" customHeight="1">
      <c r="A689" s="37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9"/>
    </row>
    <row r="690" spans="1:25" ht="15" customHeight="1">
      <c r="A690" s="37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9"/>
    </row>
    <row r="691" spans="1:25" ht="15" customHeight="1">
      <c r="A691" s="37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9"/>
    </row>
    <row r="692" spans="1:25" ht="15" customHeight="1">
      <c r="A692" s="37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9"/>
    </row>
    <row r="693" spans="1:25" ht="15" customHeight="1">
      <c r="A693" s="37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9"/>
    </row>
    <row r="694" spans="1:25" ht="15" customHeight="1">
      <c r="A694" s="37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9"/>
    </row>
    <row r="695" spans="1:25" ht="15" customHeight="1">
      <c r="A695" s="37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9"/>
    </row>
    <row r="696" spans="1:25" ht="15" customHeight="1">
      <c r="A696" s="37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9"/>
    </row>
    <row r="697" spans="1:25" ht="15" customHeight="1">
      <c r="A697" s="37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9"/>
    </row>
    <row r="698" spans="1:25" ht="15" customHeight="1">
      <c r="A698" s="37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9"/>
    </row>
    <row r="699" spans="1:25" ht="15" customHeight="1">
      <c r="A699" s="37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9"/>
    </row>
    <row r="700" spans="1:25" ht="15" customHeight="1">
      <c r="A700" s="37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9"/>
    </row>
    <row r="701" spans="1:25" ht="15" customHeight="1">
      <c r="A701" s="37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9"/>
    </row>
    <row r="702" spans="1:25" ht="15" customHeight="1">
      <c r="A702" s="37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9"/>
    </row>
    <row r="703" spans="1:25" ht="15" customHeight="1">
      <c r="A703" s="37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9"/>
    </row>
    <row r="704" spans="1:25" ht="15" customHeight="1">
      <c r="A704" s="37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9"/>
    </row>
    <row r="705" spans="1:25" ht="15" customHeight="1">
      <c r="A705" s="37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9"/>
    </row>
    <row r="706" spans="1:25" ht="15" customHeight="1">
      <c r="A706" s="37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9"/>
    </row>
    <row r="707" spans="1:25" ht="15" customHeight="1">
      <c r="A707" s="37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9"/>
    </row>
    <row r="708" spans="1:25" ht="15" customHeight="1">
      <c r="A708" s="37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9"/>
    </row>
    <row r="709" spans="1:25" ht="15" customHeight="1">
      <c r="A709" s="37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9"/>
    </row>
    <row r="710" spans="1:25" ht="15" customHeight="1">
      <c r="A710" s="37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9"/>
    </row>
    <row r="711" spans="1:25" ht="15" customHeight="1">
      <c r="A711" s="37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9"/>
    </row>
    <row r="712" spans="1:25" ht="15" customHeight="1">
      <c r="A712" s="37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9"/>
    </row>
    <row r="713" spans="1:25" ht="15" customHeight="1">
      <c r="A713" s="37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9"/>
    </row>
    <row r="714" spans="1:25" ht="15" customHeight="1">
      <c r="A714" s="37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9"/>
    </row>
    <row r="715" spans="1:25" ht="15" customHeight="1">
      <c r="A715" s="37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9"/>
    </row>
    <row r="716" spans="1:25" ht="15" customHeight="1">
      <c r="A716" s="37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9"/>
    </row>
    <row r="717" spans="1:25" ht="15" customHeight="1">
      <c r="A717" s="37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9"/>
    </row>
    <row r="718" spans="1:25" ht="15" customHeight="1">
      <c r="A718" s="37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9"/>
    </row>
    <row r="719" spans="1:25" ht="15" customHeight="1">
      <c r="A719" s="37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9"/>
    </row>
    <row r="720" spans="1:25" ht="15" customHeight="1">
      <c r="A720" s="37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9"/>
    </row>
    <row r="721" spans="1:25" ht="15" customHeight="1">
      <c r="A721" s="37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9"/>
    </row>
    <row r="722" spans="1:25" ht="15" customHeight="1">
      <c r="A722" s="37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9"/>
    </row>
    <row r="723" spans="1:25" ht="15" customHeight="1">
      <c r="A723" s="37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9"/>
    </row>
    <row r="724" spans="1:25" ht="15" customHeight="1">
      <c r="A724" s="37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9"/>
    </row>
    <row r="725" spans="1:25" ht="15" customHeight="1">
      <c r="A725" s="37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9"/>
    </row>
    <row r="726" spans="1:25" ht="15" customHeight="1">
      <c r="A726" s="37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9"/>
    </row>
    <row r="727" spans="1:25" ht="15" customHeight="1">
      <c r="A727" s="37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9"/>
    </row>
    <row r="728" spans="1:25" ht="15" customHeight="1">
      <c r="A728" s="37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9"/>
    </row>
    <row r="729" spans="1:25" ht="15" customHeight="1">
      <c r="A729" s="37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9"/>
    </row>
    <row r="730" spans="1:25" ht="15" customHeight="1">
      <c r="A730" s="37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9"/>
    </row>
    <row r="731" spans="1:25" ht="15" customHeight="1">
      <c r="A731" s="37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9"/>
    </row>
    <row r="732" spans="1:25" ht="15" customHeight="1">
      <c r="A732" s="37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9"/>
    </row>
    <row r="733" spans="1:25" ht="15" customHeight="1">
      <c r="A733" s="37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9"/>
    </row>
    <row r="734" spans="1:25" ht="15" customHeight="1">
      <c r="A734" s="37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9"/>
    </row>
    <row r="735" spans="1:25" ht="15" customHeight="1">
      <c r="A735" s="37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9"/>
    </row>
    <row r="736" spans="1:25" ht="15" customHeight="1">
      <c r="A736" s="37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9"/>
    </row>
    <row r="737" spans="1:25" ht="15" customHeight="1">
      <c r="A737" s="37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9"/>
    </row>
    <row r="738" spans="1:25" ht="15" customHeight="1">
      <c r="A738" s="37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9"/>
    </row>
    <row r="739" spans="1:25" ht="15" customHeight="1">
      <c r="A739" s="37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9"/>
    </row>
    <row r="740" spans="1:25" ht="15" customHeight="1">
      <c r="A740" s="37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9"/>
    </row>
    <row r="741" spans="1:25" ht="15" customHeight="1">
      <c r="A741" s="37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9"/>
    </row>
    <row r="742" spans="1:25" ht="15" customHeight="1">
      <c r="A742" s="37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9"/>
    </row>
    <row r="743" spans="1:25" ht="15" customHeight="1">
      <c r="A743" s="37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9"/>
    </row>
    <row r="744" spans="1:25" ht="15" customHeight="1">
      <c r="A744" s="37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9"/>
    </row>
    <row r="745" spans="1:25" ht="15" customHeight="1">
      <c r="A745" s="37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9"/>
    </row>
    <row r="746" spans="1:25" ht="15" customHeight="1">
      <c r="A746" s="37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9"/>
    </row>
    <row r="747" spans="1:25" ht="15" customHeight="1">
      <c r="A747" s="37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9"/>
    </row>
    <row r="748" spans="1:25" ht="15" customHeight="1">
      <c r="A748" s="37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9"/>
    </row>
    <row r="749" spans="1:25" ht="15" customHeight="1">
      <c r="A749" s="37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9"/>
    </row>
    <row r="750" spans="1:25" ht="15" customHeight="1">
      <c r="A750" s="37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9"/>
    </row>
    <row r="751" spans="1:25" ht="15" customHeight="1">
      <c r="A751" s="37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9"/>
    </row>
    <row r="752" spans="1:25" ht="15" customHeight="1">
      <c r="A752" s="37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9"/>
    </row>
    <row r="753" spans="1:25" ht="15" customHeight="1">
      <c r="A753" s="37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9"/>
    </row>
    <row r="754" spans="1:25" ht="15" customHeight="1">
      <c r="A754" s="37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9"/>
    </row>
    <row r="755" spans="1:25" ht="15" customHeight="1">
      <c r="A755" s="37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9"/>
    </row>
    <row r="756" spans="1:25" ht="15" customHeight="1">
      <c r="A756" s="37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9"/>
    </row>
    <row r="757" spans="1:25" ht="15" customHeight="1">
      <c r="A757" s="37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9"/>
    </row>
    <row r="758" spans="1:25" ht="15" customHeight="1">
      <c r="A758" s="37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9"/>
    </row>
    <row r="759" spans="1:25" ht="15" customHeight="1">
      <c r="A759" s="37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9"/>
    </row>
    <row r="760" spans="1:25" ht="15" customHeight="1">
      <c r="A760" s="37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9"/>
    </row>
    <row r="761" spans="1:25" ht="15" customHeight="1">
      <c r="A761" s="37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9"/>
    </row>
    <row r="762" spans="1:25" ht="15" customHeight="1">
      <c r="A762" s="37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9"/>
    </row>
    <row r="763" spans="1:25" ht="15" customHeight="1">
      <c r="A763" s="37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9"/>
    </row>
    <row r="764" spans="1:25" ht="15" customHeight="1">
      <c r="A764" s="37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9"/>
    </row>
    <row r="765" spans="1:25" ht="15" customHeight="1">
      <c r="A765" s="37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9"/>
    </row>
    <row r="766" spans="1:25" ht="15" customHeight="1">
      <c r="A766" s="37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9"/>
    </row>
    <row r="767" spans="1:25" ht="15" customHeight="1">
      <c r="A767" s="37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9"/>
    </row>
    <row r="768" spans="1:25" ht="15" customHeight="1">
      <c r="A768" s="37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9"/>
    </row>
    <row r="769" spans="1:25" ht="15" customHeight="1">
      <c r="A769" s="37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9"/>
    </row>
    <row r="770" spans="1:25" ht="15" customHeight="1">
      <c r="A770" s="37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9"/>
    </row>
    <row r="771" spans="1:25" ht="15" customHeight="1">
      <c r="A771" s="37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9"/>
    </row>
    <row r="772" spans="1:25" ht="15" customHeight="1">
      <c r="A772" s="37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9"/>
    </row>
    <row r="773" spans="1:25" ht="15" customHeight="1">
      <c r="A773" s="37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9"/>
    </row>
    <row r="774" spans="1:25" ht="15" customHeight="1">
      <c r="A774" s="37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9"/>
    </row>
    <row r="775" spans="1:25" ht="15" customHeight="1">
      <c r="A775" s="37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9"/>
    </row>
    <row r="776" spans="1:25" ht="15" customHeight="1">
      <c r="A776" s="37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9"/>
    </row>
    <row r="777" spans="1:25" ht="15" customHeight="1">
      <c r="A777" s="37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9"/>
    </row>
    <row r="778" spans="1:25" ht="15" customHeight="1">
      <c r="A778" s="37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9"/>
    </row>
    <row r="779" spans="1:25" ht="15" customHeight="1">
      <c r="A779" s="37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9"/>
    </row>
    <row r="780" spans="1:25" ht="15" customHeight="1">
      <c r="A780" s="37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9"/>
    </row>
    <row r="781" spans="1:25" ht="15" customHeight="1">
      <c r="A781" s="37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9"/>
    </row>
    <row r="782" spans="1:25" ht="15" customHeight="1">
      <c r="A782" s="37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9"/>
    </row>
    <row r="783" spans="1:25" ht="15" customHeight="1">
      <c r="A783" s="37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9"/>
    </row>
    <row r="784" spans="1:25" ht="15" customHeight="1">
      <c r="A784" s="37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9"/>
    </row>
    <row r="785" spans="1:25" ht="15" customHeight="1">
      <c r="A785" s="37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9"/>
    </row>
    <row r="786" spans="1:25" ht="15" customHeight="1">
      <c r="A786" s="37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9"/>
    </row>
    <row r="787" spans="1:25" ht="15" customHeight="1">
      <c r="A787" s="37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9"/>
    </row>
    <row r="788" spans="1:25" ht="15" customHeight="1">
      <c r="A788" s="37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9"/>
    </row>
    <row r="789" spans="1:25" ht="15" customHeight="1">
      <c r="A789" s="37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9"/>
    </row>
    <row r="790" spans="1:25" ht="15" customHeight="1">
      <c r="A790" s="37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9"/>
    </row>
    <row r="791" spans="1:25" ht="15" customHeight="1">
      <c r="A791" s="37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9"/>
    </row>
    <row r="792" spans="1:25" ht="15" customHeight="1">
      <c r="A792" s="37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9"/>
    </row>
    <row r="793" spans="1:25" ht="15" customHeight="1">
      <c r="A793" s="37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9"/>
    </row>
    <row r="794" spans="1:25" ht="15" customHeight="1">
      <c r="A794" s="37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9"/>
    </row>
    <row r="795" spans="1:25" ht="15" customHeight="1">
      <c r="A795" s="37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9"/>
    </row>
    <row r="796" spans="1:25" ht="15" customHeight="1">
      <c r="A796" s="37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9"/>
    </row>
    <row r="797" spans="1:25" ht="15" customHeight="1">
      <c r="A797" s="37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9"/>
    </row>
    <row r="798" spans="1:25" ht="15" customHeight="1">
      <c r="A798" s="37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9"/>
    </row>
    <row r="799" spans="1:25" ht="15" customHeight="1">
      <c r="A799" s="37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9"/>
    </row>
    <row r="800" spans="1:25" ht="15" customHeight="1">
      <c r="A800" s="37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9"/>
    </row>
    <row r="801" spans="1:25" ht="15" customHeight="1">
      <c r="A801" s="37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9"/>
    </row>
    <row r="802" spans="1:25" ht="15" customHeight="1">
      <c r="A802" s="37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9"/>
    </row>
    <row r="803" spans="1:25" ht="15" customHeight="1">
      <c r="A803" s="37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9"/>
    </row>
    <row r="804" spans="1:25" ht="15" customHeight="1">
      <c r="A804" s="37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9"/>
    </row>
    <row r="805" spans="1:25" ht="15" customHeight="1">
      <c r="A805" s="37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9"/>
    </row>
    <row r="806" spans="1:25" ht="15" customHeight="1">
      <c r="A806" s="37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9"/>
    </row>
    <row r="807" spans="1:25" ht="15" customHeight="1">
      <c r="A807" s="37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9"/>
    </row>
    <row r="808" spans="1:25" ht="15" customHeight="1">
      <c r="A808" s="37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9"/>
    </row>
    <row r="809" spans="1:25" ht="15" customHeight="1">
      <c r="A809" s="37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9"/>
    </row>
    <row r="810" spans="1:25" ht="15" customHeight="1">
      <c r="A810" s="37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9"/>
    </row>
    <row r="811" spans="1:25" ht="15" customHeight="1">
      <c r="A811" s="37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9"/>
    </row>
    <row r="812" spans="1:25" ht="15" customHeight="1">
      <c r="A812" s="37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9"/>
    </row>
    <row r="813" spans="1:25" ht="15" customHeight="1">
      <c r="A813" s="37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9"/>
    </row>
    <row r="814" spans="1:25" ht="15" customHeight="1">
      <c r="A814" s="37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9"/>
    </row>
    <row r="815" spans="1:25" ht="15" customHeight="1">
      <c r="A815" s="37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9"/>
    </row>
    <row r="816" spans="1:25" ht="15" customHeight="1">
      <c r="A816" s="37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9"/>
    </row>
    <row r="817" spans="1:25" ht="15" customHeight="1">
      <c r="A817" s="37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9"/>
    </row>
    <row r="818" spans="1:25" ht="15" customHeight="1">
      <c r="A818" s="37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9"/>
    </row>
    <row r="819" spans="1:25" ht="15" customHeight="1">
      <c r="A819" s="37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9"/>
    </row>
    <row r="820" spans="1:25" ht="15" customHeight="1">
      <c r="A820" s="37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9"/>
    </row>
    <row r="821" spans="1:25" ht="15" customHeight="1">
      <c r="A821" s="37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9"/>
    </row>
    <row r="822" spans="1:25" ht="15" customHeight="1">
      <c r="A822" s="37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9"/>
    </row>
    <row r="823" spans="1:25" ht="15" customHeight="1">
      <c r="A823" s="37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9"/>
    </row>
    <row r="824" spans="1:25" ht="15" customHeight="1">
      <c r="A824" s="37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9"/>
    </row>
    <row r="825" spans="1:25" ht="15" customHeight="1">
      <c r="A825" s="37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9"/>
    </row>
    <row r="826" spans="1:25" ht="15" customHeight="1">
      <c r="A826" s="37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9"/>
    </row>
    <row r="827" spans="1:25" ht="15" customHeight="1">
      <c r="A827" s="37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9"/>
    </row>
    <row r="828" spans="1:25" ht="15" customHeight="1">
      <c r="A828" s="37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9"/>
    </row>
    <row r="829" spans="1:25" ht="15" customHeight="1">
      <c r="A829" s="37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9"/>
    </row>
    <row r="830" spans="1:25" ht="15" customHeight="1">
      <c r="A830" s="37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9"/>
    </row>
    <row r="831" spans="1:25" ht="15" customHeight="1">
      <c r="A831" s="37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9"/>
    </row>
    <row r="832" spans="1:25" ht="15" customHeight="1">
      <c r="A832" s="37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9"/>
    </row>
    <row r="833" spans="1:25" ht="15" customHeight="1">
      <c r="A833" s="37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9"/>
    </row>
    <row r="834" spans="1:25" ht="15" customHeight="1">
      <c r="A834" s="37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9"/>
    </row>
    <row r="835" spans="1:25" ht="15" customHeight="1">
      <c r="A835" s="37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9"/>
    </row>
    <row r="836" spans="1:25" ht="15" customHeight="1">
      <c r="A836" s="37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9"/>
    </row>
    <row r="837" spans="1:25" ht="15" customHeight="1">
      <c r="A837" s="37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9"/>
    </row>
    <row r="838" spans="1:25" ht="15" customHeight="1">
      <c r="A838" s="37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9"/>
    </row>
    <row r="839" spans="1:25" ht="15" customHeight="1">
      <c r="A839" s="37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9"/>
    </row>
    <row r="840" spans="1:25" ht="15" customHeight="1">
      <c r="A840" s="37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9"/>
    </row>
    <row r="841" spans="1:25" ht="15" customHeight="1">
      <c r="A841" s="37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9"/>
    </row>
    <row r="842" spans="1:25" ht="15" customHeight="1">
      <c r="A842" s="37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9"/>
    </row>
    <row r="843" spans="1:25" ht="15" customHeight="1">
      <c r="A843" s="37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9"/>
    </row>
    <row r="844" spans="1:25" ht="15" customHeight="1">
      <c r="A844" s="37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9"/>
    </row>
    <row r="845" spans="1:25" ht="15" customHeight="1">
      <c r="A845" s="37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9"/>
    </row>
    <row r="846" spans="1:25" ht="15" customHeight="1">
      <c r="A846" s="37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9"/>
    </row>
    <row r="847" spans="1:25" ht="15" customHeight="1">
      <c r="A847" s="37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9"/>
    </row>
    <row r="848" spans="1:25" ht="15" customHeight="1">
      <c r="A848" s="37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9"/>
    </row>
    <row r="849" spans="1:25" ht="15" customHeight="1">
      <c r="A849" s="37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9"/>
    </row>
    <row r="850" spans="1:25" ht="15" customHeight="1">
      <c r="A850" s="37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9"/>
    </row>
    <row r="851" spans="1:25" ht="15" customHeight="1">
      <c r="A851" s="37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9"/>
    </row>
    <row r="852" spans="1:25" ht="15" customHeight="1">
      <c r="A852" s="37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9"/>
    </row>
    <row r="853" spans="1:25" ht="15" customHeight="1">
      <c r="A853" s="37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9"/>
    </row>
    <row r="854" spans="1:25" ht="15" customHeight="1">
      <c r="A854" s="37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9"/>
    </row>
    <row r="855" spans="1:25" ht="15" customHeight="1">
      <c r="A855" s="37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9"/>
    </row>
    <row r="856" spans="1:25" ht="15" customHeight="1">
      <c r="A856" s="37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9"/>
    </row>
    <row r="857" spans="1:25" ht="15" customHeight="1">
      <c r="A857" s="37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9"/>
    </row>
    <row r="858" spans="1:25" ht="15" customHeight="1">
      <c r="A858" s="37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9"/>
    </row>
    <row r="859" spans="1:25" ht="15" customHeight="1">
      <c r="A859" s="37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9"/>
    </row>
    <row r="860" spans="1:25" ht="15" customHeight="1">
      <c r="A860" s="37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9"/>
    </row>
    <row r="861" spans="1:25" ht="15" customHeight="1">
      <c r="A861" s="37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9"/>
    </row>
    <row r="862" spans="1:25" ht="15" customHeight="1">
      <c r="A862" s="37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9"/>
    </row>
    <row r="863" spans="1:25" ht="15" customHeight="1">
      <c r="A863" s="37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9"/>
    </row>
    <row r="864" spans="1:25" ht="15" customHeight="1">
      <c r="A864" s="37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9"/>
    </row>
    <row r="865" spans="1:25" ht="15" customHeight="1">
      <c r="A865" s="37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9"/>
    </row>
    <row r="866" spans="1:25" ht="15" customHeight="1">
      <c r="A866" s="37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9"/>
    </row>
    <row r="867" spans="1:25" ht="15" customHeight="1">
      <c r="A867" s="37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9"/>
    </row>
    <row r="868" spans="1:25" ht="15" customHeight="1">
      <c r="A868" s="37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9"/>
    </row>
    <row r="869" spans="1:25" ht="15" customHeight="1">
      <c r="A869" s="37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9"/>
    </row>
    <row r="870" spans="1:25" ht="15" customHeight="1">
      <c r="A870" s="37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9"/>
    </row>
    <row r="871" spans="1:25" ht="15" customHeight="1">
      <c r="A871" s="37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9"/>
    </row>
    <row r="872" spans="1:25" ht="15" customHeight="1">
      <c r="A872" s="37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9"/>
    </row>
    <row r="873" spans="1:25" ht="15" customHeight="1">
      <c r="A873" s="37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9"/>
    </row>
    <row r="874" spans="1:25" ht="15" customHeight="1">
      <c r="A874" s="37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9"/>
    </row>
    <row r="875" spans="1:25" ht="15" customHeight="1">
      <c r="A875" s="37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9"/>
    </row>
    <row r="876" spans="1:25" ht="15" customHeight="1">
      <c r="A876" s="37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9"/>
    </row>
    <row r="877" spans="1:25" ht="15" customHeight="1">
      <c r="A877" s="37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9"/>
    </row>
    <row r="878" spans="1:25" ht="15" customHeight="1">
      <c r="A878" s="37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9"/>
    </row>
    <row r="879" spans="1:25" ht="15" customHeight="1">
      <c r="A879" s="37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9"/>
    </row>
    <row r="880" spans="1:25" ht="15" customHeight="1">
      <c r="A880" s="37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9"/>
    </row>
    <row r="881" spans="1:25" ht="15" customHeight="1">
      <c r="A881" s="37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9"/>
    </row>
    <row r="882" spans="1:25" ht="15" customHeight="1">
      <c r="A882" s="37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9"/>
    </row>
    <row r="883" spans="1:25" ht="15" customHeight="1">
      <c r="A883" s="37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9"/>
    </row>
    <row r="884" spans="1:25" ht="15" customHeight="1">
      <c r="A884" s="37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9"/>
    </row>
    <row r="885" spans="1:25" ht="15" customHeight="1">
      <c r="A885" s="37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9"/>
    </row>
    <row r="886" spans="1:25" ht="15" customHeight="1">
      <c r="A886" s="37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9"/>
    </row>
    <row r="887" spans="1:25" ht="15" customHeight="1">
      <c r="A887" s="37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9"/>
    </row>
    <row r="888" spans="1:25" ht="15" customHeight="1">
      <c r="A888" s="37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9"/>
    </row>
    <row r="889" spans="1:25" ht="15" customHeight="1">
      <c r="A889" s="37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9"/>
    </row>
    <row r="890" spans="1:25" ht="15" customHeight="1">
      <c r="A890" s="37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9"/>
    </row>
    <row r="891" spans="1:25" ht="15" customHeight="1">
      <c r="A891" s="37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9"/>
    </row>
    <row r="892" spans="1:25" ht="15" customHeight="1">
      <c r="A892" s="37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9"/>
    </row>
    <row r="893" spans="1:25" ht="15" customHeight="1">
      <c r="A893" s="37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9"/>
    </row>
    <row r="894" spans="1:25" ht="15" customHeight="1">
      <c r="A894" s="37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9"/>
    </row>
    <row r="895" spans="1:25" ht="15" customHeight="1">
      <c r="A895" s="37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9"/>
    </row>
    <row r="896" spans="1:25" ht="15" customHeight="1">
      <c r="A896" s="37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9"/>
    </row>
    <row r="897" spans="1:25" ht="15" customHeight="1">
      <c r="A897" s="37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9"/>
    </row>
    <row r="898" spans="1:25" ht="15" customHeight="1">
      <c r="A898" s="37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9"/>
    </row>
    <row r="899" spans="1:25" ht="15" customHeight="1">
      <c r="A899" s="37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9"/>
    </row>
    <row r="900" spans="1:25" ht="15" customHeight="1">
      <c r="A900" s="37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9"/>
    </row>
    <row r="901" spans="1:25" ht="15" customHeight="1">
      <c r="A901" s="37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9"/>
    </row>
    <row r="902" spans="1:25" ht="15" customHeight="1">
      <c r="A902" s="37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9"/>
    </row>
    <row r="903" spans="1:25" ht="15" customHeight="1">
      <c r="A903" s="37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9"/>
    </row>
    <row r="904" spans="1:25" ht="15" customHeight="1">
      <c r="A904" s="37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9"/>
    </row>
    <row r="905" spans="1:25" ht="15" customHeight="1">
      <c r="A905" s="37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9"/>
    </row>
    <row r="906" spans="1:25" ht="15" customHeight="1">
      <c r="A906" s="37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9"/>
    </row>
    <row r="907" spans="1:25" ht="15" customHeight="1">
      <c r="A907" s="37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9"/>
    </row>
    <row r="908" spans="1:25" ht="15" customHeight="1">
      <c r="A908" s="37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9"/>
    </row>
    <row r="909" spans="1:25" ht="15" customHeight="1">
      <c r="A909" s="37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9"/>
    </row>
    <row r="910" spans="1:25" ht="15" customHeight="1">
      <c r="A910" s="37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9"/>
    </row>
    <row r="911" spans="1:25" ht="15" customHeight="1">
      <c r="A911" s="37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9"/>
    </row>
    <row r="912" spans="1:25" ht="15" customHeight="1">
      <c r="A912" s="37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9"/>
    </row>
    <row r="913" spans="1:25" ht="15" customHeight="1">
      <c r="A913" s="37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9"/>
    </row>
    <row r="914" spans="1:25" ht="15" customHeight="1">
      <c r="A914" s="37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9"/>
    </row>
    <row r="915" spans="1:25" ht="15" customHeight="1">
      <c r="A915" s="37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9"/>
    </row>
    <row r="916" spans="1:25" ht="15" customHeight="1">
      <c r="A916" s="37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9"/>
    </row>
    <row r="917" spans="1:25" ht="15" customHeight="1">
      <c r="A917" s="37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9"/>
    </row>
    <row r="918" spans="1:25" ht="15" customHeight="1">
      <c r="A918" s="37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9"/>
    </row>
    <row r="919" spans="1:25" ht="15" customHeight="1">
      <c r="A919" s="37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9"/>
    </row>
    <row r="920" spans="1:25" ht="15" customHeight="1">
      <c r="A920" s="37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9"/>
    </row>
    <row r="921" spans="1:25" ht="15" customHeight="1">
      <c r="A921" s="37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9"/>
    </row>
    <row r="922" spans="1:25" ht="15" customHeight="1">
      <c r="A922" s="37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9"/>
    </row>
    <row r="923" spans="1:25" ht="15" customHeight="1">
      <c r="A923" s="37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9"/>
    </row>
    <row r="924" spans="1:25" ht="15" customHeight="1">
      <c r="A924" s="37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9"/>
    </row>
    <row r="925" spans="1:25" ht="15" customHeight="1">
      <c r="A925" s="37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9"/>
    </row>
    <row r="926" spans="1:25" ht="15" customHeight="1">
      <c r="A926" s="37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9"/>
    </row>
    <row r="927" spans="1:25" ht="15" customHeight="1">
      <c r="A927" s="37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9"/>
    </row>
    <row r="928" spans="1:25" ht="15" customHeight="1">
      <c r="A928" s="37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9"/>
    </row>
    <row r="929" spans="1:25" ht="15" customHeight="1">
      <c r="A929" s="37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9"/>
    </row>
    <row r="930" spans="1:25" ht="15" customHeight="1">
      <c r="A930" s="37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9"/>
    </row>
    <row r="931" spans="1:25" ht="15" customHeight="1">
      <c r="A931" s="37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9"/>
    </row>
    <row r="932" spans="1:25" ht="15" customHeight="1">
      <c r="A932" s="37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9"/>
    </row>
    <row r="933" spans="1:25" ht="15" customHeight="1">
      <c r="A933" s="37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9"/>
    </row>
    <row r="934" spans="1:25" ht="15" customHeight="1">
      <c r="A934" s="37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9"/>
    </row>
    <row r="935" spans="1:25" ht="15" customHeight="1">
      <c r="A935" s="37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9"/>
    </row>
    <row r="936" spans="1:25" ht="15" customHeight="1">
      <c r="A936" s="37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9"/>
    </row>
    <row r="937" spans="1:25" ht="15" customHeight="1">
      <c r="A937" s="37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9"/>
    </row>
    <row r="938" spans="1:25" ht="15" customHeight="1">
      <c r="A938" s="37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9"/>
    </row>
    <row r="939" spans="1:25" ht="15" customHeight="1">
      <c r="A939" s="37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9"/>
    </row>
    <row r="940" spans="1:25" ht="15" customHeight="1">
      <c r="A940" s="37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9"/>
    </row>
    <row r="941" spans="1:25" ht="15" customHeight="1">
      <c r="A941" s="37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9"/>
    </row>
    <row r="942" spans="1:25" ht="15" customHeight="1">
      <c r="A942" s="37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9"/>
    </row>
    <row r="943" spans="1:25" ht="15" customHeight="1">
      <c r="A943" s="37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9"/>
    </row>
    <row r="944" spans="1:25" ht="15" customHeight="1">
      <c r="A944" s="37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9"/>
    </row>
    <row r="945" spans="1:25" ht="15" customHeight="1">
      <c r="A945" s="37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9"/>
    </row>
    <row r="946" spans="1:25" ht="15" customHeight="1">
      <c r="A946" s="37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9"/>
    </row>
    <row r="947" spans="1:25" ht="15" customHeight="1">
      <c r="A947" s="37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9"/>
    </row>
    <row r="948" spans="1:25" ht="15" customHeight="1">
      <c r="A948" s="37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9"/>
    </row>
    <row r="949" spans="1:25" ht="15" customHeight="1">
      <c r="A949" s="37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9"/>
    </row>
    <row r="950" spans="1:25" ht="15" customHeight="1">
      <c r="A950" s="37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9"/>
    </row>
    <row r="951" spans="1:25" ht="15" customHeight="1">
      <c r="A951" s="37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9"/>
    </row>
    <row r="952" spans="1:25" ht="15" customHeight="1">
      <c r="A952" s="37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9"/>
    </row>
    <row r="953" spans="1:25" ht="15" customHeight="1">
      <c r="A953" s="37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9"/>
    </row>
    <row r="954" spans="1:25" ht="15" customHeight="1">
      <c r="A954" s="37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9"/>
    </row>
    <row r="955" spans="1:25" ht="15" customHeight="1">
      <c r="A955" s="37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9"/>
    </row>
    <row r="956" spans="1:25" ht="15" customHeight="1">
      <c r="A956" s="37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9"/>
    </row>
    <row r="957" spans="1:25" ht="15" customHeight="1">
      <c r="A957" s="37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9"/>
    </row>
    <row r="958" spans="1:25" ht="15" customHeight="1">
      <c r="A958" s="37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9"/>
    </row>
    <row r="959" spans="1:25" ht="15" customHeight="1">
      <c r="A959" s="37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9"/>
    </row>
    <row r="960" spans="1:25" ht="15" customHeight="1">
      <c r="A960" s="37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9"/>
    </row>
    <row r="961" spans="1:25" ht="15" customHeight="1">
      <c r="A961" s="37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9"/>
    </row>
    <row r="962" spans="1:25" ht="15" customHeight="1">
      <c r="A962" s="37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9"/>
    </row>
    <row r="963" spans="1:25" ht="15" customHeight="1">
      <c r="A963" s="37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9"/>
    </row>
    <row r="964" spans="1:25" ht="15" customHeight="1">
      <c r="A964" s="37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9"/>
    </row>
    <row r="965" spans="1:25" ht="15" customHeight="1">
      <c r="A965" s="37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9"/>
    </row>
    <row r="966" spans="1:25" ht="15" customHeight="1">
      <c r="A966" s="37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9"/>
    </row>
    <row r="967" spans="1:25" ht="15" customHeight="1">
      <c r="A967" s="37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9"/>
    </row>
    <row r="968" spans="1:25" ht="15" customHeight="1">
      <c r="A968" s="37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9"/>
    </row>
    <row r="969" spans="1:25" ht="15" customHeight="1">
      <c r="A969" s="37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9"/>
    </row>
    <row r="970" spans="1:25" ht="15" customHeight="1">
      <c r="A970" s="37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9"/>
    </row>
    <row r="971" spans="1:25" ht="15" customHeight="1">
      <c r="A971" s="37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9"/>
    </row>
    <row r="972" spans="1:25" ht="15" customHeight="1">
      <c r="A972" s="37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9"/>
    </row>
    <row r="973" spans="1:25" ht="15" customHeight="1">
      <c r="A973" s="37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9"/>
    </row>
    <row r="974" spans="1:25" ht="15" customHeight="1">
      <c r="A974" s="37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9"/>
    </row>
    <row r="975" spans="1:25" ht="15" customHeight="1">
      <c r="A975" s="37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9"/>
    </row>
    <row r="976" spans="1:25" ht="15" customHeight="1">
      <c r="A976" s="37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9"/>
    </row>
    <row r="977" spans="1:25" ht="15" customHeight="1">
      <c r="A977" s="37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9"/>
    </row>
    <row r="978" spans="1:25" ht="15" customHeight="1">
      <c r="A978" s="37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9"/>
    </row>
    <row r="979" spans="1:25" ht="15" customHeight="1">
      <c r="A979" s="37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9"/>
    </row>
    <row r="980" spans="1:25" ht="15" customHeight="1">
      <c r="A980" s="37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9"/>
    </row>
    <row r="981" spans="1:25" ht="15" customHeight="1">
      <c r="A981" s="37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9"/>
    </row>
    <row r="982" spans="1:25" ht="15" customHeight="1">
      <c r="A982" s="37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9"/>
    </row>
    <row r="983" spans="1:25" ht="15" customHeight="1">
      <c r="A983" s="37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9"/>
    </row>
    <row r="984" spans="1:25" ht="15" customHeight="1">
      <c r="A984" s="37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9"/>
    </row>
    <row r="985" spans="1:25" ht="15" customHeight="1">
      <c r="A985" s="37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9"/>
    </row>
    <row r="986" spans="1:25" ht="15" customHeight="1">
      <c r="A986" s="37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9"/>
    </row>
    <row r="987" spans="1:25" ht="15" customHeight="1">
      <c r="A987" s="37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9"/>
    </row>
    <row r="988" spans="1:25" ht="15" customHeight="1">
      <c r="A988" s="37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9"/>
    </row>
    <row r="989" spans="1:25" ht="15" customHeight="1">
      <c r="A989" s="37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9"/>
    </row>
    <row r="990" spans="1:25" ht="15" customHeight="1">
      <c r="A990" s="37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9"/>
    </row>
    <row r="991" spans="1:25" ht="15" customHeight="1">
      <c r="A991" s="37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9"/>
    </row>
    <row r="992" spans="1:25" ht="15" customHeight="1">
      <c r="A992" s="37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9"/>
    </row>
    <row r="993" spans="1:25" ht="15" customHeight="1">
      <c r="A993" s="37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9"/>
    </row>
    <row r="994" spans="1:25" ht="15" customHeight="1">
      <c r="A994" s="37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9"/>
    </row>
    <row r="995" spans="1:25" ht="15" customHeight="1">
      <c r="A995" s="37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9"/>
    </row>
    <row r="996" spans="1:25" ht="15" customHeight="1">
      <c r="A996" s="37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9"/>
    </row>
    <row r="997" spans="1:25" ht="15" customHeight="1">
      <c r="A997" s="37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9"/>
    </row>
    <row r="998" spans="1:25" ht="15" customHeight="1">
      <c r="A998" s="37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9"/>
    </row>
    <row r="999" spans="1:25" ht="15" customHeight="1">
      <c r="A999" s="37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9"/>
    </row>
    <row r="1000" spans="1:25" ht="15" customHeight="1">
      <c r="A1000" s="41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3"/>
      <c r="Y1000" s="44"/>
    </row>
  </sheetData>
  <autoFilter ref="A1:Y121" xr:uid="{987BF80B-FB87-EA4A-8A76-6B3C9EF260D5}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0DC55-A05B-4CF2-8CA1-D2390A9482FF}">
  <dimension ref="A1:T235"/>
  <sheetViews>
    <sheetView topLeftCell="E1" workbookViewId="0">
      <selection activeCell="Q2" sqref="Q2"/>
    </sheetView>
  </sheetViews>
  <sheetFormatPr defaultColWidth="14.42578125" defaultRowHeight="15" customHeight="1"/>
  <cols>
    <col min="1" max="1" width="12.85546875" bestFit="1" customWidth="1"/>
    <col min="2" max="2" width="14.85546875" bestFit="1" customWidth="1"/>
    <col min="3" max="3" width="38.85546875" bestFit="1" customWidth="1"/>
    <col min="4" max="7" width="38.85546875" customWidth="1"/>
    <col min="8" max="8" width="37.85546875" customWidth="1"/>
    <col min="9" max="19" width="8.7109375" customWidth="1"/>
    <col min="20" max="20" width="18.42578125" customWidth="1"/>
  </cols>
  <sheetData>
    <row r="1" spans="1:20" ht="29.1">
      <c r="A1" s="58" t="s">
        <v>121</v>
      </c>
      <c r="B1" s="58" t="s">
        <v>122</v>
      </c>
      <c r="C1" s="58"/>
      <c r="D1" s="58" t="s">
        <v>123</v>
      </c>
      <c r="E1" s="59" t="s">
        <v>124</v>
      </c>
      <c r="F1" s="58" t="s">
        <v>125</v>
      </c>
      <c r="G1" s="58" t="s">
        <v>333</v>
      </c>
      <c r="H1" s="58" t="s">
        <v>126</v>
      </c>
      <c r="I1" s="58" t="s">
        <v>127</v>
      </c>
      <c r="J1" s="58" t="s">
        <v>1023</v>
      </c>
      <c r="K1" s="58" t="s">
        <v>129</v>
      </c>
      <c r="L1" s="58" t="s">
        <v>335</v>
      </c>
      <c r="M1" s="58" t="s">
        <v>131</v>
      </c>
      <c r="N1" s="58" t="s">
        <v>336</v>
      </c>
      <c r="O1" s="58" t="s">
        <v>133</v>
      </c>
      <c r="P1" s="58" t="s">
        <v>134</v>
      </c>
      <c r="Q1" s="7"/>
      <c r="R1" s="7"/>
    </row>
    <row r="2" spans="1:20" ht="14.45">
      <c r="A2" s="59">
        <v>1</v>
      </c>
      <c r="B2" s="59">
        <v>20</v>
      </c>
      <c r="C2" s="60" t="s">
        <v>135</v>
      </c>
      <c r="D2" s="59" t="s">
        <v>136</v>
      </c>
      <c r="E2" s="59" t="s">
        <v>137</v>
      </c>
      <c r="F2" s="59" t="s">
        <v>138</v>
      </c>
      <c r="G2" s="59" t="s">
        <v>340</v>
      </c>
      <c r="H2" s="59" t="s">
        <v>348</v>
      </c>
      <c r="I2" s="59"/>
      <c r="J2" s="61">
        <v>1.6921296296296295E-2</v>
      </c>
      <c r="K2" s="61">
        <v>1.0254629629629628E-3</v>
      </c>
      <c r="L2" s="61">
        <v>4.1236111111111112E-2</v>
      </c>
      <c r="M2" s="61">
        <v>4.6527777777777784E-4</v>
      </c>
      <c r="N2" s="61">
        <v>2.5457175925925925E-2</v>
      </c>
      <c r="O2" s="61">
        <v>8.5107638888888892E-2</v>
      </c>
      <c r="P2" s="59"/>
      <c r="Q2" s="8">
        <f>IFERROR(ROUND($O$2/O2*1000,0),0)</f>
        <v>1000</v>
      </c>
      <c r="R2" s="14"/>
      <c r="S2" s="8"/>
      <c r="T2" s="8"/>
    </row>
    <row r="3" spans="1:20" ht="14.45">
      <c r="A3" s="59">
        <v>2</v>
      </c>
      <c r="B3" s="59">
        <v>30</v>
      </c>
      <c r="C3" s="60" t="s">
        <v>135</v>
      </c>
      <c r="D3" s="59" t="s">
        <v>354</v>
      </c>
      <c r="E3" s="59" t="s">
        <v>355</v>
      </c>
      <c r="F3" s="59" t="s">
        <v>356</v>
      </c>
      <c r="G3" s="59" t="s">
        <v>340</v>
      </c>
      <c r="H3" s="59" t="s">
        <v>357</v>
      </c>
      <c r="I3" s="59"/>
      <c r="J3" s="61">
        <v>1.6748842592592593E-2</v>
      </c>
      <c r="K3" s="61">
        <v>1.3993055555555555E-3</v>
      </c>
      <c r="L3" s="61">
        <v>4.3332175925925927E-2</v>
      </c>
      <c r="M3" s="61">
        <v>4.6527777777777784E-4</v>
      </c>
      <c r="N3" s="61">
        <v>2.6953703703703705E-2</v>
      </c>
      <c r="O3" s="61">
        <v>8.8901620370370374E-2</v>
      </c>
      <c r="P3" s="59" t="s">
        <v>2962</v>
      </c>
      <c r="Q3" s="8">
        <f t="shared" ref="Q3:Q62" si="0">IFERROR(ROUND($O$2/O3*1000,0),0)</f>
        <v>957</v>
      </c>
      <c r="R3" s="14"/>
      <c r="S3" s="8"/>
      <c r="T3" s="8"/>
    </row>
    <row r="4" spans="1:20" ht="14.45">
      <c r="A4" s="59">
        <v>3</v>
      </c>
      <c r="B4" s="59">
        <v>8</v>
      </c>
      <c r="C4" s="60" t="s">
        <v>135</v>
      </c>
      <c r="D4" s="59" t="s">
        <v>175</v>
      </c>
      <c r="E4" s="59" t="s">
        <v>176</v>
      </c>
      <c r="F4" s="59" t="s">
        <v>153</v>
      </c>
      <c r="G4" s="59" t="s">
        <v>340</v>
      </c>
      <c r="H4" s="59" t="s">
        <v>348</v>
      </c>
      <c r="I4" s="59"/>
      <c r="J4" s="61">
        <v>1.6148148148148148E-2</v>
      </c>
      <c r="K4" s="61">
        <v>1.0868055555555557E-3</v>
      </c>
      <c r="L4" s="61">
        <v>4.6956018518518522E-2</v>
      </c>
      <c r="M4" s="61">
        <v>5.5439814814814815E-4</v>
      </c>
      <c r="N4" s="61">
        <v>2.6964120370370367E-2</v>
      </c>
      <c r="O4" s="61">
        <v>9.1711805555555553E-2</v>
      </c>
      <c r="P4" s="59" t="s">
        <v>2963</v>
      </c>
      <c r="Q4" s="8">
        <f t="shared" si="0"/>
        <v>928</v>
      </c>
      <c r="R4" s="14"/>
      <c r="S4" s="8"/>
      <c r="T4" s="8"/>
    </row>
    <row r="5" spans="1:20" ht="14.45">
      <c r="A5" s="59">
        <v>4</v>
      </c>
      <c r="B5" s="59">
        <v>46</v>
      </c>
      <c r="C5" s="60" t="s">
        <v>135</v>
      </c>
      <c r="D5" s="59" t="s">
        <v>1035</v>
      </c>
      <c r="E5" s="59" t="s">
        <v>1036</v>
      </c>
      <c r="F5" s="59"/>
      <c r="G5" s="59" t="s">
        <v>340</v>
      </c>
      <c r="H5" s="59" t="s">
        <v>348</v>
      </c>
      <c r="I5" s="59">
        <v>1</v>
      </c>
      <c r="J5" s="61">
        <v>1.5136574074074073E-2</v>
      </c>
      <c r="K5" s="61">
        <v>1.1400462962962963E-3</v>
      </c>
      <c r="L5" s="61">
        <v>4.540162037037037E-2</v>
      </c>
      <c r="M5" s="61">
        <v>6.4814814814814813E-4</v>
      </c>
      <c r="N5" s="61">
        <v>2.9570601851851851E-2</v>
      </c>
      <c r="O5" s="61">
        <v>9.1898148148148145E-2</v>
      </c>
      <c r="P5" s="59" t="s">
        <v>2964</v>
      </c>
      <c r="Q5" s="8">
        <f t="shared" si="0"/>
        <v>926</v>
      </c>
      <c r="R5" s="14"/>
      <c r="S5" s="8"/>
      <c r="T5" s="8"/>
    </row>
    <row r="6" spans="1:20" ht="14.45">
      <c r="A6" s="59">
        <v>5</v>
      </c>
      <c r="B6" s="59">
        <v>16</v>
      </c>
      <c r="C6" s="60" t="s">
        <v>135</v>
      </c>
      <c r="D6" s="59" t="s">
        <v>184</v>
      </c>
      <c r="E6" s="59" t="s">
        <v>185</v>
      </c>
      <c r="F6" s="59" t="s">
        <v>148</v>
      </c>
      <c r="G6" s="59" t="s">
        <v>340</v>
      </c>
      <c r="H6" s="59" t="s">
        <v>344</v>
      </c>
      <c r="I6" s="59">
        <v>1</v>
      </c>
      <c r="J6" s="61">
        <v>1.777662037037037E-2</v>
      </c>
      <c r="K6" s="61">
        <v>1.4247685185185184E-3</v>
      </c>
      <c r="L6" s="61">
        <v>4.3407407407407408E-2</v>
      </c>
      <c r="M6" s="61">
        <v>5.9606481481481479E-4</v>
      </c>
      <c r="N6" s="61">
        <v>2.8748842592592593E-2</v>
      </c>
      <c r="O6" s="61">
        <v>9.1954861111111105E-2</v>
      </c>
      <c r="P6" s="59" t="s">
        <v>331</v>
      </c>
      <c r="Q6" s="8">
        <f t="shared" si="0"/>
        <v>926</v>
      </c>
      <c r="R6" s="14"/>
      <c r="S6" s="8"/>
      <c r="T6" s="8"/>
    </row>
    <row r="7" spans="1:20" ht="14.45">
      <c r="A7" s="59">
        <v>6</v>
      </c>
      <c r="B7" s="59">
        <v>55</v>
      </c>
      <c r="C7" s="60" t="s">
        <v>135</v>
      </c>
      <c r="D7" s="59" t="s">
        <v>1529</v>
      </c>
      <c r="E7" s="59" t="s">
        <v>1530</v>
      </c>
      <c r="F7" s="59"/>
      <c r="G7" s="59" t="s">
        <v>340</v>
      </c>
      <c r="H7" s="59" t="s">
        <v>348</v>
      </c>
      <c r="I7" s="59">
        <v>2</v>
      </c>
      <c r="J7" s="61">
        <v>1.869675925925926E-2</v>
      </c>
      <c r="K7" s="61">
        <v>1.4594907407407406E-3</v>
      </c>
      <c r="L7" s="61">
        <v>4.2675925925925923E-2</v>
      </c>
      <c r="M7" s="61">
        <v>6.134259259259259E-4</v>
      </c>
      <c r="N7" s="61">
        <v>2.9302083333333333E-2</v>
      </c>
      <c r="O7" s="61">
        <v>9.2748842592592598E-2</v>
      </c>
      <c r="P7" s="59" t="s">
        <v>2965</v>
      </c>
      <c r="Q7" s="8">
        <f t="shared" si="0"/>
        <v>918</v>
      </c>
      <c r="R7" s="14"/>
      <c r="S7" s="8"/>
      <c r="T7" s="8"/>
    </row>
    <row r="8" spans="1:20" ht="14.45">
      <c r="A8" s="59">
        <v>7</v>
      </c>
      <c r="B8" s="59">
        <v>47</v>
      </c>
      <c r="C8" s="60" t="s">
        <v>135</v>
      </c>
      <c r="D8" s="59" t="s">
        <v>1532</v>
      </c>
      <c r="E8" s="59" t="s">
        <v>1533</v>
      </c>
      <c r="F8" s="59"/>
      <c r="G8" s="59" t="s">
        <v>340</v>
      </c>
      <c r="H8" s="59" t="s">
        <v>348</v>
      </c>
      <c r="I8" s="59">
        <v>3</v>
      </c>
      <c r="J8" s="61">
        <v>1.8660879629629628E-2</v>
      </c>
      <c r="K8" s="61">
        <v>1.7499999999999998E-3</v>
      </c>
      <c r="L8" s="61">
        <v>4.394212962962963E-2</v>
      </c>
      <c r="M8" s="61">
        <v>9.5717592592592599E-4</v>
      </c>
      <c r="N8" s="61">
        <v>2.8998842592592593E-2</v>
      </c>
      <c r="O8" s="61">
        <v>9.4312500000000007E-2</v>
      </c>
      <c r="P8" s="59" t="s">
        <v>2966</v>
      </c>
      <c r="Q8" s="8">
        <f t="shared" si="0"/>
        <v>902</v>
      </c>
      <c r="R8" s="14"/>
      <c r="S8" s="8"/>
      <c r="T8" s="8"/>
    </row>
    <row r="9" spans="1:20" ht="14.45">
      <c r="A9" s="59">
        <v>8</v>
      </c>
      <c r="B9" s="59">
        <v>43</v>
      </c>
      <c r="C9" s="60" t="s">
        <v>135</v>
      </c>
      <c r="D9" s="59" t="s">
        <v>372</v>
      </c>
      <c r="E9" s="59" t="s">
        <v>373</v>
      </c>
      <c r="F9" s="59"/>
      <c r="G9" s="59" t="s">
        <v>340</v>
      </c>
      <c r="H9" s="59" t="s">
        <v>348</v>
      </c>
      <c r="I9" s="59">
        <v>4</v>
      </c>
      <c r="J9" s="61">
        <v>2.005324074074074E-2</v>
      </c>
      <c r="K9" s="61">
        <v>1.3749999999999999E-3</v>
      </c>
      <c r="L9" s="61">
        <v>4.3999999999999997E-2</v>
      </c>
      <c r="M9" s="61">
        <v>5.9953703703703699E-4</v>
      </c>
      <c r="N9" s="61">
        <v>2.9104166666666667E-2</v>
      </c>
      <c r="O9" s="61">
        <v>9.5134259259259266E-2</v>
      </c>
      <c r="P9" s="59" t="s">
        <v>2967</v>
      </c>
      <c r="Q9" s="8">
        <f t="shared" si="0"/>
        <v>895</v>
      </c>
      <c r="R9" s="14"/>
      <c r="S9" s="8"/>
      <c r="T9" s="8"/>
    </row>
    <row r="10" spans="1:20" ht="14.45">
      <c r="A10" s="59">
        <v>9</v>
      </c>
      <c r="B10" s="59">
        <v>28</v>
      </c>
      <c r="C10" s="60" t="s">
        <v>135</v>
      </c>
      <c r="D10" s="59" t="s">
        <v>432</v>
      </c>
      <c r="E10" s="59" t="s">
        <v>433</v>
      </c>
      <c r="F10" s="59" t="s">
        <v>434</v>
      </c>
      <c r="G10" s="59" t="s">
        <v>340</v>
      </c>
      <c r="H10" s="59" t="s">
        <v>352</v>
      </c>
      <c r="I10" s="59">
        <v>1</v>
      </c>
      <c r="J10" s="61">
        <v>1.8490740740740738E-2</v>
      </c>
      <c r="K10" s="61">
        <v>1.4837962962962962E-3</v>
      </c>
      <c r="L10" s="61">
        <v>4.6461805555555555E-2</v>
      </c>
      <c r="M10" s="61">
        <v>5.5555555555555556E-4</v>
      </c>
      <c r="N10" s="61">
        <v>2.8260416666666663E-2</v>
      </c>
      <c r="O10" s="61">
        <v>9.5253472222222219E-2</v>
      </c>
      <c r="P10" s="59" t="s">
        <v>2353</v>
      </c>
      <c r="Q10" s="8">
        <f t="shared" si="0"/>
        <v>893</v>
      </c>
      <c r="R10" s="14"/>
      <c r="S10" s="8"/>
      <c r="T10" s="8"/>
    </row>
    <row r="11" spans="1:20" ht="14.45">
      <c r="A11" s="59">
        <v>10</v>
      </c>
      <c r="B11" s="59">
        <v>13</v>
      </c>
      <c r="C11" s="60" t="s">
        <v>135</v>
      </c>
      <c r="D11" s="59" t="s">
        <v>386</v>
      </c>
      <c r="E11" s="59" t="s">
        <v>387</v>
      </c>
      <c r="F11" s="59"/>
      <c r="G11" s="59" t="s">
        <v>340</v>
      </c>
      <c r="H11" s="59" t="s">
        <v>344</v>
      </c>
      <c r="I11" s="59">
        <v>2</v>
      </c>
      <c r="J11" s="61">
        <v>1.8699074074074073E-2</v>
      </c>
      <c r="K11" s="61">
        <v>1.3148148148148147E-3</v>
      </c>
      <c r="L11" s="61">
        <v>4.5247685185185189E-2</v>
      </c>
      <c r="M11" s="61">
        <v>2.8703703703703703E-4</v>
      </c>
      <c r="N11" s="61">
        <v>3.0293981481481484E-2</v>
      </c>
      <c r="O11" s="61">
        <v>9.5843749999999991E-2</v>
      </c>
      <c r="P11" s="59" t="s">
        <v>2968</v>
      </c>
      <c r="Q11" s="8">
        <f t="shared" si="0"/>
        <v>888</v>
      </c>
      <c r="R11" s="14"/>
      <c r="S11" s="8"/>
      <c r="T11" s="8"/>
    </row>
    <row r="12" spans="1:20" ht="14.45">
      <c r="A12" s="59">
        <v>11</v>
      </c>
      <c r="B12" s="59">
        <v>23</v>
      </c>
      <c r="C12" s="60" t="s">
        <v>135</v>
      </c>
      <c r="D12" s="59" t="s">
        <v>2740</v>
      </c>
      <c r="E12" s="59" t="s">
        <v>2969</v>
      </c>
      <c r="F12" s="59"/>
      <c r="G12" s="59" t="s">
        <v>340</v>
      </c>
      <c r="H12" s="59" t="s">
        <v>341</v>
      </c>
      <c r="I12" s="59">
        <v>1</v>
      </c>
      <c r="J12" s="61">
        <v>1.8765046296296297E-2</v>
      </c>
      <c r="K12" s="61">
        <v>1.3506944444444445E-3</v>
      </c>
      <c r="L12" s="61">
        <v>4.6587962962962963E-2</v>
      </c>
      <c r="M12" s="61">
        <v>4.4212962962962966E-4</v>
      </c>
      <c r="N12" s="61">
        <v>3.0524305555555558E-2</v>
      </c>
      <c r="O12" s="61">
        <v>9.7673611111111114E-2</v>
      </c>
      <c r="P12" s="59" t="s">
        <v>2970</v>
      </c>
      <c r="Q12" s="8">
        <f t="shared" si="0"/>
        <v>871</v>
      </c>
      <c r="R12" s="14"/>
      <c r="S12" s="8"/>
      <c r="T12" s="8"/>
    </row>
    <row r="13" spans="1:20" ht="14.45">
      <c r="A13" s="59">
        <v>12</v>
      </c>
      <c r="B13" s="59">
        <v>4</v>
      </c>
      <c r="C13" s="60" t="s">
        <v>135</v>
      </c>
      <c r="D13" s="59" t="s">
        <v>425</v>
      </c>
      <c r="E13" s="59" t="s">
        <v>426</v>
      </c>
      <c r="F13" s="59"/>
      <c r="G13" s="59" t="s">
        <v>340</v>
      </c>
      <c r="H13" s="59" t="s">
        <v>348</v>
      </c>
      <c r="I13" s="59">
        <v>5</v>
      </c>
      <c r="J13" s="61">
        <v>2.1974537037037035E-2</v>
      </c>
      <c r="K13" s="61">
        <v>1.6168981481481481E-3</v>
      </c>
      <c r="L13" s="61">
        <v>4.6129629629629632E-2</v>
      </c>
      <c r="M13" s="61">
        <v>6.3425925925925922E-4</v>
      </c>
      <c r="N13" s="61">
        <v>2.8549768518518516E-2</v>
      </c>
      <c r="O13" s="61">
        <v>9.8906250000000001E-2</v>
      </c>
      <c r="P13" s="59" t="s">
        <v>2971</v>
      </c>
      <c r="Q13" s="8">
        <f t="shared" si="0"/>
        <v>860</v>
      </c>
      <c r="R13" s="14"/>
      <c r="S13" s="8"/>
      <c r="T13" s="8"/>
    </row>
    <row r="14" spans="1:20" ht="14.45">
      <c r="A14" s="59">
        <v>13</v>
      </c>
      <c r="B14" s="59">
        <v>12</v>
      </c>
      <c r="C14" s="60" t="s">
        <v>135</v>
      </c>
      <c r="D14" s="59" t="s">
        <v>445</v>
      </c>
      <c r="E14" s="59" t="s">
        <v>446</v>
      </c>
      <c r="F14" s="59" t="s">
        <v>189</v>
      </c>
      <c r="G14" s="59" t="s">
        <v>340</v>
      </c>
      <c r="H14" s="59" t="s">
        <v>352</v>
      </c>
      <c r="I14" s="59">
        <v>2</v>
      </c>
      <c r="J14" s="61">
        <v>1.8322916666666664E-2</v>
      </c>
      <c r="K14" s="61">
        <v>1.7476851851851852E-3</v>
      </c>
      <c r="L14" s="61">
        <v>4.7355324074074077E-2</v>
      </c>
      <c r="M14" s="61">
        <v>4.0046296296296298E-4</v>
      </c>
      <c r="N14" s="61">
        <v>3.2366898148148152E-2</v>
      </c>
      <c r="O14" s="61">
        <v>0.10019444444444443</v>
      </c>
      <c r="P14" s="59" t="s">
        <v>2972</v>
      </c>
      <c r="Q14" s="8">
        <f t="shared" si="0"/>
        <v>849</v>
      </c>
      <c r="R14" s="14"/>
      <c r="S14" s="8"/>
      <c r="T14" s="8"/>
    </row>
    <row r="15" spans="1:20" ht="14.45">
      <c r="A15" s="59">
        <v>14</v>
      </c>
      <c r="B15" s="59">
        <v>27</v>
      </c>
      <c r="C15" s="60" t="s">
        <v>135</v>
      </c>
      <c r="D15" s="59" t="s">
        <v>486</v>
      </c>
      <c r="E15" s="59" t="s">
        <v>487</v>
      </c>
      <c r="F15" s="59" t="s">
        <v>173</v>
      </c>
      <c r="G15" s="59" t="s">
        <v>340</v>
      </c>
      <c r="H15" s="59" t="s">
        <v>420</v>
      </c>
      <c r="I15" s="59">
        <v>1</v>
      </c>
      <c r="J15" s="61">
        <v>1.9350694444444445E-2</v>
      </c>
      <c r="K15" s="61">
        <v>1.8020833333333333E-3</v>
      </c>
      <c r="L15" s="61">
        <v>4.5703703703703705E-2</v>
      </c>
      <c r="M15" s="61">
        <v>6.111111111111111E-4</v>
      </c>
      <c r="N15" s="61">
        <v>3.2763888888888891E-2</v>
      </c>
      <c r="O15" s="61">
        <v>0.10023495370370369</v>
      </c>
      <c r="P15" s="59" t="s">
        <v>2973</v>
      </c>
      <c r="Q15" s="8">
        <f t="shared" si="0"/>
        <v>849</v>
      </c>
      <c r="R15" s="14"/>
      <c r="S15" s="8"/>
      <c r="T15" s="8"/>
    </row>
    <row r="16" spans="1:20" ht="14.45">
      <c r="A16" s="59">
        <v>15</v>
      </c>
      <c r="B16" s="59">
        <v>24</v>
      </c>
      <c r="C16" s="60" t="s">
        <v>135</v>
      </c>
      <c r="D16" s="59" t="s">
        <v>1536</v>
      </c>
      <c r="E16" s="59" t="s">
        <v>1537</v>
      </c>
      <c r="F16" s="59" t="s">
        <v>199</v>
      </c>
      <c r="G16" s="59" t="s">
        <v>340</v>
      </c>
      <c r="H16" s="59" t="s">
        <v>344</v>
      </c>
      <c r="I16" s="59">
        <v>3</v>
      </c>
      <c r="J16" s="61">
        <v>2.0274305555555556E-2</v>
      </c>
      <c r="K16" s="61">
        <v>1.784722222222222E-3</v>
      </c>
      <c r="L16" s="61">
        <v>4.8740740740740737E-2</v>
      </c>
      <c r="M16" s="61">
        <v>6.8634259259259256E-4</v>
      </c>
      <c r="N16" s="61">
        <v>2.8824074074074075E-2</v>
      </c>
      <c r="O16" s="61">
        <v>0.1003125</v>
      </c>
      <c r="P16" s="59" t="s">
        <v>2974</v>
      </c>
      <c r="Q16" s="8">
        <f t="shared" si="0"/>
        <v>848</v>
      </c>
      <c r="R16" s="14"/>
      <c r="S16" s="8"/>
      <c r="T16" s="8"/>
    </row>
    <row r="17" spans="1:20" ht="14.45">
      <c r="A17" s="59">
        <v>16</v>
      </c>
      <c r="B17" s="59">
        <v>39</v>
      </c>
      <c r="C17" s="60" t="s">
        <v>135</v>
      </c>
      <c r="D17" s="59" t="s">
        <v>233</v>
      </c>
      <c r="E17" s="59" t="s">
        <v>234</v>
      </c>
      <c r="F17" s="59" t="s">
        <v>199</v>
      </c>
      <c r="G17" s="59" t="s">
        <v>340</v>
      </c>
      <c r="H17" s="59" t="s">
        <v>352</v>
      </c>
      <c r="I17" s="59">
        <v>3</v>
      </c>
      <c r="J17" s="61">
        <v>2.0204861111111111E-2</v>
      </c>
      <c r="K17" s="61">
        <v>1.8935185185185186E-3</v>
      </c>
      <c r="L17" s="61">
        <v>4.8659722222222222E-2</v>
      </c>
      <c r="M17" s="61">
        <v>4.803240740740741E-4</v>
      </c>
      <c r="N17" s="61">
        <v>3.209027777777778E-2</v>
      </c>
      <c r="O17" s="61">
        <v>0.10332986111111112</v>
      </c>
      <c r="P17" s="59" t="s">
        <v>2975</v>
      </c>
      <c r="Q17" s="8">
        <f t="shared" si="0"/>
        <v>824</v>
      </c>
      <c r="R17" s="14"/>
      <c r="S17" s="8"/>
      <c r="T17" s="8"/>
    </row>
    <row r="18" spans="1:20" ht="14.45">
      <c r="A18" s="59">
        <v>17</v>
      </c>
      <c r="B18" s="59">
        <v>14</v>
      </c>
      <c r="C18" s="60" t="s">
        <v>135</v>
      </c>
      <c r="D18" s="59" t="s">
        <v>436</v>
      </c>
      <c r="E18" s="59" t="s">
        <v>437</v>
      </c>
      <c r="F18" s="59" t="s">
        <v>173</v>
      </c>
      <c r="G18" s="59" t="s">
        <v>340</v>
      </c>
      <c r="H18" s="59" t="s">
        <v>341</v>
      </c>
      <c r="I18" s="59">
        <v>2</v>
      </c>
      <c r="J18" s="61">
        <v>2.1476851851851851E-2</v>
      </c>
      <c r="K18" s="61">
        <v>1.1851851851851852E-3</v>
      </c>
      <c r="L18" s="61">
        <v>4.9012731481481477E-2</v>
      </c>
      <c r="M18" s="61">
        <v>3.1944444444444446E-4</v>
      </c>
      <c r="N18" s="61">
        <v>3.1428240740740743E-2</v>
      </c>
      <c r="O18" s="61">
        <v>0.10342592592592592</v>
      </c>
      <c r="P18" s="59" t="s">
        <v>2976</v>
      </c>
      <c r="Q18" s="8">
        <f t="shared" si="0"/>
        <v>823</v>
      </c>
      <c r="R18" s="14"/>
      <c r="S18" s="8"/>
      <c r="T18" s="8"/>
    </row>
    <row r="19" spans="1:20" ht="14.45">
      <c r="A19" s="59">
        <v>18</v>
      </c>
      <c r="B19" s="59">
        <v>15</v>
      </c>
      <c r="C19" s="60" t="s">
        <v>135</v>
      </c>
      <c r="D19" s="59" t="s">
        <v>523</v>
      </c>
      <c r="E19" s="59" t="s">
        <v>524</v>
      </c>
      <c r="F19" s="59"/>
      <c r="G19" s="59" t="s">
        <v>340</v>
      </c>
      <c r="H19" s="59" t="s">
        <v>348</v>
      </c>
      <c r="I19" s="59">
        <v>6</v>
      </c>
      <c r="J19" s="61">
        <v>1.8642361111111113E-2</v>
      </c>
      <c r="K19" s="61">
        <v>1.7488425925925924E-3</v>
      </c>
      <c r="L19" s="61">
        <v>4.9993055555555554E-2</v>
      </c>
      <c r="M19" s="61">
        <v>7.2222222222222219E-4</v>
      </c>
      <c r="N19" s="61">
        <v>3.2378472222222225E-2</v>
      </c>
      <c r="O19" s="61">
        <v>0.10348842592592593</v>
      </c>
      <c r="P19" s="59" t="s">
        <v>2977</v>
      </c>
      <c r="Q19" s="8">
        <f t="shared" si="0"/>
        <v>822</v>
      </c>
      <c r="R19" s="14"/>
      <c r="S19" s="8"/>
      <c r="T19" s="8"/>
    </row>
    <row r="20" spans="1:20" ht="14.45">
      <c r="A20" s="59">
        <v>19</v>
      </c>
      <c r="B20" s="59">
        <v>54</v>
      </c>
      <c r="C20" s="60" t="s">
        <v>135</v>
      </c>
      <c r="D20" s="59" t="s">
        <v>2978</v>
      </c>
      <c r="E20" s="59" t="s">
        <v>2979</v>
      </c>
      <c r="F20" s="59" t="s">
        <v>199</v>
      </c>
      <c r="G20" s="59" t="s">
        <v>340</v>
      </c>
      <c r="H20" s="59" t="s">
        <v>344</v>
      </c>
      <c r="I20" s="59">
        <v>4</v>
      </c>
      <c r="J20" s="61">
        <v>2.1415509259259259E-2</v>
      </c>
      <c r="K20" s="61">
        <v>2.1562500000000002E-3</v>
      </c>
      <c r="L20" s="61">
        <v>4.8576388888888891E-2</v>
      </c>
      <c r="M20" s="61">
        <v>8.2638888888888898E-4</v>
      </c>
      <c r="N20" s="61">
        <v>3.2210648148148148E-2</v>
      </c>
      <c r="O20" s="61">
        <v>0.1051886574074074</v>
      </c>
      <c r="P20" s="59" t="s">
        <v>2980</v>
      </c>
      <c r="Q20" s="8">
        <f t="shared" si="0"/>
        <v>809</v>
      </c>
      <c r="R20" s="14"/>
      <c r="S20" s="8"/>
      <c r="T20" s="8"/>
    </row>
    <row r="21" spans="1:20" ht="15.75" customHeight="1">
      <c r="A21" s="59">
        <v>20</v>
      </c>
      <c r="B21" s="59">
        <v>61</v>
      </c>
      <c r="C21" s="60" t="s">
        <v>135</v>
      </c>
      <c r="D21" s="59" t="s">
        <v>2981</v>
      </c>
      <c r="E21" s="59" t="s">
        <v>2982</v>
      </c>
      <c r="F21" s="59"/>
      <c r="G21" s="59" t="s">
        <v>340</v>
      </c>
      <c r="H21" s="59" t="s">
        <v>341</v>
      </c>
      <c r="I21" s="59">
        <v>3</v>
      </c>
      <c r="J21" s="61">
        <v>2.3839120370370368E-2</v>
      </c>
      <c r="K21" s="61">
        <v>1.5081018518518521E-3</v>
      </c>
      <c r="L21" s="61">
        <v>4.8784722222222222E-2</v>
      </c>
      <c r="M21" s="61">
        <v>7.0138888888888887E-4</v>
      </c>
      <c r="N21" s="61">
        <v>3.1393518518518522E-2</v>
      </c>
      <c r="O21" s="61">
        <v>0.10622916666666668</v>
      </c>
      <c r="P21" s="59" t="s">
        <v>2983</v>
      </c>
      <c r="Q21" s="8">
        <f t="shared" si="0"/>
        <v>801</v>
      </c>
      <c r="R21" s="14"/>
      <c r="S21" s="8"/>
      <c r="T21" s="8"/>
    </row>
    <row r="22" spans="1:20" ht="15.75" customHeight="1">
      <c r="A22" s="59">
        <v>21</v>
      </c>
      <c r="B22" s="59">
        <v>7</v>
      </c>
      <c r="C22" s="60" t="s">
        <v>135</v>
      </c>
      <c r="D22" s="59" t="s">
        <v>477</v>
      </c>
      <c r="E22" s="59" t="s">
        <v>478</v>
      </c>
      <c r="F22" s="59"/>
      <c r="G22" s="59" t="s">
        <v>340</v>
      </c>
      <c r="H22" s="59" t="s">
        <v>357</v>
      </c>
      <c r="I22" s="59">
        <v>1</v>
      </c>
      <c r="J22" s="61">
        <v>2.1587962962962965E-2</v>
      </c>
      <c r="K22" s="61">
        <v>1.6180555555555557E-3</v>
      </c>
      <c r="L22" s="61">
        <v>4.6262731481481481E-2</v>
      </c>
      <c r="M22" s="61">
        <v>6.9328703703703707E-4</v>
      </c>
      <c r="N22" s="61">
        <v>3.6156250000000001E-2</v>
      </c>
      <c r="O22" s="61">
        <v>0.10632060185185185</v>
      </c>
      <c r="P22" s="59" t="s">
        <v>2225</v>
      </c>
      <c r="Q22" s="8">
        <f t="shared" si="0"/>
        <v>800</v>
      </c>
      <c r="R22" s="14"/>
      <c r="S22" s="8"/>
      <c r="T22" s="8"/>
    </row>
    <row r="23" spans="1:20" ht="15.75" customHeight="1">
      <c r="A23" s="59">
        <v>22</v>
      </c>
      <c r="B23" s="59">
        <v>19</v>
      </c>
      <c r="C23" s="60" t="s">
        <v>135</v>
      </c>
      <c r="D23" s="59" t="s">
        <v>2984</v>
      </c>
      <c r="E23" s="59" t="s">
        <v>2985</v>
      </c>
      <c r="F23" s="59" t="s">
        <v>138</v>
      </c>
      <c r="G23" s="59" t="s">
        <v>340</v>
      </c>
      <c r="H23" s="59" t="s">
        <v>341</v>
      </c>
      <c r="I23" s="59">
        <v>4</v>
      </c>
      <c r="J23" s="61">
        <v>2.2254629629629628E-2</v>
      </c>
      <c r="K23" s="61">
        <v>2.259259259259259E-3</v>
      </c>
      <c r="L23" s="61">
        <v>5.1009259259259254E-2</v>
      </c>
      <c r="M23" s="61">
        <v>7.1759259259259259E-4</v>
      </c>
      <c r="N23" s="61">
        <v>3.1781250000000004E-2</v>
      </c>
      <c r="O23" s="61">
        <v>0.10802430555555555</v>
      </c>
      <c r="P23" s="59" t="s">
        <v>2986</v>
      </c>
      <c r="Q23" s="8">
        <f t="shared" si="0"/>
        <v>788</v>
      </c>
      <c r="R23" s="14"/>
      <c r="S23" s="8"/>
      <c r="T23" s="8"/>
    </row>
    <row r="24" spans="1:20" ht="15.75" customHeight="1">
      <c r="A24" s="59">
        <v>23</v>
      </c>
      <c r="B24" s="59">
        <v>51</v>
      </c>
      <c r="C24" s="60" t="s">
        <v>135</v>
      </c>
      <c r="D24" s="59" t="s">
        <v>290</v>
      </c>
      <c r="E24" s="59" t="s">
        <v>291</v>
      </c>
      <c r="F24" s="59"/>
      <c r="G24" s="59" t="s">
        <v>340</v>
      </c>
      <c r="H24" s="59" t="s">
        <v>344</v>
      </c>
      <c r="I24" s="59">
        <v>5</v>
      </c>
      <c r="J24" s="61">
        <v>2.3310185185185184E-2</v>
      </c>
      <c r="K24" s="61">
        <v>2.0879629629629629E-3</v>
      </c>
      <c r="L24" s="61">
        <v>5.0646990740740735E-2</v>
      </c>
      <c r="M24" s="61">
        <v>8.0671296296296296E-4</v>
      </c>
      <c r="N24" s="61">
        <v>3.1410879629629629E-2</v>
      </c>
      <c r="O24" s="61">
        <v>0.1082650462962963</v>
      </c>
      <c r="P24" s="59" t="s">
        <v>2987</v>
      </c>
      <c r="Q24" s="8">
        <f t="shared" si="0"/>
        <v>786</v>
      </c>
      <c r="R24" s="14"/>
      <c r="S24" s="8"/>
      <c r="T24" s="8"/>
    </row>
    <row r="25" spans="1:20" ht="15.75" customHeight="1">
      <c r="A25" s="59">
        <v>24</v>
      </c>
      <c r="B25" s="59">
        <v>37</v>
      </c>
      <c r="C25" s="60" t="s">
        <v>135</v>
      </c>
      <c r="D25" s="59" t="s">
        <v>2105</v>
      </c>
      <c r="E25" s="59" t="s">
        <v>2106</v>
      </c>
      <c r="F25" s="59" t="s">
        <v>1808</v>
      </c>
      <c r="G25" s="59" t="s">
        <v>340</v>
      </c>
      <c r="H25" s="59" t="s">
        <v>344</v>
      </c>
      <c r="I25" s="59">
        <v>6</v>
      </c>
      <c r="J25" s="61">
        <v>2.6210648148148146E-2</v>
      </c>
      <c r="K25" s="61">
        <v>1.8136574074074073E-3</v>
      </c>
      <c r="L25" s="61">
        <v>4.9479166666666664E-2</v>
      </c>
      <c r="M25" s="61">
        <v>6.9675925925925927E-4</v>
      </c>
      <c r="N25" s="61">
        <v>3.0358796296296297E-2</v>
      </c>
      <c r="O25" s="61">
        <v>0.10856018518518519</v>
      </c>
      <c r="P25" s="59" t="s">
        <v>2988</v>
      </c>
      <c r="Q25" s="8">
        <f t="shared" si="0"/>
        <v>784</v>
      </c>
      <c r="R25" s="14"/>
      <c r="S25" s="8"/>
      <c r="T25" s="8"/>
    </row>
    <row r="26" spans="1:20" ht="15.75" customHeight="1">
      <c r="A26" s="59">
        <v>25</v>
      </c>
      <c r="B26" s="59">
        <v>18</v>
      </c>
      <c r="C26" s="60" t="s">
        <v>135</v>
      </c>
      <c r="D26" s="59" t="s">
        <v>2989</v>
      </c>
      <c r="E26" s="59" t="s">
        <v>2990</v>
      </c>
      <c r="F26" s="59" t="s">
        <v>2426</v>
      </c>
      <c r="G26" s="59" t="s">
        <v>340</v>
      </c>
      <c r="H26" s="59" t="s">
        <v>344</v>
      </c>
      <c r="I26" s="59">
        <v>7</v>
      </c>
      <c r="J26" s="61">
        <v>2.1795138888888888E-2</v>
      </c>
      <c r="K26" s="61">
        <v>1.912037037037037E-3</v>
      </c>
      <c r="L26" s="61">
        <v>5.2619212962962965E-2</v>
      </c>
      <c r="M26" s="61">
        <v>4.826388888888889E-4</v>
      </c>
      <c r="N26" s="61">
        <v>3.2099537037037038E-2</v>
      </c>
      <c r="O26" s="61">
        <v>0.10891087962962963</v>
      </c>
      <c r="P26" s="59" t="s">
        <v>2991</v>
      </c>
      <c r="Q26" s="8">
        <f t="shared" si="0"/>
        <v>781</v>
      </c>
      <c r="R26" s="14"/>
      <c r="S26" s="8"/>
      <c r="T26" s="8"/>
    </row>
    <row r="27" spans="1:20" ht="15.75" customHeight="1">
      <c r="A27" s="59">
        <v>26</v>
      </c>
      <c r="B27" s="59">
        <v>9</v>
      </c>
      <c r="C27" s="60" t="s">
        <v>135</v>
      </c>
      <c r="D27" s="59" t="s">
        <v>1123</v>
      </c>
      <c r="E27" s="59" t="s">
        <v>1124</v>
      </c>
      <c r="F27" s="59" t="s">
        <v>1125</v>
      </c>
      <c r="G27" s="59" t="s">
        <v>340</v>
      </c>
      <c r="H27" s="59" t="s">
        <v>641</v>
      </c>
      <c r="I27" s="59">
        <v>1</v>
      </c>
      <c r="J27" s="61">
        <v>1.8456018518518517E-2</v>
      </c>
      <c r="K27" s="61">
        <v>1.21875E-3</v>
      </c>
      <c r="L27" s="61">
        <v>5.5701388888888891E-2</v>
      </c>
      <c r="M27" s="61">
        <v>5.7175925925925927E-4</v>
      </c>
      <c r="N27" s="61">
        <v>3.3317129629629627E-2</v>
      </c>
      <c r="O27" s="61">
        <v>0.10926620370370371</v>
      </c>
      <c r="P27" s="59" t="s">
        <v>2992</v>
      </c>
      <c r="Q27" s="8">
        <f t="shared" si="0"/>
        <v>779</v>
      </c>
      <c r="R27" s="14"/>
      <c r="S27" s="8"/>
      <c r="T27" s="8"/>
    </row>
    <row r="28" spans="1:20" ht="15.75" customHeight="1">
      <c r="A28" s="59">
        <v>27</v>
      </c>
      <c r="B28" s="59">
        <v>29</v>
      </c>
      <c r="C28" s="60" t="s">
        <v>135</v>
      </c>
      <c r="D28" s="59" t="s">
        <v>274</v>
      </c>
      <c r="E28" s="59" t="s">
        <v>275</v>
      </c>
      <c r="F28" s="59" t="s">
        <v>138</v>
      </c>
      <c r="G28" s="59" t="s">
        <v>340</v>
      </c>
      <c r="H28" s="59" t="s">
        <v>420</v>
      </c>
      <c r="I28" s="59">
        <v>2</v>
      </c>
      <c r="J28" s="61">
        <v>2.1212962962962961E-2</v>
      </c>
      <c r="K28" s="61">
        <v>1.7256944444444444E-3</v>
      </c>
      <c r="L28" s="61">
        <v>5.2900462962962969E-2</v>
      </c>
      <c r="M28" s="61">
        <v>6.087962962962963E-4</v>
      </c>
      <c r="N28" s="61">
        <v>3.412847222222222E-2</v>
      </c>
      <c r="O28" s="61">
        <v>0.11057870370370371</v>
      </c>
      <c r="P28" s="59" t="s">
        <v>2993</v>
      </c>
      <c r="Q28" s="8">
        <f t="shared" si="0"/>
        <v>770</v>
      </c>
      <c r="R28" s="14"/>
      <c r="S28" s="8"/>
      <c r="T28" s="8"/>
    </row>
    <row r="29" spans="1:20" ht="15.75" customHeight="1">
      <c r="A29" s="59">
        <v>28</v>
      </c>
      <c r="B29" s="59">
        <v>1</v>
      </c>
      <c r="C29" s="60" t="s">
        <v>135</v>
      </c>
      <c r="D29" s="59" t="s">
        <v>261</v>
      </c>
      <c r="E29" s="59" t="s">
        <v>262</v>
      </c>
      <c r="F29" s="59" t="s">
        <v>199</v>
      </c>
      <c r="G29" s="59" t="s">
        <v>340</v>
      </c>
      <c r="H29" s="59" t="s">
        <v>357</v>
      </c>
      <c r="I29" s="59">
        <v>2</v>
      </c>
      <c r="J29" s="61">
        <v>1.9168981481481481E-2</v>
      </c>
      <c r="K29" s="61">
        <v>2.6319444444444446E-3</v>
      </c>
      <c r="L29" s="61">
        <v>5.3434027777777775E-2</v>
      </c>
      <c r="M29" s="61">
        <v>1.0173611111111112E-3</v>
      </c>
      <c r="N29" s="61">
        <v>3.4893518518518518E-2</v>
      </c>
      <c r="O29" s="61">
        <v>0.11114814814814816</v>
      </c>
      <c r="P29" s="59" t="s">
        <v>2994</v>
      </c>
      <c r="Q29" s="8">
        <f t="shared" si="0"/>
        <v>766</v>
      </c>
      <c r="R29" s="14"/>
      <c r="S29" s="8"/>
      <c r="T29" s="8"/>
    </row>
    <row r="30" spans="1:20" ht="15.75" customHeight="1">
      <c r="A30" s="59">
        <v>29</v>
      </c>
      <c r="B30" s="59">
        <v>48</v>
      </c>
      <c r="C30" s="60" t="s">
        <v>135</v>
      </c>
      <c r="D30" s="59" t="s">
        <v>594</v>
      </c>
      <c r="E30" s="59" t="s">
        <v>595</v>
      </c>
      <c r="F30" s="59" t="s">
        <v>199</v>
      </c>
      <c r="G30" s="59" t="s">
        <v>340</v>
      </c>
      <c r="H30" s="59" t="s">
        <v>344</v>
      </c>
      <c r="I30" s="59">
        <v>8</v>
      </c>
      <c r="J30" s="61">
        <v>2.2575231481481481E-2</v>
      </c>
      <c r="K30" s="61">
        <v>1.8587962962962963E-3</v>
      </c>
      <c r="L30" s="61">
        <v>5.1812500000000004E-2</v>
      </c>
      <c r="M30" s="61">
        <v>2.8935185185185184E-4</v>
      </c>
      <c r="N30" s="61">
        <v>3.5515046296296295E-2</v>
      </c>
      <c r="O30" s="61">
        <v>0.11205324074074073</v>
      </c>
      <c r="P30" s="59" t="s">
        <v>2995</v>
      </c>
      <c r="Q30" s="8">
        <f t="shared" si="0"/>
        <v>760</v>
      </c>
      <c r="R30" s="14"/>
      <c r="S30" s="8"/>
      <c r="T30" s="8"/>
    </row>
    <row r="31" spans="1:20" ht="15.75" customHeight="1">
      <c r="A31" s="59">
        <v>30</v>
      </c>
      <c r="B31" s="59">
        <v>26</v>
      </c>
      <c r="C31" s="60" t="s">
        <v>135</v>
      </c>
      <c r="D31" s="59" t="s">
        <v>1277</v>
      </c>
      <c r="E31" s="59" t="s">
        <v>1278</v>
      </c>
      <c r="F31" s="59"/>
      <c r="G31" s="59" t="s">
        <v>340</v>
      </c>
      <c r="H31" s="59" t="s">
        <v>344</v>
      </c>
      <c r="I31" s="59">
        <v>9</v>
      </c>
      <c r="J31" s="61">
        <v>2.5458333333333333E-2</v>
      </c>
      <c r="K31" s="61">
        <v>1.9375E-3</v>
      </c>
      <c r="L31" s="61">
        <v>4.9906249999999999E-2</v>
      </c>
      <c r="M31" s="61">
        <v>5.7870370370370367E-4</v>
      </c>
      <c r="N31" s="61">
        <v>3.4681712962962963E-2</v>
      </c>
      <c r="O31" s="61">
        <v>0.11256597222222223</v>
      </c>
      <c r="P31" s="59" t="s">
        <v>2996</v>
      </c>
      <c r="Q31" s="8">
        <f t="shared" si="0"/>
        <v>756</v>
      </c>
      <c r="R31" s="14"/>
      <c r="S31" s="8"/>
      <c r="T31" s="8"/>
    </row>
    <row r="32" spans="1:20" ht="15.75" customHeight="1">
      <c r="A32" s="59">
        <v>31</v>
      </c>
      <c r="B32" s="59">
        <v>41</v>
      </c>
      <c r="C32" s="60" t="s">
        <v>135</v>
      </c>
      <c r="D32" s="59" t="s">
        <v>619</v>
      </c>
      <c r="E32" s="59" t="s">
        <v>620</v>
      </c>
      <c r="F32" s="59"/>
      <c r="G32" s="59" t="s">
        <v>340</v>
      </c>
      <c r="H32" s="59" t="s">
        <v>341</v>
      </c>
      <c r="I32" s="59">
        <v>5</v>
      </c>
      <c r="J32" s="61">
        <v>2.3101851851851853E-2</v>
      </c>
      <c r="K32" s="61">
        <v>1.9710648148148148E-3</v>
      </c>
      <c r="L32" s="61">
        <v>5.2269675925925928E-2</v>
      </c>
      <c r="M32" s="61">
        <v>5.9027777777777778E-4</v>
      </c>
      <c r="N32" s="61">
        <v>3.4740740740740739E-2</v>
      </c>
      <c r="O32" s="61">
        <v>0.11267708333333333</v>
      </c>
      <c r="P32" s="59" t="s">
        <v>2997</v>
      </c>
      <c r="Q32" s="8">
        <f t="shared" si="0"/>
        <v>755</v>
      </c>
      <c r="R32" s="14"/>
      <c r="S32" s="8"/>
      <c r="T32" s="8"/>
    </row>
    <row r="33" spans="1:20" ht="15.75" customHeight="1">
      <c r="A33" s="59">
        <v>32</v>
      </c>
      <c r="B33" s="59">
        <v>2</v>
      </c>
      <c r="C33" s="60" t="s">
        <v>135</v>
      </c>
      <c r="D33" s="59" t="s">
        <v>2998</v>
      </c>
      <c r="E33" s="59" t="s">
        <v>2999</v>
      </c>
      <c r="F33" s="59" t="s">
        <v>158</v>
      </c>
      <c r="G33" s="59" t="s">
        <v>319</v>
      </c>
      <c r="H33" s="59" t="s">
        <v>149</v>
      </c>
      <c r="I33" s="59"/>
      <c r="J33" s="61">
        <v>2.1726851851851851E-2</v>
      </c>
      <c r="K33" s="61">
        <v>1.6238425925925927E-3</v>
      </c>
      <c r="L33" s="61">
        <v>5.2335648148148152E-2</v>
      </c>
      <c r="M33" s="61">
        <v>7.372685185185185E-4</v>
      </c>
      <c r="N33" s="61">
        <v>3.6421296296296299E-2</v>
      </c>
      <c r="O33" s="61">
        <v>0.11284722222222222</v>
      </c>
      <c r="P33" s="59" t="s">
        <v>3000</v>
      </c>
      <c r="Q33" s="8">
        <f t="shared" si="0"/>
        <v>754</v>
      </c>
      <c r="R33" s="14"/>
      <c r="S33" s="8"/>
      <c r="T33" s="8"/>
    </row>
    <row r="34" spans="1:20" ht="15.75" customHeight="1">
      <c r="A34" s="59">
        <v>33</v>
      </c>
      <c r="B34" s="59">
        <v>52</v>
      </c>
      <c r="C34" s="60" t="s">
        <v>135</v>
      </c>
      <c r="D34" s="59" t="s">
        <v>2917</v>
      </c>
      <c r="E34" s="59" t="s">
        <v>3001</v>
      </c>
      <c r="F34" s="59"/>
      <c r="G34" s="59" t="s">
        <v>340</v>
      </c>
      <c r="H34" s="59" t="s">
        <v>352</v>
      </c>
      <c r="I34" s="59">
        <v>4</v>
      </c>
      <c r="J34" s="61">
        <v>2.3421296296296294E-2</v>
      </c>
      <c r="K34" s="61">
        <v>1.931712962962963E-3</v>
      </c>
      <c r="L34" s="61">
        <v>5.2447916666666664E-2</v>
      </c>
      <c r="M34" s="61">
        <v>9.3634259259259267E-4</v>
      </c>
      <c r="N34" s="61">
        <v>3.436458333333333E-2</v>
      </c>
      <c r="O34" s="61">
        <v>0.11310416666666667</v>
      </c>
      <c r="P34" s="59" t="s">
        <v>3002</v>
      </c>
      <c r="Q34" s="8">
        <f t="shared" si="0"/>
        <v>752</v>
      </c>
      <c r="R34" s="14"/>
      <c r="S34" s="8"/>
      <c r="T34" s="8"/>
    </row>
    <row r="35" spans="1:20" ht="15.75" customHeight="1">
      <c r="A35" s="59">
        <v>34</v>
      </c>
      <c r="B35" s="59">
        <v>25</v>
      </c>
      <c r="C35" s="60" t="s">
        <v>1848</v>
      </c>
      <c r="D35" s="59" t="s">
        <v>1849</v>
      </c>
      <c r="E35" s="59" t="s">
        <v>1850</v>
      </c>
      <c r="F35" s="59" t="s">
        <v>1851</v>
      </c>
      <c r="G35" s="59" t="s">
        <v>340</v>
      </c>
      <c r="H35" s="59" t="s">
        <v>420</v>
      </c>
      <c r="I35" s="59">
        <v>3</v>
      </c>
      <c r="J35" s="61">
        <v>2.4807870370370372E-2</v>
      </c>
      <c r="K35" s="61">
        <v>3.1574074074074074E-3</v>
      </c>
      <c r="L35" s="61">
        <v>4.9512731481481477E-2</v>
      </c>
      <c r="M35" s="61">
        <v>6.8055555555555556E-4</v>
      </c>
      <c r="N35" s="61">
        <v>3.4990740740740739E-2</v>
      </c>
      <c r="O35" s="61">
        <v>0.11315162037037037</v>
      </c>
      <c r="P35" s="59" t="s">
        <v>3003</v>
      </c>
      <c r="Q35" s="8">
        <f t="shared" si="0"/>
        <v>752</v>
      </c>
      <c r="R35" s="14"/>
      <c r="S35" s="8"/>
      <c r="T35" s="8"/>
    </row>
    <row r="36" spans="1:20" ht="15.75" customHeight="1">
      <c r="A36" s="59">
        <v>35</v>
      </c>
      <c r="B36" s="59">
        <v>60</v>
      </c>
      <c r="C36" s="60" t="s">
        <v>135</v>
      </c>
      <c r="D36" s="59" t="s">
        <v>1142</v>
      </c>
      <c r="E36" s="59" t="s">
        <v>1143</v>
      </c>
      <c r="F36" s="59"/>
      <c r="G36" s="59" t="s">
        <v>340</v>
      </c>
      <c r="H36" s="59" t="s">
        <v>352</v>
      </c>
      <c r="I36" s="59">
        <v>5</v>
      </c>
      <c r="J36" s="61">
        <v>2.332638888888889E-2</v>
      </c>
      <c r="K36" s="61">
        <v>2.236111111111111E-3</v>
      </c>
      <c r="L36" s="61">
        <v>5.0925925925925923E-2</v>
      </c>
      <c r="M36" s="61">
        <v>6.3541666666666662E-4</v>
      </c>
      <c r="N36" s="61">
        <v>3.6358796296296299E-2</v>
      </c>
      <c r="O36" s="61">
        <v>0.11348379629629629</v>
      </c>
      <c r="P36" s="59" t="s">
        <v>3004</v>
      </c>
      <c r="Q36" s="8">
        <f t="shared" si="0"/>
        <v>750</v>
      </c>
      <c r="R36" s="14"/>
      <c r="S36" s="8"/>
      <c r="T36" s="8"/>
    </row>
    <row r="37" spans="1:20" ht="15.75" customHeight="1">
      <c r="A37" s="59">
        <v>36</v>
      </c>
      <c r="B37" s="59">
        <v>6</v>
      </c>
      <c r="C37" s="60" t="s">
        <v>135</v>
      </c>
      <c r="D37" s="59" t="s">
        <v>830</v>
      </c>
      <c r="E37" s="59" t="s">
        <v>831</v>
      </c>
      <c r="F37" s="59" t="s">
        <v>199</v>
      </c>
      <c r="G37" s="59" t="s">
        <v>340</v>
      </c>
      <c r="H37" s="59" t="s">
        <v>348</v>
      </c>
      <c r="I37" s="59">
        <v>7</v>
      </c>
      <c r="J37" s="61">
        <v>2.1236111111111112E-2</v>
      </c>
      <c r="K37" s="61">
        <v>1.7199074074074074E-3</v>
      </c>
      <c r="L37" s="61">
        <v>5.5585648148148155E-2</v>
      </c>
      <c r="M37" s="61">
        <v>4.6643518518518513E-4</v>
      </c>
      <c r="N37" s="61">
        <v>3.4740740740740739E-2</v>
      </c>
      <c r="O37" s="61">
        <v>0.11375</v>
      </c>
      <c r="P37" s="59" t="s">
        <v>3005</v>
      </c>
      <c r="Q37" s="8">
        <f t="shared" si="0"/>
        <v>748</v>
      </c>
      <c r="R37" s="14"/>
      <c r="S37" s="8"/>
      <c r="T37" s="8"/>
    </row>
    <row r="38" spans="1:20" ht="15.75" customHeight="1">
      <c r="A38" s="59">
        <v>37</v>
      </c>
      <c r="B38" s="59">
        <v>42</v>
      </c>
      <c r="C38" s="60" t="s">
        <v>135</v>
      </c>
      <c r="D38" s="59" t="s">
        <v>2460</v>
      </c>
      <c r="E38" s="59" t="s">
        <v>1186</v>
      </c>
      <c r="F38" s="59" t="s">
        <v>138</v>
      </c>
      <c r="G38" s="59" t="s">
        <v>319</v>
      </c>
      <c r="H38" s="59" t="s">
        <v>139</v>
      </c>
      <c r="I38" s="59"/>
      <c r="J38" s="61">
        <v>2.5431712962962965E-2</v>
      </c>
      <c r="K38" s="61">
        <v>1.8124999999999999E-3</v>
      </c>
      <c r="L38" s="61">
        <v>5.3233796296296293E-2</v>
      </c>
      <c r="M38" s="61">
        <v>4.7685185185185189E-4</v>
      </c>
      <c r="N38" s="61">
        <v>3.3943287037037036E-2</v>
      </c>
      <c r="O38" s="61">
        <v>0.11490046296296295</v>
      </c>
      <c r="P38" s="59" t="s">
        <v>3006</v>
      </c>
      <c r="Q38" s="8">
        <f t="shared" si="0"/>
        <v>741</v>
      </c>
      <c r="R38" s="14"/>
      <c r="S38" s="8"/>
      <c r="T38" s="8"/>
    </row>
    <row r="39" spans="1:20" ht="15.75" customHeight="1">
      <c r="A39" s="59">
        <v>38</v>
      </c>
      <c r="B39" s="59">
        <v>62</v>
      </c>
      <c r="C39" s="60" t="s">
        <v>135</v>
      </c>
      <c r="D39" s="59" t="s">
        <v>547</v>
      </c>
      <c r="E39" s="59" t="s">
        <v>548</v>
      </c>
      <c r="F39" s="59" t="s">
        <v>138</v>
      </c>
      <c r="G39" s="59" t="s">
        <v>319</v>
      </c>
      <c r="H39" s="59" t="s">
        <v>149</v>
      </c>
      <c r="I39" s="59"/>
      <c r="J39" s="61">
        <v>2.6248842592592594E-2</v>
      </c>
      <c r="K39" s="61">
        <v>1.5462962962962963E-3</v>
      </c>
      <c r="L39" s="61">
        <v>5.424189814814815E-2</v>
      </c>
      <c r="M39" s="61">
        <v>4.9768518518518521E-4</v>
      </c>
      <c r="N39" s="61">
        <v>3.2483796296296295E-2</v>
      </c>
      <c r="O39" s="61">
        <v>0.11502199074074074</v>
      </c>
      <c r="P39" s="59" t="s">
        <v>3007</v>
      </c>
      <c r="Q39" s="8">
        <f t="shared" si="0"/>
        <v>740</v>
      </c>
      <c r="R39" s="14"/>
      <c r="S39" s="8"/>
      <c r="T39" s="8"/>
    </row>
    <row r="40" spans="1:20" ht="15.75" customHeight="1">
      <c r="A40" s="59">
        <v>39</v>
      </c>
      <c r="B40" s="59">
        <v>11</v>
      </c>
      <c r="C40" s="60" t="s">
        <v>135</v>
      </c>
      <c r="D40" s="59" t="s">
        <v>1159</v>
      </c>
      <c r="E40" s="59" t="s">
        <v>1160</v>
      </c>
      <c r="F40" s="59" t="s">
        <v>199</v>
      </c>
      <c r="G40" s="59" t="s">
        <v>319</v>
      </c>
      <c r="H40" s="59" t="s">
        <v>154</v>
      </c>
      <c r="I40" s="59">
        <v>1</v>
      </c>
      <c r="J40" s="61">
        <v>2.1642361111111112E-2</v>
      </c>
      <c r="K40" s="61">
        <v>1.724537037037037E-3</v>
      </c>
      <c r="L40" s="61">
        <v>5.3912037037037036E-2</v>
      </c>
      <c r="M40" s="61">
        <v>3.9583333333333338E-4</v>
      </c>
      <c r="N40" s="61">
        <v>3.8280092592592595E-2</v>
      </c>
      <c r="O40" s="61">
        <v>0.11595833333333333</v>
      </c>
      <c r="P40" s="59" t="s">
        <v>3008</v>
      </c>
      <c r="Q40" s="8">
        <f t="shared" si="0"/>
        <v>734</v>
      </c>
      <c r="R40" s="14"/>
      <c r="S40" s="8"/>
      <c r="T40" s="8"/>
    </row>
    <row r="41" spans="1:20" ht="15.75" customHeight="1">
      <c r="A41" s="59">
        <v>40</v>
      </c>
      <c r="B41" s="59">
        <v>5</v>
      </c>
      <c r="C41" s="60" t="s">
        <v>135</v>
      </c>
      <c r="D41" s="59" t="s">
        <v>3009</v>
      </c>
      <c r="E41" s="59" t="s">
        <v>3010</v>
      </c>
      <c r="F41" s="59" t="s">
        <v>189</v>
      </c>
      <c r="G41" s="59" t="s">
        <v>340</v>
      </c>
      <c r="H41" s="59" t="s">
        <v>348</v>
      </c>
      <c r="I41" s="59">
        <v>8</v>
      </c>
      <c r="J41" s="61">
        <v>2.2877314814814812E-2</v>
      </c>
      <c r="K41" s="61">
        <v>2.7326388888888886E-3</v>
      </c>
      <c r="L41" s="61">
        <v>5.1033564814814816E-2</v>
      </c>
      <c r="M41" s="61">
        <v>1.0034722222222222E-3</v>
      </c>
      <c r="N41" s="61">
        <v>3.8497685185185183E-2</v>
      </c>
      <c r="O41" s="61">
        <v>0.11614814814814815</v>
      </c>
      <c r="P41" s="59" t="s">
        <v>3011</v>
      </c>
      <c r="Q41" s="8">
        <f t="shared" si="0"/>
        <v>733</v>
      </c>
      <c r="R41" s="14"/>
      <c r="S41" s="8"/>
      <c r="T41" s="8"/>
    </row>
    <row r="42" spans="1:20" ht="15.75" customHeight="1">
      <c r="A42" s="59">
        <v>41</v>
      </c>
      <c r="B42" s="59">
        <v>21</v>
      </c>
      <c r="C42" s="60" t="s">
        <v>135</v>
      </c>
      <c r="D42" s="59" t="s">
        <v>2466</v>
      </c>
      <c r="E42" s="59" t="s">
        <v>2467</v>
      </c>
      <c r="F42" s="59" t="s">
        <v>199</v>
      </c>
      <c r="G42" s="59" t="s">
        <v>319</v>
      </c>
      <c r="H42" s="59" t="s">
        <v>139</v>
      </c>
      <c r="I42" s="59">
        <v>1</v>
      </c>
      <c r="J42" s="61">
        <v>2.231597222222222E-2</v>
      </c>
      <c r="K42" s="61">
        <v>1.767361111111111E-3</v>
      </c>
      <c r="L42" s="61">
        <v>5.6644675925925932E-2</v>
      </c>
      <c r="M42" s="61">
        <v>4.9305555555555561E-4</v>
      </c>
      <c r="N42" s="61">
        <v>3.5512731481481485E-2</v>
      </c>
      <c r="O42" s="61">
        <v>0.11673726851851852</v>
      </c>
      <c r="P42" s="59" t="s">
        <v>3012</v>
      </c>
      <c r="Q42" s="8">
        <f t="shared" si="0"/>
        <v>729</v>
      </c>
      <c r="R42" s="14"/>
      <c r="S42" s="8"/>
      <c r="T42" s="8"/>
    </row>
    <row r="43" spans="1:20" ht="15.75" customHeight="1">
      <c r="A43" s="59">
        <v>42</v>
      </c>
      <c r="B43" s="59">
        <v>56</v>
      </c>
      <c r="C43" s="60" t="s">
        <v>135</v>
      </c>
      <c r="D43" s="59" t="s">
        <v>1838</v>
      </c>
      <c r="E43" s="59" t="s">
        <v>1839</v>
      </c>
      <c r="F43" s="59" t="s">
        <v>1808</v>
      </c>
      <c r="G43" s="59" t="s">
        <v>319</v>
      </c>
      <c r="H43" s="59" t="s">
        <v>139</v>
      </c>
      <c r="I43" s="59">
        <v>2</v>
      </c>
      <c r="J43" s="61">
        <v>2.325E-2</v>
      </c>
      <c r="K43" s="61">
        <v>1.9594907407407408E-3</v>
      </c>
      <c r="L43" s="61">
        <v>5.6877314814814811E-2</v>
      </c>
      <c r="M43" s="61">
        <v>5.9259259259259258E-4</v>
      </c>
      <c r="N43" s="61">
        <v>3.5832175925925927E-2</v>
      </c>
      <c r="O43" s="61">
        <v>0.11851388888888889</v>
      </c>
      <c r="P43" s="59" t="s">
        <v>3013</v>
      </c>
      <c r="Q43" s="8">
        <f t="shared" si="0"/>
        <v>718</v>
      </c>
      <c r="R43" s="14"/>
      <c r="S43" s="8"/>
      <c r="T43" s="8"/>
    </row>
    <row r="44" spans="1:20" ht="15.75" customHeight="1">
      <c r="A44" s="59">
        <v>43</v>
      </c>
      <c r="B44" s="59">
        <v>10</v>
      </c>
      <c r="C44" s="60" t="s">
        <v>135</v>
      </c>
      <c r="D44" s="59" t="s">
        <v>3014</v>
      </c>
      <c r="E44" s="59" t="s">
        <v>3015</v>
      </c>
      <c r="F44" s="59"/>
      <c r="G44" s="59" t="s">
        <v>340</v>
      </c>
      <c r="H44" s="59" t="s">
        <v>348</v>
      </c>
      <c r="I44" s="59">
        <v>9</v>
      </c>
      <c r="J44" s="61">
        <v>2.575925925925926E-2</v>
      </c>
      <c r="K44" s="61">
        <v>3.0069444444444445E-3</v>
      </c>
      <c r="L44" s="61">
        <v>5.3857638888888892E-2</v>
      </c>
      <c r="M44" s="61">
        <v>8.1250000000000007E-4</v>
      </c>
      <c r="N44" s="61">
        <v>3.5297453703703699E-2</v>
      </c>
      <c r="O44" s="61">
        <v>0.11873495370370371</v>
      </c>
      <c r="P44" s="59" t="s">
        <v>3016</v>
      </c>
      <c r="Q44" s="8">
        <f t="shared" si="0"/>
        <v>717</v>
      </c>
      <c r="R44" s="14"/>
      <c r="S44" s="8"/>
      <c r="T44" s="8"/>
    </row>
    <row r="45" spans="1:20" ht="15.75" customHeight="1">
      <c r="A45" s="59">
        <v>44</v>
      </c>
      <c r="B45" s="59">
        <v>33</v>
      </c>
      <c r="C45" s="60" t="s">
        <v>135</v>
      </c>
      <c r="D45" s="59" t="s">
        <v>3017</v>
      </c>
      <c r="E45" s="59" t="s">
        <v>3018</v>
      </c>
      <c r="F45" s="59" t="s">
        <v>3019</v>
      </c>
      <c r="G45" s="59" t="s">
        <v>340</v>
      </c>
      <c r="H45" s="59" t="s">
        <v>348</v>
      </c>
      <c r="I45" s="59">
        <v>10</v>
      </c>
      <c r="J45" s="61">
        <v>2.5085648148148149E-2</v>
      </c>
      <c r="K45" s="61">
        <v>3.4942129629629629E-3</v>
      </c>
      <c r="L45" s="61">
        <v>5.3016203703703711E-2</v>
      </c>
      <c r="M45" s="61">
        <v>9.2476851851851856E-4</v>
      </c>
      <c r="N45" s="61">
        <v>3.6238425925925924E-2</v>
      </c>
      <c r="O45" s="61">
        <v>0.11876157407407407</v>
      </c>
      <c r="P45" s="59" t="s">
        <v>3020</v>
      </c>
      <c r="Q45" s="8">
        <f t="shared" si="0"/>
        <v>717</v>
      </c>
      <c r="R45" s="14"/>
      <c r="S45" s="8"/>
      <c r="T45" s="8"/>
    </row>
    <row r="46" spans="1:20" ht="15.75" customHeight="1">
      <c r="A46" s="59">
        <v>45</v>
      </c>
      <c r="B46" s="59">
        <v>57</v>
      </c>
      <c r="C46" s="60" t="s">
        <v>135</v>
      </c>
      <c r="D46" s="59" t="s">
        <v>665</v>
      </c>
      <c r="E46" s="59" t="s">
        <v>666</v>
      </c>
      <c r="F46" s="59"/>
      <c r="G46" s="59" t="s">
        <v>340</v>
      </c>
      <c r="H46" s="59" t="s">
        <v>352</v>
      </c>
      <c r="I46" s="59">
        <v>6</v>
      </c>
      <c r="J46" s="61">
        <v>2.7349537037037037E-2</v>
      </c>
      <c r="K46" s="61">
        <v>2.3518518518518519E-3</v>
      </c>
      <c r="L46" s="61">
        <v>5.8890046296296301E-2</v>
      </c>
      <c r="M46" s="61">
        <v>9.5949074074074079E-4</v>
      </c>
      <c r="N46" s="61">
        <v>3.2305555555555553E-2</v>
      </c>
      <c r="O46" s="61">
        <v>0.1218587962962963</v>
      </c>
      <c r="P46" s="59" t="s">
        <v>3021</v>
      </c>
      <c r="Q46" s="8">
        <f t="shared" si="0"/>
        <v>698</v>
      </c>
      <c r="R46" s="14"/>
      <c r="S46" s="8"/>
      <c r="T46" s="8"/>
    </row>
    <row r="47" spans="1:20" ht="15.75" customHeight="1">
      <c r="A47" s="59">
        <v>46</v>
      </c>
      <c r="B47" s="59">
        <v>49</v>
      </c>
      <c r="C47" s="60" t="s">
        <v>135</v>
      </c>
      <c r="D47" s="59" t="s">
        <v>1214</v>
      </c>
      <c r="E47" s="59" t="s">
        <v>1215</v>
      </c>
      <c r="F47" s="59"/>
      <c r="G47" s="59" t="s">
        <v>340</v>
      </c>
      <c r="H47" s="59" t="s">
        <v>448</v>
      </c>
      <c r="I47" s="59">
        <v>1</v>
      </c>
      <c r="J47" s="61">
        <v>2.2484953703703705E-2</v>
      </c>
      <c r="K47" s="61">
        <v>2.6412037037037038E-3</v>
      </c>
      <c r="L47" s="61">
        <v>5.4122685185185183E-2</v>
      </c>
      <c r="M47" s="61">
        <v>8.6111111111111121E-4</v>
      </c>
      <c r="N47" s="61">
        <v>4.2393518518518518E-2</v>
      </c>
      <c r="O47" s="61">
        <v>0.12250578703703703</v>
      </c>
      <c r="P47" s="59" t="s">
        <v>608</v>
      </c>
      <c r="Q47" s="8">
        <f t="shared" si="0"/>
        <v>695</v>
      </c>
      <c r="R47" s="14"/>
      <c r="S47" s="8"/>
      <c r="T47" s="8"/>
    </row>
    <row r="48" spans="1:20" ht="15.75" customHeight="1">
      <c r="A48" s="59">
        <v>47</v>
      </c>
      <c r="B48" s="59">
        <v>44</v>
      </c>
      <c r="C48" s="60" t="s">
        <v>135</v>
      </c>
      <c r="D48" s="59" t="s">
        <v>2165</v>
      </c>
      <c r="E48" s="59" t="s">
        <v>2166</v>
      </c>
      <c r="F48" s="59" t="s">
        <v>148</v>
      </c>
      <c r="G48" s="59" t="s">
        <v>340</v>
      </c>
      <c r="H48" s="59" t="s">
        <v>341</v>
      </c>
      <c r="I48" s="59">
        <v>6</v>
      </c>
      <c r="J48" s="61">
        <v>2.5210648148148145E-2</v>
      </c>
      <c r="K48" s="61">
        <v>2.0127314814814817E-3</v>
      </c>
      <c r="L48" s="61">
        <v>5.7425925925925929E-2</v>
      </c>
      <c r="M48" s="61">
        <v>5.6250000000000007E-4</v>
      </c>
      <c r="N48" s="61">
        <v>3.9143518518518522E-2</v>
      </c>
      <c r="O48" s="61">
        <v>0.12435763888888889</v>
      </c>
      <c r="P48" s="59" t="s">
        <v>3022</v>
      </c>
      <c r="Q48" s="8">
        <f t="shared" si="0"/>
        <v>684</v>
      </c>
      <c r="R48" s="14"/>
      <c r="S48" s="8"/>
      <c r="T48" s="8"/>
    </row>
    <row r="49" spans="1:20" ht="15.75" customHeight="1">
      <c r="A49" s="59">
        <v>48</v>
      </c>
      <c r="B49" s="59">
        <v>63</v>
      </c>
      <c r="C49" s="60" t="s">
        <v>135</v>
      </c>
      <c r="D49" s="59" t="s">
        <v>929</v>
      </c>
      <c r="E49" s="59" t="s">
        <v>930</v>
      </c>
      <c r="F49" s="59" t="s">
        <v>138</v>
      </c>
      <c r="G49" s="59" t="s">
        <v>319</v>
      </c>
      <c r="H49" s="59" t="s">
        <v>163</v>
      </c>
      <c r="I49" s="59">
        <v>1</v>
      </c>
      <c r="J49" s="61">
        <v>2.2629629629629631E-2</v>
      </c>
      <c r="K49" s="61">
        <v>2.2905092592592595E-3</v>
      </c>
      <c r="L49" s="61">
        <v>5.8738425925925923E-2</v>
      </c>
      <c r="M49" s="61">
        <v>8.9930555555555554E-4</v>
      </c>
      <c r="N49" s="61">
        <v>4.0006944444444442E-2</v>
      </c>
      <c r="O49" s="61">
        <v>0.12456712962962964</v>
      </c>
      <c r="P49" s="59" t="s">
        <v>3023</v>
      </c>
      <c r="Q49" s="8">
        <f t="shared" si="0"/>
        <v>683</v>
      </c>
      <c r="R49" s="14"/>
      <c r="S49" s="8"/>
      <c r="T49" s="8"/>
    </row>
    <row r="50" spans="1:20" ht="15.75" customHeight="1">
      <c r="A50" s="59">
        <v>49</v>
      </c>
      <c r="B50" s="59">
        <v>3</v>
      </c>
      <c r="C50" s="60" t="s">
        <v>135</v>
      </c>
      <c r="D50" s="59" t="s">
        <v>3024</v>
      </c>
      <c r="E50" s="59" t="s">
        <v>3025</v>
      </c>
      <c r="F50" s="59"/>
      <c r="G50" s="59" t="s">
        <v>340</v>
      </c>
      <c r="H50" s="59" t="s">
        <v>344</v>
      </c>
      <c r="I50" s="59">
        <v>10</v>
      </c>
      <c r="J50" s="61">
        <v>2.4427083333333332E-2</v>
      </c>
      <c r="K50" s="61">
        <v>2.917824074074074E-3</v>
      </c>
      <c r="L50" s="61">
        <v>5.8366898148148147E-2</v>
      </c>
      <c r="M50" s="61">
        <v>1.2291666666666666E-3</v>
      </c>
      <c r="N50" s="61">
        <v>3.7793981481481484E-2</v>
      </c>
      <c r="O50" s="61">
        <v>0.1247372685185185</v>
      </c>
      <c r="P50" s="59" t="s">
        <v>3026</v>
      </c>
      <c r="Q50" s="8">
        <f t="shared" si="0"/>
        <v>682</v>
      </c>
      <c r="R50" s="14"/>
      <c r="S50" s="8"/>
      <c r="T50" s="8"/>
    </row>
    <row r="51" spans="1:20" ht="15.75" customHeight="1">
      <c r="A51" s="59">
        <v>50</v>
      </c>
      <c r="B51" s="59">
        <v>35</v>
      </c>
      <c r="C51" s="60" t="s">
        <v>135</v>
      </c>
      <c r="D51" s="59" t="s">
        <v>3027</v>
      </c>
      <c r="E51" s="59" t="s">
        <v>3028</v>
      </c>
      <c r="F51" s="59"/>
      <c r="G51" s="59" t="s">
        <v>340</v>
      </c>
      <c r="H51" s="59" t="s">
        <v>352</v>
      </c>
      <c r="I51" s="59">
        <v>7</v>
      </c>
      <c r="J51" s="61">
        <v>2.4850694444444443E-2</v>
      </c>
      <c r="K51" s="61">
        <v>2.5868055555555557E-3</v>
      </c>
      <c r="L51" s="61">
        <v>5.7645833333333341E-2</v>
      </c>
      <c r="M51" s="61">
        <v>8.3796296296296299E-4</v>
      </c>
      <c r="N51" s="61">
        <v>3.895138888888889E-2</v>
      </c>
      <c r="O51" s="61">
        <v>0.12487500000000001</v>
      </c>
      <c r="P51" s="59" t="s">
        <v>3029</v>
      </c>
      <c r="Q51" s="8">
        <f t="shared" si="0"/>
        <v>682</v>
      </c>
      <c r="R51" s="14"/>
      <c r="S51" s="8"/>
      <c r="T51" s="8"/>
    </row>
    <row r="52" spans="1:20" ht="15.75" customHeight="1">
      <c r="A52" s="59">
        <v>51</v>
      </c>
      <c r="B52" s="59">
        <v>59</v>
      </c>
      <c r="C52" s="60" t="s">
        <v>135</v>
      </c>
      <c r="D52" s="59" t="s">
        <v>3030</v>
      </c>
      <c r="E52" s="59" t="s">
        <v>3031</v>
      </c>
      <c r="F52" s="59" t="s">
        <v>3032</v>
      </c>
      <c r="G52" s="59" t="s">
        <v>340</v>
      </c>
      <c r="H52" s="59" t="s">
        <v>341</v>
      </c>
      <c r="I52" s="59">
        <v>7</v>
      </c>
      <c r="J52" s="61">
        <v>2.5966435185185186E-2</v>
      </c>
      <c r="K52" s="61">
        <v>3.1145833333333338E-3</v>
      </c>
      <c r="L52" s="61">
        <v>5.4373842592592592E-2</v>
      </c>
      <c r="M52" s="61">
        <v>6.2847222222222221E-4</v>
      </c>
      <c r="N52" s="61">
        <v>4.0988425925925928E-2</v>
      </c>
      <c r="O52" s="61">
        <v>0.12507291666666664</v>
      </c>
      <c r="P52" s="59" t="s">
        <v>3033</v>
      </c>
      <c r="Q52" s="8">
        <f t="shared" si="0"/>
        <v>680</v>
      </c>
      <c r="R52" s="14"/>
      <c r="S52" s="8"/>
      <c r="T52" s="8"/>
    </row>
    <row r="53" spans="1:20" ht="15.75" customHeight="1">
      <c r="A53" s="59">
        <v>52</v>
      </c>
      <c r="B53" s="59">
        <v>50</v>
      </c>
      <c r="C53" s="60" t="s">
        <v>135</v>
      </c>
      <c r="D53" s="59" t="s">
        <v>2510</v>
      </c>
      <c r="E53" s="59" t="s">
        <v>2511</v>
      </c>
      <c r="F53" s="59"/>
      <c r="G53" s="59" t="s">
        <v>340</v>
      </c>
      <c r="H53" s="59" t="s">
        <v>352</v>
      </c>
      <c r="I53" s="59">
        <v>8</v>
      </c>
      <c r="J53" s="61">
        <v>2.6230324074074076E-2</v>
      </c>
      <c r="K53" s="61">
        <v>2.0868055555555557E-3</v>
      </c>
      <c r="L53" s="61">
        <v>5.805671296296297E-2</v>
      </c>
      <c r="M53" s="61">
        <v>8.5185185185185179E-4</v>
      </c>
      <c r="N53" s="61">
        <v>3.9924768518518519E-2</v>
      </c>
      <c r="O53" s="61">
        <v>0.12715162037037037</v>
      </c>
      <c r="P53" s="59" t="s">
        <v>3034</v>
      </c>
      <c r="Q53" s="8">
        <f t="shared" si="0"/>
        <v>669</v>
      </c>
      <c r="R53" s="14"/>
      <c r="S53" s="8"/>
      <c r="T53" s="8"/>
    </row>
    <row r="54" spans="1:20" ht="15.75" customHeight="1">
      <c r="A54" s="59">
        <v>53</v>
      </c>
      <c r="B54" s="59">
        <v>36</v>
      </c>
      <c r="C54" s="60" t="s">
        <v>135</v>
      </c>
      <c r="D54" s="59" t="s">
        <v>1875</v>
      </c>
      <c r="E54" s="59" t="s">
        <v>1876</v>
      </c>
      <c r="F54" s="59" t="s">
        <v>199</v>
      </c>
      <c r="G54" s="59" t="s">
        <v>319</v>
      </c>
      <c r="H54" s="59" t="s">
        <v>154</v>
      </c>
      <c r="I54" s="59">
        <v>2</v>
      </c>
      <c r="J54" s="61">
        <v>2.2283564814814815E-2</v>
      </c>
      <c r="K54" s="61">
        <v>1.9976851851851852E-3</v>
      </c>
      <c r="L54" s="61">
        <v>6.0414351851851851E-2</v>
      </c>
      <c r="M54" s="61">
        <v>6.8402777777777776E-4</v>
      </c>
      <c r="N54" s="61">
        <v>4.1859953703703705E-2</v>
      </c>
      <c r="O54" s="61">
        <v>0.12724189814814815</v>
      </c>
      <c r="P54" s="59" t="s">
        <v>3035</v>
      </c>
      <c r="Q54" s="8">
        <f t="shared" si="0"/>
        <v>669</v>
      </c>
      <c r="R54" s="14"/>
      <c r="S54" s="8"/>
      <c r="T54" s="8"/>
    </row>
    <row r="55" spans="1:20" ht="15.75" customHeight="1">
      <c r="A55" s="59">
        <v>54</v>
      </c>
      <c r="B55" s="59">
        <v>38</v>
      </c>
      <c r="C55" s="60" t="s">
        <v>135</v>
      </c>
      <c r="D55" s="59" t="s">
        <v>3036</v>
      </c>
      <c r="E55" s="59" t="s">
        <v>3037</v>
      </c>
      <c r="F55" s="59"/>
      <c r="G55" s="59" t="s">
        <v>340</v>
      </c>
      <c r="H55" s="59" t="s">
        <v>348</v>
      </c>
      <c r="I55" s="59">
        <v>11</v>
      </c>
      <c r="J55" s="61">
        <v>2.5341435185185186E-2</v>
      </c>
      <c r="K55" s="61">
        <v>3.3194444444444447E-3</v>
      </c>
      <c r="L55" s="61">
        <v>5.7394675925925918E-2</v>
      </c>
      <c r="M55" s="61">
        <v>1.1342592592592593E-3</v>
      </c>
      <c r="N55" s="61">
        <v>4.0832175925925925E-2</v>
      </c>
      <c r="O55" s="61">
        <v>0.12802430555555555</v>
      </c>
      <c r="P55" s="59" t="s">
        <v>3038</v>
      </c>
      <c r="Q55" s="8">
        <f t="shared" si="0"/>
        <v>665</v>
      </c>
      <c r="R55" s="14"/>
      <c r="S55" s="8"/>
      <c r="T55" s="8"/>
    </row>
    <row r="56" spans="1:20" ht="15.75" customHeight="1">
      <c r="A56" s="59">
        <v>55</v>
      </c>
      <c r="B56" s="59">
        <v>45</v>
      </c>
      <c r="C56" s="60" t="s">
        <v>135</v>
      </c>
      <c r="D56" s="59" t="s">
        <v>3039</v>
      </c>
      <c r="E56" s="59" t="s">
        <v>3040</v>
      </c>
      <c r="F56" s="59" t="s">
        <v>1808</v>
      </c>
      <c r="G56" s="59" t="s">
        <v>340</v>
      </c>
      <c r="H56" s="59" t="s">
        <v>357</v>
      </c>
      <c r="I56" s="59">
        <v>3</v>
      </c>
      <c r="J56" s="61">
        <v>2.690625E-2</v>
      </c>
      <c r="K56" s="61">
        <v>3.5462962962962961E-3</v>
      </c>
      <c r="L56" s="61">
        <v>5.4295138888888893E-2</v>
      </c>
      <c r="M56" s="61">
        <v>2.5474537037037037E-3</v>
      </c>
      <c r="N56" s="61">
        <v>4.3379629629629629E-2</v>
      </c>
      <c r="O56" s="61">
        <v>0.13067824074074075</v>
      </c>
      <c r="P56" s="59" t="s">
        <v>3041</v>
      </c>
      <c r="Q56" s="8">
        <f t="shared" si="0"/>
        <v>651</v>
      </c>
      <c r="R56" s="14"/>
      <c r="S56" s="8"/>
      <c r="T56" s="8"/>
    </row>
    <row r="57" spans="1:20" ht="15.75" customHeight="1">
      <c r="A57" s="59">
        <v>56</v>
      </c>
      <c r="B57" s="59">
        <v>53</v>
      </c>
      <c r="C57" s="60" t="s">
        <v>135</v>
      </c>
      <c r="D57" s="59" t="s">
        <v>2251</v>
      </c>
      <c r="E57" s="59" t="s">
        <v>2252</v>
      </c>
      <c r="F57" s="59" t="s">
        <v>173</v>
      </c>
      <c r="G57" s="59" t="s">
        <v>340</v>
      </c>
      <c r="H57" s="59" t="s">
        <v>357</v>
      </c>
      <c r="I57" s="59">
        <v>4</v>
      </c>
      <c r="J57" s="61">
        <v>2.3372685185185187E-2</v>
      </c>
      <c r="K57" s="61">
        <v>2.7291666666666666E-3</v>
      </c>
      <c r="L57" s="61">
        <v>6.044212962962963E-2</v>
      </c>
      <c r="M57" s="61">
        <v>5.0694444444444441E-4</v>
      </c>
      <c r="N57" s="61">
        <v>4.3724537037037041E-2</v>
      </c>
      <c r="O57" s="61">
        <v>0.13077893518518519</v>
      </c>
      <c r="P57" s="59" t="s">
        <v>3042</v>
      </c>
      <c r="Q57" s="8">
        <f t="shared" si="0"/>
        <v>651</v>
      </c>
      <c r="R57" s="14"/>
      <c r="S57" s="8"/>
      <c r="T57" s="8"/>
    </row>
    <row r="58" spans="1:20" ht="15.75" customHeight="1">
      <c r="A58" s="59">
        <v>57</v>
      </c>
      <c r="B58" s="59">
        <v>34</v>
      </c>
      <c r="C58" s="60" t="s">
        <v>135</v>
      </c>
      <c r="D58" s="59" t="s">
        <v>327</v>
      </c>
      <c r="E58" s="59" t="s">
        <v>328</v>
      </c>
      <c r="F58" s="59"/>
      <c r="G58" s="59" t="s">
        <v>340</v>
      </c>
      <c r="H58" s="59" t="s">
        <v>348</v>
      </c>
      <c r="I58" s="59">
        <v>12</v>
      </c>
      <c r="J58" s="61">
        <v>2.4732638888888891E-2</v>
      </c>
      <c r="K58" s="61">
        <v>2.0393518518518517E-3</v>
      </c>
      <c r="L58" s="61">
        <v>5.9489583333333332E-2</v>
      </c>
      <c r="M58" s="61">
        <v>7.395833333333333E-4</v>
      </c>
      <c r="N58" s="61">
        <v>4.4050925925925924E-2</v>
      </c>
      <c r="O58" s="61">
        <v>0.13105439814814815</v>
      </c>
      <c r="P58" s="59" t="s">
        <v>3043</v>
      </c>
      <c r="Q58" s="8">
        <f t="shared" si="0"/>
        <v>649</v>
      </c>
      <c r="R58" s="14"/>
      <c r="S58" s="8"/>
      <c r="T58" s="8"/>
    </row>
    <row r="59" spans="1:20" ht="15.75" customHeight="1">
      <c r="A59" s="59">
        <v>58</v>
      </c>
      <c r="B59" s="59">
        <v>22</v>
      </c>
      <c r="C59" s="60" t="s">
        <v>135</v>
      </c>
      <c r="D59" s="59" t="s">
        <v>3044</v>
      </c>
      <c r="E59" s="59" t="s">
        <v>3045</v>
      </c>
      <c r="F59" s="59" t="s">
        <v>1808</v>
      </c>
      <c r="G59" s="59" t="s">
        <v>340</v>
      </c>
      <c r="H59" s="59" t="s">
        <v>348</v>
      </c>
      <c r="I59" s="59">
        <v>13</v>
      </c>
      <c r="J59" s="61">
        <v>2.3552083333333335E-2</v>
      </c>
      <c r="K59" s="61">
        <v>2.4930555555555556E-3</v>
      </c>
      <c r="L59" s="61">
        <v>6.4616898148148139E-2</v>
      </c>
      <c r="M59" s="61">
        <v>4.4675925925925927E-4</v>
      </c>
      <c r="N59" s="61">
        <v>4.0620370370370369E-2</v>
      </c>
      <c r="O59" s="61">
        <v>0.13173148148148148</v>
      </c>
      <c r="P59" s="59" t="s">
        <v>3046</v>
      </c>
      <c r="Q59" s="8">
        <f t="shared" si="0"/>
        <v>646</v>
      </c>
      <c r="R59" s="14"/>
      <c r="S59" s="8"/>
      <c r="T59" s="8"/>
    </row>
    <row r="60" spans="1:20" ht="15.75" customHeight="1">
      <c r="A60" s="59">
        <v>59</v>
      </c>
      <c r="B60" s="59">
        <v>58</v>
      </c>
      <c r="C60" s="60" t="s">
        <v>135</v>
      </c>
      <c r="D60" s="59" t="s">
        <v>3047</v>
      </c>
      <c r="E60" s="59" t="s">
        <v>3048</v>
      </c>
      <c r="F60" s="59" t="s">
        <v>3049</v>
      </c>
      <c r="G60" s="59" t="s">
        <v>340</v>
      </c>
      <c r="H60" s="59" t="s">
        <v>641</v>
      </c>
      <c r="I60" s="59">
        <v>2</v>
      </c>
      <c r="J60" s="61">
        <v>3.1004629629629632E-2</v>
      </c>
      <c r="K60" s="61">
        <v>4.440972222222222E-3</v>
      </c>
      <c r="L60" s="61">
        <v>5.7528935185185183E-2</v>
      </c>
      <c r="M60" s="61">
        <v>6.5972222222222224E-4</v>
      </c>
      <c r="N60" s="61">
        <v>4.15150462962963E-2</v>
      </c>
      <c r="O60" s="61">
        <v>0.13515046296296296</v>
      </c>
      <c r="P60" s="59" t="s">
        <v>3050</v>
      </c>
      <c r="Q60" s="8">
        <f t="shared" si="0"/>
        <v>630</v>
      </c>
      <c r="R60" s="14"/>
      <c r="S60" s="8"/>
      <c r="T60" s="8"/>
    </row>
    <row r="61" spans="1:20" ht="15.75" customHeight="1">
      <c r="A61" s="59">
        <v>60</v>
      </c>
      <c r="B61" s="59">
        <v>40</v>
      </c>
      <c r="C61" s="60" t="s">
        <v>135</v>
      </c>
      <c r="D61" s="59" t="s">
        <v>668</v>
      </c>
      <c r="E61" s="59" t="s">
        <v>669</v>
      </c>
      <c r="F61" s="59"/>
      <c r="G61" s="59" t="s">
        <v>340</v>
      </c>
      <c r="H61" s="59" t="s">
        <v>448</v>
      </c>
      <c r="I61" s="59">
        <v>2</v>
      </c>
      <c r="J61" s="61">
        <v>3.0837962962962963E-2</v>
      </c>
      <c r="K61" s="61">
        <v>2.0173611111111113E-3</v>
      </c>
      <c r="L61" s="61">
        <v>6.0140046296296303E-2</v>
      </c>
      <c r="M61" s="61">
        <v>3.7500000000000001E-4</v>
      </c>
      <c r="N61" s="61">
        <v>4.5130787037037039E-2</v>
      </c>
      <c r="O61" s="61">
        <v>0.13850462962962962</v>
      </c>
      <c r="P61" s="59" t="s">
        <v>3051</v>
      </c>
      <c r="Q61" s="8">
        <f t="shared" si="0"/>
        <v>614</v>
      </c>
      <c r="R61" s="14"/>
      <c r="S61" s="8"/>
      <c r="T61" s="8"/>
    </row>
    <row r="62" spans="1:20" ht="15.75" customHeight="1">
      <c r="A62" s="59" t="s">
        <v>683</v>
      </c>
      <c r="B62" s="59">
        <v>31</v>
      </c>
      <c r="C62" s="60" t="s">
        <v>135</v>
      </c>
      <c r="D62" s="59" t="s">
        <v>3052</v>
      </c>
      <c r="E62" s="59" t="s">
        <v>3053</v>
      </c>
      <c r="F62" s="59"/>
      <c r="G62" s="59" t="s">
        <v>340</v>
      </c>
      <c r="H62" s="59" t="s">
        <v>641</v>
      </c>
      <c r="I62" s="59"/>
      <c r="J62" s="59"/>
      <c r="K62" s="59"/>
      <c r="L62" s="61">
        <v>5.9508101851851854E-2</v>
      </c>
      <c r="M62" s="61">
        <v>1.4467592592592592E-3</v>
      </c>
      <c r="N62" s="59"/>
      <c r="O62" s="59" t="s">
        <v>686</v>
      </c>
      <c r="P62" s="59"/>
      <c r="Q62" s="8">
        <f t="shared" si="0"/>
        <v>0</v>
      </c>
      <c r="R62" s="14"/>
      <c r="S62" s="8"/>
      <c r="T62" s="8"/>
    </row>
    <row r="63" spans="1:20" ht="15.75" customHeight="1">
      <c r="A63" s="59"/>
      <c r="B63" s="59"/>
      <c r="C63" s="60"/>
      <c r="D63" s="59"/>
      <c r="E63" s="59"/>
      <c r="F63" s="59"/>
      <c r="G63" s="59"/>
      <c r="H63" s="59"/>
      <c r="I63" s="59"/>
      <c r="J63" s="59"/>
      <c r="K63" s="59"/>
      <c r="L63" s="61"/>
      <c r="M63" s="61"/>
      <c r="N63" s="59"/>
      <c r="O63" s="59"/>
      <c r="P63" s="59"/>
      <c r="Q63" s="8"/>
      <c r="R63" s="14"/>
      <c r="S63" s="8"/>
      <c r="T63" s="8"/>
    </row>
    <row r="64" spans="1:20" ht="15.75" customHeight="1">
      <c r="A64" s="59">
        <v>1</v>
      </c>
      <c r="B64" s="59">
        <v>185</v>
      </c>
      <c r="C64" s="60" t="s">
        <v>135</v>
      </c>
      <c r="D64" s="59" t="s">
        <v>197</v>
      </c>
      <c r="E64" s="59" t="s">
        <v>198</v>
      </c>
      <c r="F64" s="59" t="s">
        <v>199</v>
      </c>
      <c r="G64" s="59" t="s">
        <v>340</v>
      </c>
      <c r="H64" s="59" t="s">
        <v>348</v>
      </c>
      <c r="I64" s="59"/>
      <c r="J64" s="61">
        <v>8.9039351851851849E-3</v>
      </c>
      <c r="K64" s="61">
        <v>1.3923611111111111E-3</v>
      </c>
      <c r="L64" s="61">
        <v>2.1614583333333333E-2</v>
      </c>
      <c r="M64" s="61">
        <v>4.3981481481481481E-4</v>
      </c>
      <c r="N64" s="61">
        <v>1.4241898148148148E-2</v>
      </c>
      <c r="O64" s="61">
        <v>4.6594907407407411E-2</v>
      </c>
      <c r="P64" s="59"/>
      <c r="Q64" s="8">
        <f>IFERROR(ROUND($O$64/O64*900,0),0)</f>
        <v>900</v>
      </c>
      <c r="R64" s="14"/>
      <c r="S64" s="8"/>
      <c r="T64" s="8"/>
    </row>
    <row r="65" spans="1:20" ht="15.75" customHeight="1">
      <c r="A65" s="59">
        <v>2</v>
      </c>
      <c r="B65" s="59">
        <v>163</v>
      </c>
      <c r="C65" s="60" t="s">
        <v>135</v>
      </c>
      <c r="D65" s="59" t="s">
        <v>721</v>
      </c>
      <c r="E65" s="59" t="s">
        <v>722</v>
      </c>
      <c r="F65" s="59" t="s">
        <v>199</v>
      </c>
      <c r="G65" s="59" t="s">
        <v>340</v>
      </c>
      <c r="H65" s="59" t="s">
        <v>352</v>
      </c>
      <c r="I65" s="59"/>
      <c r="J65" s="61">
        <v>7.6157407407407406E-3</v>
      </c>
      <c r="K65" s="61">
        <v>1.1377314814814815E-3</v>
      </c>
      <c r="L65" s="61">
        <v>2.51412037037037E-2</v>
      </c>
      <c r="M65" s="61">
        <v>4.1435185185185184E-4</v>
      </c>
      <c r="N65" s="61">
        <v>1.4039351851851851E-2</v>
      </c>
      <c r="O65" s="61">
        <v>4.8351851851851854E-2</v>
      </c>
      <c r="P65" s="59" t="s">
        <v>3054</v>
      </c>
      <c r="Q65" s="8">
        <f t="shared" ref="Q65:Q128" si="1">IFERROR(ROUND($O$64/O65*900,0),0)</f>
        <v>867</v>
      </c>
      <c r="R65" s="14"/>
      <c r="S65" s="8"/>
      <c r="T65" s="8"/>
    </row>
    <row r="66" spans="1:20" ht="15.75" customHeight="1">
      <c r="A66" s="59">
        <v>3</v>
      </c>
      <c r="B66" s="59">
        <v>192</v>
      </c>
      <c r="C66" s="60" t="s">
        <v>135</v>
      </c>
      <c r="D66" s="59" t="s">
        <v>156</v>
      </c>
      <c r="E66" s="59" t="s">
        <v>157</v>
      </c>
      <c r="F66" s="59" t="s">
        <v>158</v>
      </c>
      <c r="G66" s="59" t="s">
        <v>340</v>
      </c>
      <c r="H66" s="59" t="s">
        <v>352</v>
      </c>
      <c r="I66" s="59"/>
      <c r="J66" s="61">
        <v>8.9212962962962952E-3</v>
      </c>
      <c r="K66" s="61">
        <v>9.6296296296296299E-4</v>
      </c>
      <c r="L66" s="61">
        <v>2.4679398148148152E-2</v>
      </c>
      <c r="M66" s="61">
        <v>3.4953703703703704E-4</v>
      </c>
      <c r="N66" s="61">
        <v>1.3792824074074075E-2</v>
      </c>
      <c r="O66" s="61">
        <v>4.8708333333333326E-2</v>
      </c>
      <c r="P66" s="59" t="s">
        <v>3055</v>
      </c>
      <c r="Q66" s="8">
        <f t="shared" si="1"/>
        <v>861</v>
      </c>
      <c r="R66" s="14"/>
      <c r="S66" s="8"/>
      <c r="T66" s="8"/>
    </row>
    <row r="67" spans="1:20" ht="15.75" customHeight="1">
      <c r="A67" s="59">
        <v>4</v>
      </c>
      <c r="B67" s="59">
        <v>224</v>
      </c>
      <c r="C67" s="60" t="s">
        <v>135</v>
      </c>
      <c r="D67" s="59" t="s">
        <v>3056</v>
      </c>
      <c r="E67" s="59" t="s">
        <v>3057</v>
      </c>
      <c r="F67" s="59" t="s">
        <v>148</v>
      </c>
      <c r="G67" s="59" t="s">
        <v>340</v>
      </c>
      <c r="H67" s="59" t="s">
        <v>641</v>
      </c>
      <c r="I67" s="59">
        <v>1</v>
      </c>
      <c r="J67" s="61">
        <v>8.4340277777777781E-3</v>
      </c>
      <c r="K67" s="61">
        <v>1.1030092592592593E-3</v>
      </c>
      <c r="L67" s="61">
        <v>2.5145833333333333E-2</v>
      </c>
      <c r="M67" s="61">
        <v>4.1319444444444449E-4</v>
      </c>
      <c r="N67" s="61">
        <v>1.4769675925925926E-2</v>
      </c>
      <c r="O67" s="61">
        <v>4.9869212962962962E-2</v>
      </c>
      <c r="P67" s="59" t="s">
        <v>3058</v>
      </c>
      <c r="Q67" s="8">
        <f t="shared" si="1"/>
        <v>841</v>
      </c>
      <c r="R67" s="14"/>
      <c r="S67" s="8"/>
      <c r="T67" s="8"/>
    </row>
    <row r="68" spans="1:20" ht="15.75" customHeight="1">
      <c r="A68" s="59">
        <v>5</v>
      </c>
      <c r="B68" s="59">
        <v>226</v>
      </c>
      <c r="C68" s="60" t="s">
        <v>135</v>
      </c>
      <c r="D68" s="59" t="s">
        <v>230</v>
      </c>
      <c r="E68" s="59" t="s">
        <v>231</v>
      </c>
      <c r="F68" s="59" t="s">
        <v>138</v>
      </c>
      <c r="G68" s="59" t="s">
        <v>340</v>
      </c>
      <c r="H68" s="59" t="s">
        <v>344</v>
      </c>
      <c r="I68" s="59">
        <v>1</v>
      </c>
      <c r="J68" s="61">
        <v>9.7847222222222224E-3</v>
      </c>
      <c r="K68" s="61">
        <v>1.2488425925925926E-3</v>
      </c>
      <c r="L68" s="61">
        <v>2.399421296296296E-2</v>
      </c>
      <c r="M68" s="61">
        <v>4.3981481481481481E-4</v>
      </c>
      <c r="N68" s="61">
        <v>1.442824074074074E-2</v>
      </c>
      <c r="O68" s="61">
        <v>4.9898148148148143E-2</v>
      </c>
      <c r="P68" s="59" t="s">
        <v>3059</v>
      </c>
      <c r="Q68" s="8">
        <f t="shared" si="1"/>
        <v>840</v>
      </c>
      <c r="R68" s="14"/>
      <c r="S68" s="8"/>
      <c r="T68" s="8"/>
    </row>
    <row r="69" spans="1:20" ht="15.75" customHeight="1">
      <c r="A69" s="59">
        <v>6</v>
      </c>
      <c r="B69" s="59">
        <v>160</v>
      </c>
      <c r="C69" s="60" t="s">
        <v>135</v>
      </c>
      <c r="D69" s="59" t="s">
        <v>698</v>
      </c>
      <c r="E69" s="59" t="s">
        <v>699</v>
      </c>
      <c r="F69" s="59" t="s">
        <v>252</v>
      </c>
      <c r="G69" s="59" t="s">
        <v>340</v>
      </c>
      <c r="H69" s="59" t="s">
        <v>341</v>
      </c>
      <c r="I69" s="59">
        <v>1</v>
      </c>
      <c r="J69" s="61">
        <v>8.9675925925925912E-3</v>
      </c>
      <c r="K69" s="61">
        <v>1.0092592592592592E-3</v>
      </c>
      <c r="L69" s="61">
        <v>2.3629629629629629E-2</v>
      </c>
      <c r="M69" s="61">
        <v>4.5023148148148147E-4</v>
      </c>
      <c r="N69" s="61">
        <v>1.59375E-2</v>
      </c>
      <c r="O69" s="61">
        <v>4.9996527777777779E-2</v>
      </c>
      <c r="P69" s="59" t="s">
        <v>3060</v>
      </c>
      <c r="Q69" s="8">
        <f t="shared" si="1"/>
        <v>839</v>
      </c>
      <c r="R69" s="14"/>
      <c r="S69" s="8"/>
      <c r="T69" s="8"/>
    </row>
    <row r="70" spans="1:20" ht="15.75" customHeight="1">
      <c r="A70" s="59">
        <v>7</v>
      </c>
      <c r="B70" s="59">
        <v>207</v>
      </c>
      <c r="C70" s="60" t="s">
        <v>135</v>
      </c>
      <c r="D70" s="59" t="s">
        <v>217</v>
      </c>
      <c r="E70" s="59" t="s">
        <v>218</v>
      </c>
      <c r="F70" s="59" t="s">
        <v>219</v>
      </c>
      <c r="G70" s="59" t="s">
        <v>340</v>
      </c>
      <c r="H70" s="59" t="s">
        <v>344</v>
      </c>
      <c r="I70" s="59">
        <v>2</v>
      </c>
      <c r="J70" s="61">
        <v>9.586805555555555E-3</v>
      </c>
      <c r="K70" s="61">
        <v>1.3182870370370371E-3</v>
      </c>
      <c r="L70" s="61">
        <v>2.4138888888888887E-2</v>
      </c>
      <c r="M70" s="61">
        <v>3.8541666666666661E-4</v>
      </c>
      <c r="N70" s="61">
        <v>1.4833333333333332E-2</v>
      </c>
      <c r="O70" s="61">
        <v>5.0266203703703702E-2</v>
      </c>
      <c r="P70" s="59" t="s">
        <v>3061</v>
      </c>
      <c r="Q70" s="8">
        <f t="shared" si="1"/>
        <v>834</v>
      </c>
      <c r="R70" s="14"/>
      <c r="S70" s="8"/>
      <c r="T70" s="8"/>
    </row>
    <row r="71" spans="1:20" ht="15.75" customHeight="1">
      <c r="A71" s="59">
        <v>8</v>
      </c>
      <c r="B71" s="59">
        <v>219</v>
      </c>
      <c r="C71" s="60" t="s">
        <v>135</v>
      </c>
      <c r="D71" s="59" t="s">
        <v>3062</v>
      </c>
      <c r="E71" s="59" t="s">
        <v>3063</v>
      </c>
      <c r="F71" s="59" t="s">
        <v>252</v>
      </c>
      <c r="G71" s="59" t="s">
        <v>340</v>
      </c>
      <c r="H71" s="59" t="s">
        <v>348</v>
      </c>
      <c r="I71" s="59">
        <v>1</v>
      </c>
      <c r="J71" s="61">
        <v>1.1171296296296297E-2</v>
      </c>
      <c r="K71" s="61">
        <v>1.3067129629629631E-3</v>
      </c>
      <c r="L71" s="61">
        <v>2.4106481481481482E-2</v>
      </c>
      <c r="M71" s="61">
        <v>3.9467592592592592E-4</v>
      </c>
      <c r="N71" s="61">
        <v>1.3490740740740739E-2</v>
      </c>
      <c r="O71" s="61">
        <v>5.0472222222222224E-2</v>
      </c>
      <c r="P71" s="59" t="s">
        <v>3064</v>
      </c>
      <c r="Q71" s="8">
        <f t="shared" si="1"/>
        <v>831</v>
      </c>
      <c r="R71" s="14"/>
      <c r="S71" s="8"/>
      <c r="T71" s="8"/>
    </row>
    <row r="72" spans="1:20" ht="15.75" customHeight="1">
      <c r="A72" s="59">
        <v>9</v>
      </c>
      <c r="B72" s="59">
        <v>181</v>
      </c>
      <c r="C72" s="60" t="s">
        <v>135</v>
      </c>
      <c r="D72" s="59" t="s">
        <v>3065</v>
      </c>
      <c r="E72" s="59" t="s">
        <v>3066</v>
      </c>
      <c r="F72" s="59" t="s">
        <v>3067</v>
      </c>
      <c r="G72" s="59" t="s">
        <v>340</v>
      </c>
      <c r="H72" s="59" t="s">
        <v>641</v>
      </c>
      <c r="I72" s="59">
        <v>2</v>
      </c>
      <c r="J72" s="61">
        <v>6.9814814814814817E-3</v>
      </c>
      <c r="K72" s="61">
        <v>1.1319444444444443E-3</v>
      </c>
      <c r="L72" s="61">
        <v>2.759027777777778E-2</v>
      </c>
      <c r="M72" s="61">
        <v>3.1712962962962961E-4</v>
      </c>
      <c r="N72" s="61">
        <v>1.4614583333333334E-2</v>
      </c>
      <c r="O72" s="61">
        <v>5.0637731481481485E-2</v>
      </c>
      <c r="P72" s="59" t="s">
        <v>3068</v>
      </c>
      <c r="Q72" s="8">
        <f t="shared" si="1"/>
        <v>828</v>
      </c>
      <c r="R72" s="14"/>
      <c r="S72" s="8"/>
      <c r="T72" s="8"/>
    </row>
    <row r="73" spans="1:20" ht="15.75" customHeight="1">
      <c r="A73" s="59">
        <v>10</v>
      </c>
      <c r="B73" s="59">
        <v>213</v>
      </c>
      <c r="C73" s="60" t="s">
        <v>135</v>
      </c>
      <c r="D73" s="59" t="s">
        <v>749</v>
      </c>
      <c r="E73" s="59" t="s">
        <v>750</v>
      </c>
      <c r="F73" s="59"/>
      <c r="G73" s="59" t="s">
        <v>340</v>
      </c>
      <c r="H73" s="59" t="s">
        <v>344</v>
      </c>
      <c r="I73" s="59">
        <v>3</v>
      </c>
      <c r="J73" s="61">
        <v>8.5231481481481478E-3</v>
      </c>
      <c r="K73" s="61">
        <v>1.4120370370370369E-3</v>
      </c>
      <c r="L73" s="61">
        <v>2.5469907407407406E-2</v>
      </c>
      <c r="M73" s="61">
        <v>3.7962962962962961E-4</v>
      </c>
      <c r="N73" s="61">
        <v>1.5019675925925926E-2</v>
      </c>
      <c r="O73" s="61">
        <v>5.0807870370370371E-2</v>
      </c>
      <c r="P73" s="59" t="s">
        <v>3069</v>
      </c>
      <c r="Q73" s="8">
        <f t="shared" si="1"/>
        <v>825</v>
      </c>
      <c r="R73" s="14"/>
      <c r="S73" s="8"/>
      <c r="T73" s="8"/>
    </row>
    <row r="74" spans="1:20" ht="15.75" customHeight="1">
      <c r="A74" s="59">
        <v>11</v>
      </c>
      <c r="B74" s="59">
        <v>217</v>
      </c>
      <c r="C74" s="60" t="s">
        <v>135</v>
      </c>
      <c r="D74" s="59" t="s">
        <v>739</v>
      </c>
      <c r="E74" s="59" t="s">
        <v>740</v>
      </c>
      <c r="F74" s="59"/>
      <c r="G74" s="59" t="s">
        <v>340</v>
      </c>
      <c r="H74" s="59" t="s">
        <v>344</v>
      </c>
      <c r="I74" s="59">
        <v>4</v>
      </c>
      <c r="J74" s="61">
        <v>9.0150462962962953E-3</v>
      </c>
      <c r="K74" s="61">
        <v>1.2476851851851852E-3</v>
      </c>
      <c r="L74" s="61">
        <v>2.4728009259259259E-2</v>
      </c>
      <c r="M74" s="61">
        <v>3.6689814814814815E-4</v>
      </c>
      <c r="N74" s="61">
        <v>1.582638888888889E-2</v>
      </c>
      <c r="O74" s="61">
        <v>5.1185185185185181E-2</v>
      </c>
      <c r="P74" s="59" t="s">
        <v>3070</v>
      </c>
      <c r="Q74" s="8">
        <f t="shared" si="1"/>
        <v>819</v>
      </c>
      <c r="R74" s="14"/>
      <c r="S74" s="8"/>
      <c r="T74" s="8"/>
    </row>
    <row r="75" spans="1:20" ht="15.75" customHeight="1">
      <c r="A75" s="59">
        <v>12</v>
      </c>
      <c r="B75" s="59">
        <v>220</v>
      </c>
      <c r="C75" s="60" t="s">
        <v>135</v>
      </c>
      <c r="D75" s="59" t="s">
        <v>171</v>
      </c>
      <c r="E75" s="59" t="s">
        <v>172</v>
      </c>
      <c r="F75" s="59" t="s">
        <v>173</v>
      </c>
      <c r="G75" s="59" t="s">
        <v>340</v>
      </c>
      <c r="H75" s="59" t="s">
        <v>641</v>
      </c>
      <c r="I75" s="59">
        <v>3</v>
      </c>
      <c r="J75" s="61">
        <v>7.6539351851851846E-3</v>
      </c>
      <c r="K75" s="61">
        <v>8.7615740740740742E-4</v>
      </c>
      <c r="L75" s="61">
        <v>2.7491898148148151E-2</v>
      </c>
      <c r="M75" s="61">
        <v>3.1250000000000001E-4</v>
      </c>
      <c r="N75" s="61">
        <v>1.5519675925925926E-2</v>
      </c>
      <c r="O75" s="61">
        <v>5.1855324074074075E-2</v>
      </c>
      <c r="P75" s="59" t="s">
        <v>3071</v>
      </c>
      <c r="Q75" s="8">
        <f t="shared" si="1"/>
        <v>809</v>
      </c>
      <c r="R75" s="14"/>
      <c r="S75" s="8"/>
      <c r="T75" s="8"/>
    </row>
    <row r="76" spans="1:20" ht="15.75" customHeight="1">
      <c r="A76" s="59">
        <v>13</v>
      </c>
      <c r="B76" s="59">
        <v>200</v>
      </c>
      <c r="C76" s="60" t="s">
        <v>135</v>
      </c>
      <c r="D76" s="59" t="s">
        <v>474</v>
      </c>
      <c r="E76" s="59" t="s">
        <v>475</v>
      </c>
      <c r="F76" s="59" t="s">
        <v>148</v>
      </c>
      <c r="G76" s="59" t="s">
        <v>340</v>
      </c>
      <c r="H76" s="59" t="s">
        <v>344</v>
      </c>
      <c r="I76" s="59">
        <v>5</v>
      </c>
      <c r="J76" s="61">
        <v>8.9340277777777768E-3</v>
      </c>
      <c r="K76" s="61">
        <v>1.2002314814814816E-3</v>
      </c>
      <c r="L76" s="61">
        <v>2.6918981481481485E-2</v>
      </c>
      <c r="M76" s="61">
        <v>3.6574074074074075E-4</v>
      </c>
      <c r="N76" s="61">
        <v>1.4569444444444444E-2</v>
      </c>
      <c r="O76" s="61">
        <v>5.1989583333333332E-2</v>
      </c>
      <c r="P76" s="59" t="s">
        <v>3072</v>
      </c>
      <c r="Q76" s="8">
        <f t="shared" si="1"/>
        <v>807</v>
      </c>
      <c r="R76" s="14"/>
      <c r="S76" s="8"/>
      <c r="T76" s="8"/>
    </row>
    <row r="77" spans="1:20" ht="15.75" customHeight="1">
      <c r="A77" s="59">
        <v>14</v>
      </c>
      <c r="B77" s="59">
        <v>159</v>
      </c>
      <c r="C77" s="60" t="s">
        <v>135</v>
      </c>
      <c r="D77" s="59" t="s">
        <v>2576</v>
      </c>
      <c r="E77" s="59" t="s">
        <v>2577</v>
      </c>
      <c r="F77" s="59" t="s">
        <v>138</v>
      </c>
      <c r="G77" s="59" t="s">
        <v>340</v>
      </c>
      <c r="H77" s="59" t="s">
        <v>420</v>
      </c>
      <c r="I77" s="59">
        <v>1</v>
      </c>
      <c r="J77" s="61">
        <v>9.9837962962962962E-3</v>
      </c>
      <c r="K77" s="61">
        <v>2.0358796296296297E-3</v>
      </c>
      <c r="L77" s="61">
        <v>2.5002314814814814E-2</v>
      </c>
      <c r="M77" s="61">
        <v>4.9421296296296301E-4</v>
      </c>
      <c r="N77" s="61">
        <v>1.447800925925926E-2</v>
      </c>
      <c r="O77" s="61">
        <v>5.199652777777778E-2</v>
      </c>
      <c r="P77" s="59" t="s">
        <v>3073</v>
      </c>
      <c r="Q77" s="8">
        <f t="shared" si="1"/>
        <v>807</v>
      </c>
      <c r="R77" s="14"/>
      <c r="S77" s="8"/>
      <c r="T77" s="8"/>
    </row>
    <row r="78" spans="1:20" ht="15.75" customHeight="1">
      <c r="A78" s="59">
        <v>15</v>
      </c>
      <c r="B78" s="59">
        <v>172</v>
      </c>
      <c r="C78" s="60" t="s">
        <v>135</v>
      </c>
      <c r="D78" s="59" t="s">
        <v>2583</v>
      </c>
      <c r="E78" s="59" t="s">
        <v>2584</v>
      </c>
      <c r="F78" s="59" t="s">
        <v>153</v>
      </c>
      <c r="G78" s="59" t="s">
        <v>319</v>
      </c>
      <c r="H78" s="59" t="s">
        <v>154</v>
      </c>
      <c r="I78" s="59"/>
      <c r="J78" s="61">
        <v>1.2042824074074074E-2</v>
      </c>
      <c r="K78" s="61">
        <v>1.3865740740740741E-3</v>
      </c>
      <c r="L78" s="61">
        <v>2.3539351851851853E-2</v>
      </c>
      <c r="M78" s="61">
        <v>4.3518518518518521E-4</v>
      </c>
      <c r="N78" s="61">
        <v>1.4934027777777777E-2</v>
      </c>
      <c r="O78" s="61">
        <v>5.2339120370370376E-2</v>
      </c>
      <c r="P78" s="59" t="s">
        <v>3074</v>
      </c>
      <c r="Q78" s="8">
        <f t="shared" si="1"/>
        <v>801</v>
      </c>
      <c r="R78" s="14"/>
      <c r="S78" s="8"/>
      <c r="T78" s="8"/>
    </row>
    <row r="79" spans="1:20" ht="15.75" customHeight="1">
      <c r="A79" s="59">
        <v>16</v>
      </c>
      <c r="B79" s="59">
        <v>204</v>
      </c>
      <c r="C79" s="60" t="s">
        <v>135</v>
      </c>
      <c r="D79" s="59" t="s">
        <v>756</v>
      </c>
      <c r="E79" s="59" t="s">
        <v>757</v>
      </c>
      <c r="F79" s="59"/>
      <c r="G79" s="59" t="s">
        <v>340</v>
      </c>
      <c r="H79" s="59" t="s">
        <v>357</v>
      </c>
      <c r="I79" s="59">
        <v>1</v>
      </c>
      <c r="J79" s="61">
        <v>1.2072916666666666E-2</v>
      </c>
      <c r="K79" s="61">
        <v>1.1550925925925925E-3</v>
      </c>
      <c r="L79" s="61">
        <v>2.4210648148148151E-2</v>
      </c>
      <c r="M79" s="61">
        <v>4.0277777777777773E-4</v>
      </c>
      <c r="N79" s="61">
        <v>1.4553240740740742E-2</v>
      </c>
      <c r="O79" s="61">
        <v>5.2398148148148145E-2</v>
      </c>
      <c r="P79" s="59" t="s">
        <v>3075</v>
      </c>
      <c r="Q79" s="8">
        <f t="shared" si="1"/>
        <v>800</v>
      </c>
      <c r="R79" s="14"/>
      <c r="S79" s="8"/>
      <c r="T79" s="8"/>
    </row>
    <row r="80" spans="1:20" ht="15.75" customHeight="1">
      <c r="A80" s="59">
        <v>17</v>
      </c>
      <c r="B80" s="59">
        <v>195</v>
      </c>
      <c r="C80" s="60" t="s">
        <v>135</v>
      </c>
      <c r="D80" s="59" t="s">
        <v>780</v>
      </c>
      <c r="E80" s="59" t="s">
        <v>781</v>
      </c>
      <c r="F80" s="59" t="s">
        <v>782</v>
      </c>
      <c r="G80" s="59" t="s">
        <v>340</v>
      </c>
      <c r="H80" s="59" t="s">
        <v>344</v>
      </c>
      <c r="I80" s="59">
        <v>6</v>
      </c>
      <c r="J80" s="61">
        <v>8.2118055555555555E-3</v>
      </c>
      <c r="K80" s="61">
        <v>1.4722222222222222E-3</v>
      </c>
      <c r="L80" s="61">
        <v>2.7101851851851849E-2</v>
      </c>
      <c r="M80" s="61">
        <v>4.5833333333333332E-4</v>
      </c>
      <c r="N80" s="61">
        <v>1.560763888888889E-2</v>
      </c>
      <c r="O80" s="61">
        <v>5.2854166666666674E-2</v>
      </c>
      <c r="P80" s="59" t="s">
        <v>3076</v>
      </c>
      <c r="Q80" s="8">
        <f t="shared" si="1"/>
        <v>793</v>
      </c>
      <c r="R80" s="14"/>
      <c r="S80" s="8"/>
      <c r="T80" s="8"/>
    </row>
    <row r="81" spans="1:20" ht="15.75" customHeight="1">
      <c r="A81" s="59">
        <v>18</v>
      </c>
      <c r="B81" s="59">
        <v>225</v>
      </c>
      <c r="C81" s="60" t="s">
        <v>135</v>
      </c>
      <c r="D81" s="59" t="s">
        <v>3077</v>
      </c>
      <c r="E81" s="59" t="s">
        <v>3078</v>
      </c>
      <c r="F81" s="59"/>
      <c r="G81" s="59" t="s">
        <v>340</v>
      </c>
      <c r="H81" s="59" t="s">
        <v>641</v>
      </c>
      <c r="I81" s="59">
        <v>4</v>
      </c>
      <c r="J81" s="61">
        <v>1.1447916666666667E-2</v>
      </c>
      <c r="K81" s="61">
        <v>1.0092592592592592E-3</v>
      </c>
      <c r="L81" s="61">
        <v>2.6356481481481481E-2</v>
      </c>
      <c r="M81" s="61">
        <v>4.224537037037037E-4</v>
      </c>
      <c r="N81" s="61">
        <v>1.3756944444444443E-2</v>
      </c>
      <c r="O81" s="61">
        <v>5.2994212962962958E-2</v>
      </c>
      <c r="P81" s="59" t="s">
        <v>3079</v>
      </c>
      <c r="Q81" s="8">
        <f t="shared" si="1"/>
        <v>791</v>
      </c>
      <c r="R81" s="14"/>
      <c r="S81" s="8"/>
      <c r="T81" s="8"/>
    </row>
    <row r="82" spans="1:20" ht="15.75" customHeight="1">
      <c r="A82" s="59">
        <v>19</v>
      </c>
      <c r="B82" s="59">
        <v>154</v>
      </c>
      <c r="C82" s="60" t="s">
        <v>135</v>
      </c>
      <c r="D82" s="59" t="s">
        <v>270</v>
      </c>
      <c r="E82" s="59" t="s">
        <v>271</v>
      </c>
      <c r="F82" s="59" t="s">
        <v>3080</v>
      </c>
      <c r="G82" s="59" t="s">
        <v>340</v>
      </c>
      <c r="H82" s="59" t="s">
        <v>341</v>
      </c>
      <c r="I82" s="59">
        <v>2</v>
      </c>
      <c r="J82" s="61">
        <v>1.0886574074074075E-2</v>
      </c>
      <c r="K82" s="61">
        <v>1.3726851851851851E-3</v>
      </c>
      <c r="L82" s="61">
        <v>2.5696759259259256E-2</v>
      </c>
      <c r="M82" s="61">
        <v>3.5879629629629629E-4</v>
      </c>
      <c r="N82" s="61">
        <v>1.6092592592592592E-2</v>
      </c>
      <c r="O82" s="61">
        <v>5.440972222222222E-2</v>
      </c>
      <c r="P82" s="59" t="s">
        <v>3081</v>
      </c>
      <c r="Q82" s="8">
        <f t="shared" si="1"/>
        <v>771</v>
      </c>
      <c r="R82" s="14"/>
      <c r="S82" s="8"/>
      <c r="T82" s="8"/>
    </row>
    <row r="83" spans="1:20" ht="15.75" customHeight="1">
      <c r="A83" s="59">
        <v>20</v>
      </c>
      <c r="B83" s="59">
        <v>190</v>
      </c>
      <c r="C83" s="59"/>
      <c r="D83" s="59" t="s">
        <v>797</v>
      </c>
      <c r="E83" s="59" t="s">
        <v>798</v>
      </c>
      <c r="F83" s="59" t="s">
        <v>799</v>
      </c>
      <c r="G83" s="59" t="s">
        <v>340</v>
      </c>
      <c r="H83" s="59" t="s">
        <v>344</v>
      </c>
      <c r="I83" s="59">
        <v>7</v>
      </c>
      <c r="J83" s="61">
        <v>8.2962962962962964E-3</v>
      </c>
      <c r="K83" s="61">
        <v>1.6412037037037037E-3</v>
      </c>
      <c r="L83" s="61">
        <v>2.8938657407407409E-2</v>
      </c>
      <c r="M83" s="61">
        <v>5.6944444444444447E-4</v>
      </c>
      <c r="N83" s="61">
        <v>1.6431712962962964E-2</v>
      </c>
      <c r="O83" s="61">
        <v>5.5879629629629626E-2</v>
      </c>
      <c r="P83" s="59" t="s">
        <v>3082</v>
      </c>
      <c r="Q83" s="8">
        <f t="shared" si="1"/>
        <v>750</v>
      </c>
      <c r="R83" s="14"/>
      <c r="S83" s="8"/>
      <c r="T83" s="8"/>
    </row>
    <row r="84" spans="1:20" ht="15.75" customHeight="1">
      <c r="A84" s="59">
        <v>21</v>
      </c>
      <c r="B84" s="59">
        <v>211</v>
      </c>
      <c r="C84" s="60" t="s">
        <v>135</v>
      </c>
      <c r="D84" s="59" t="s">
        <v>784</v>
      </c>
      <c r="E84" s="59" t="s">
        <v>785</v>
      </c>
      <c r="F84" s="59"/>
      <c r="G84" s="59" t="s">
        <v>340</v>
      </c>
      <c r="H84" s="59" t="s">
        <v>348</v>
      </c>
      <c r="I84" s="59">
        <v>2</v>
      </c>
      <c r="J84" s="61">
        <v>1.0494212962962964E-2</v>
      </c>
      <c r="K84" s="61">
        <v>1.1354166666666665E-3</v>
      </c>
      <c r="L84" s="61">
        <v>2.759027777777778E-2</v>
      </c>
      <c r="M84" s="61">
        <v>5.7523148148148147E-4</v>
      </c>
      <c r="N84" s="61">
        <v>1.6357638888888887E-2</v>
      </c>
      <c r="O84" s="61">
        <v>5.6156249999999998E-2</v>
      </c>
      <c r="P84" s="59" t="s">
        <v>3083</v>
      </c>
      <c r="Q84" s="8">
        <f t="shared" si="1"/>
        <v>747</v>
      </c>
      <c r="R84" s="14"/>
      <c r="S84" s="8"/>
      <c r="T84" s="8"/>
    </row>
    <row r="85" spans="1:20" ht="15.75" customHeight="1">
      <c r="A85" s="59">
        <v>22</v>
      </c>
      <c r="B85" s="59">
        <v>221</v>
      </c>
      <c r="C85" s="60" t="s">
        <v>135</v>
      </c>
      <c r="D85" s="59" t="s">
        <v>3084</v>
      </c>
      <c r="E85" s="59" t="s">
        <v>3085</v>
      </c>
      <c r="F85" s="59" t="s">
        <v>3086</v>
      </c>
      <c r="G85" s="59" t="s">
        <v>340</v>
      </c>
      <c r="H85" s="59" t="s">
        <v>420</v>
      </c>
      <c r="I85" s="59">
        <v>2</v>
      </c>
      <c r="J85" s="61">
        <v>8.1863425925925923E-3</v>
      </c>
      <c r="K85" s="61">
        <v>1.724537037037037E-3</v>
      </c>
      <c r="L85" s="61">
        <v>2.6685185185185183E-2</v>
      </c>
      <c r="M85" s="61">
        <v>3.5416666666666669E-4</v>
      </c>
      <c r="N85" s="61">
        <v>1.9313657407407408E-2</v>
      </c>
      <c r="O85" s="61">
        <v>5.62662037037037E-2</v>
      </c>
      <c r="P85" s="59" t="s">
        <v>3087</v>
      </c>
      <c r="Q85" s="8">
        <f t="shared" si="1"/>
        <v>745</v>
      </c>
      <c r="R85" s="14"/>
      <c r="S85" s="8"/>
      <c r="T85" s="8"/>
    </row>
    <row r="86" spans="1:20" ht="15.75" customHeight="1">
      <c r="A86" s="59">
        <v>23</v>
      </c>
      <c r="B86" s="59">
        <v>162</v>
      </c>
      <c r="C86" s="60" t="s">
        <v>135</v>
      </c>
      <c r="D86" s="59" t="s">
        <v>2421</v>
      </c>
      <c r="E86" s="59" t="s">
        <v>2422</v>
      </c>
      <c r="F86" s="59" t="s">
        <v>153</v>
      </c>
      <c r="G86" s="59" t="s">
        <v>340</v>
      </c>
      <c r="H86" s="59" t="s">
        <v>420</v>
      </c>
      <c r="I86" s="59">
        <v>3</v>
      </c>
      <c r="J86" s="61">
        <v>9.9722222222222226E-3</v>
      </c>
      <c r="K86" s="61">
        <v>1.8981481481481482E-3</v>
      </c>
      <c r="L86" s="61">
        <v>2.7589120370370368E-2</v>
      </c>
      <c r="M86" s="61">
        <v>5.4861111111111104E-4</v>
      </c>
      <c r="N86" s="61">
        <v>1.6340277777777776E-2</v>
      </c>
      <c r="O86" s="61">
        <v>5.6350694444444439E-2</v>
      </c>
      <c r="P86" s="59" t="s">
        <v>3088</v>
      </c>
      <c r="Q86" s="8">
        <f t="shared" si="1"/>
        <v>744</v>
      </c>
      <c r="R86" s="14"/>
      <c r="S86" s="8"/>
      <c r="T86" s="8"/>
    </row>
    <row r="87" spans="1:20" ht="15.75" customHeight="1">
      <c r="A87" s="59">
        <v>24</v>
      </c>
      <c r="B87" s="59">
        <v>157</v>
      </c>
      <c r="C87" s="60" t="s">
        <v>135</v>
      </c>
      <c r="D87" s="59" t="s">
        <v>2590</v>
      </c>
      <c r="E87" s="59" t="s">
        <v>2591</v>
      </c>
      <c r="F87" s="59"/>
      <c r="G87" s="59" t="s">
        <v>340</v>
      </c>
      <c r="H87" s="59" t="s">
        <v>357</v>
      </c>
      <c r="I87" s="59">
        <v>2</v>
      </c>
      <c r="J87" s="61">
        <v>1.1061342592592593E-2</v>
      </c>
      <c r="K87" s="61">
        <v>1.5833333333333335E-3</v>
      </c>
      <c r="L87" s="61">
        <v>2.7782407407407408E-2</v>
      </c>
      <c r="M87" s="61">
        <v>6.041666666666667E-4</v>
      </c>
      <c r="N87" s="61">
        <v>1.6293981481481482E-2</v>
      </c>
      <c r="O87" s="61">
        <v>5.73275462962963E-2</v>
      </c>
      <c r="P87" s="59" t="s">
        <v>3089</v>
      </c>
      <c r="Q87" s="8">
        <f t="shared" si="1"/>
        <v>732</v>
      </c>
      <c r="R87" s="14"/>
      <c r="S87" s="8"/>
      <c r="T87" s="8"/>
    </row>
    <row r="88" spans="1:20" ht="15.75" customHeight="1">
      <c r="A88" s="59">
        <v>25</v>
      </c>
      <c r="B88" s="59">
        <v>175</v>
      </c>
      <c r="C88" s="60" t="s">
        <v>135</v>
      </c>
      <c r="D88" s="59" t="s">
        <v>293</v>
      </c>
      <c r="E88" s="59" t="s">
        <v>294</v>
      </c>
      <c r="F88" s="59" t="s">
        <v>199</v>
      </c>
      <c r="G88" s="59" t="s">
        <v>340</v>
      </c>
      <c r="H88" s="59" t="s">
        <v>348</v>
      </c>
      <c r="I88" s="59">
        <v>3</v>
      </c>
      <c r="J88" s="61">
        <v>1.0935185185185185E-2</v>
      </c>
      <c r="K88" s="61">
        <v>1.3912037037037037E-3</v>
      </c>
      <c r="L88" s="61">
        <v>2.6850694444444444E-2</v>
      </c>
      <c r="M88" s="61">
        <v>6.087962962962963E-4</v>
      </c>
      <c r="N88" s="61">
        <v>1.7594907407407406E-2</v>
      </c>
      <c r="O88" s="61">
        <v>5.7383101851851845E-2</v>
      </c>
      <c r="P88" s="59" t="s">
        <v>3090</v>
      </c>
      <c r="Q88" s="8">
        <f t="shared" si="1"/>
        <v>731</v>
      </c>
      <c r="R88" s="14"/>
      <c r="S88" s="8"/>
      <c r="T88" s="8"/>
    </row>
    <row r="89" spans="1:20" ht="15.75" customHeight="1">
      <c r="A89" s="59">
        <v>26</v>
      </c>
      <c r="B89" s="59">
        <v>314</v>
      </c>
      <c r="C89" s="60" t="s">
        <v>135</v>
      </c>
      <c r="D89" s="59" t="s">
        <v>2114</v>
      </c>
      <c r="E89" s="59" t="s">
        <v>2115</v>
      </c>
      <c r="F89" s="59" t="s">
        <v>138</v>
      </c>
      <c r="G89" s="59" t="s">
        <v>340</v>
      </c>
      <c r="H89" s="59" t="s">
        <v>344</v>
      </c>
      <c r="I89" s="59">
        <v>8</v>
      </c>
      <c r="J89" s="61">
        <v>9.5196759259259262E-3</v>
      </c>
      <c r="K89" s="61">
        <v>1.4895833333333332E-3</v>
      </c>
      <c r="L89" s="61">
        <v>2.8795138888888891E-2</v>
      </c>
      <c r="M89" s="61">
        <v>6.7013888888888885E-4</v>
      </c>
      <c r="N89" s="61">
        <v>1.7347222222222222E-2</v>
      </c>
      <c r="O89" s="61">
        <v>5.7822916666666661E-2</v>
      </c>
      <c r="P89" s="59" t="s">
        <v>3091</v>
      </c>
      <c r="Q89" s="8">
        <f t="shared" si="1"/>
        <v>725</v>
      </c>
      <c r="R89" s="14"/>
      <c r="S89" s="8"/>
      <c r="T89" s="8"/>
    </row>
    <row r="90" spans="1:20" ht="15.75" customHeight="1">
      <c r="A90" s="59">
        <v>27</v>
      </c>
      <c r="B90" s="59">
        <v>191</v>
      </c>
      <c r="C90" s="60" t="s">
        <v>135</v>
      </c>
      <c r="D90" s="59" t="s">
        <v>296</v>
      </c>
      <c r="E90" s="59" t="s">
        <v>297</v>
      </c>
      <c r="F90" s="59" t="s">
        <v>199</v>
      </c>
      <c r="G90" s="59" t="s">
        <v>340</v>
      </c>
      <c r="H90" s="59" t="s">
        <v>420</v>
      </c>
      <c r="I90" s="59">
        <v>4</v>
      </c>
      <c r="J90" s="61">
        <v>1.0122685185185186E-2</v>
      </c>
      <c r="K90" s="61">
        <v>1.7511574074074074E-3</v>
      </c>
      <c r="L90" s="61">
        <v>2.6461805555555558E-2</v>
      </c>
      <c r="M90" s="61">
        <v>4.7916666666666664E-4</v>
      </c>
      <c r="N90" s="61">
        <v>1.9170138888888889E-2</v>
      </c>
      <c r="O90" s="61">
        <v>5.7987268518518521E-2</v>
      </c>
      <c r="P90" s="59" t="s">
        <v>3092</v>
      </c>
      <c r="Q90" s="8">
        <f t="shared" si="1"/>
        <v>723</v>
      </c>
      <c r="R90" s="14"/>
      <c r="S90" s="8"/>
      <c r="T90" s="8"/>
    </row>
    <row r="91" spans="1:20" ht="15.75" customHeight="1">
      <c r="A91" s="59">
        <v>28</v>
      </c>
      <c r="B91" s="59">
        <v>223</v>
      </c>
      <c r="C91" s="60" t="s">
        <v>135</v>
      </c>
      <c r="D91" s="59" t="s">
        <v>3093</v>
      </c>
      <c r="E91" s="59" t="s">
        <v>3094</v>
      </c>
      <c r="F91" s="59" t="s">
        <v>3095</v>
      </c>
      <c r="G91" s="59" t="s">
        <v>340</v>
      </c>
      <c r="H91" s="59" t="s">
        <v>420</v>
      </c>
      <c r="I91" s="59">
        <v>5</v>
      </c>
      <c r="J91" s="61">
        <v>1.0869212962962962E-2</v>
      </c>
      <c r="K91" s="61">
        <v>1.3356481481481483E-3</v>
      </c>
      <c r="L91" s="61">
        <v>2.7700231481481482E-2</v>
      </c>
      <c r="M91" s="61">
        <v>1.0879629629629629E-3</v>
      </c>
      <c r="N91" s="61">
        <v>1.7186342592592593E-2</v>
      </c>
      <c r="O91" s="61">
        <v>5.8180555555555555E-2</v>
      </c>
      <c r="P91" s="59" t="s">
        <v>3096</v>
      </c>
      <c r="Q91" s="8">
        <f t="shared" si="1"/>
        <v>721</v>
      </c>
      <c r="R91" s="14"/>
      <c r="S91" s="8"/>
      <c r="T91" s="8"/>
    </row>
    <row r="92" spans="1:20" ht="15.75" customHeight="1">
      <c r="A92" s="59">
        <v>29</v>
      </c>
      <c r="B92" s="59">
        <v>215</v>
      </c>
      <c r="C92" s="60" t="s">
        <v>140</v>
      </c>
      <c r="D92" s="59" t="s">
        <v>3097</v>
      </c>
      <c r="E92" s="59" t="s">
        <v>3098</v>
      </c>
      <c r="F92" s="59"/>
      <c r="G92" s="59" t="s">
        <v>340</v>
      </c>
      <c r="H92" s="59" t="s">
        <v>348</v>
      </c>
      <c r="I92" s="59">
        <v>4</v>
      </c>
      <c r="J92" s="61">
        <v>9.9236111111111105E-3</v>
      </c>
      <c r="K92" s="61">
        <v>1.2060185185185186E-3</v>
      </c>
      <c r="L92" s="61">
        <v>2.8344907407407409E-2</v>
      </c>
      <c r="M92" s="61">
        <v>6.3657407407407413E-4</v>
      </c>
      <c r="N92" s="61">
        <v>1.815162037037037E-2</v>
      </c>
      <c r="O92" s="61">
        <v>5.8263888888888886E-2</v>
      </c>
      <c r="P92" s="59" t="s">
        <v>3099</v>
      </c>
      <c r="Q92" s="8">
        <f t="shared" si="1"/>
        <v>720</v>
      </c>
      <c r="R92" s="14"/>
      <c r="S92" s="8"/>
      <c r="T92" s="8"/>
    </row>
    <row r="93" spans="1:20" ht="15.75" customHeight="1">
      <c r="A93" s="59">
        <v>30</v>
      </c>
      <c r="B93" s="59">
        <v>171</v>
      </c>
      <c r="C93" s="60" t="s">
        <v>135</v>
      </c>
      <c r="D93" s="59" t="s">
        <v>581</v>
      </c>
      <c r="E93" s="59" t="s">
        <v>582</v>
      </c>
      <c r="F93" s="59" t="s">
        <v>1808</v>
      </c>
      <c r="G93" s="59" t="s">
        <v>340</v>
      </c>
      <c r="H93" s="59" t="s">
        <v>348</v>
      </c>
      <c r="I93" s="59">
        <v>5</v>
      </c>
      <c r="J93" s="61">
        <v>1.1195601851851851E-2</v>
      </c>
      <c r="K93" s="61">
        <v>1.3101851851851853E-3</v>
      </c>
      <c r="L93" s="61">
        <v>2.7459490740740739E-2</v>
      </c>
      <c r="M93" s="61">
        <v>5.9259259259259258E-4</v>
      </c>
      <c r="N93" s="61">
        <v>1.773148148148148E-2</v>
      </c>
      <c r="O93" s="61">
        <v>5.8292824074074073E-2</v>
      </c>
      <c r="P93" s="59" t="s">
        <v>3100</v>
      </c>
      <c r="Q93" s="8">
        <f t="shared" si="1"/>
        <v>719</v>
      </c>
      <c r="R93" s="14"/>
      <c r="S93" s="8"/>
      <c r="T93" s="8"/>
    </row>
    <row r="94" spans="1:20" ht="15.75" customHeight="1">
      <c r="A94" s="59">
        <v>31</v>
      </c>
      <c r="B94" s="59">
        <v>152</v>
      </c>
      <c r="C94" s="60" t="s">
        <v>135</v>
      </c>
      <c r="D94" s="59" t="s">
        <v>875</v>
      </c>
      <c r="E94" s="59" t="s">
        <v>876</v>
      </c>
      <c r="F94" s="59" t="s">
        <v>877</v>
      </c>
      <c r="G94" s="59" t="s">
        <v>340</v>
      </c>
      <c r="H94" s="59" t="s">
        <v>624</v>
      </c>
      <c r="I94" s="59">
        <v>1</v>
      </c>
      <c r="J94" s="61">
        <v>1.1226851851851852E-2</v>
      </c>
      <c r="K94" s="61">
        <v>1.8217592592592593E-3</v>
      </c>
      <c r="L94" s="61">
        <v>2.7729166666666669E-2</v>
      </c>
      <c r="M94" s="61">
        <v>6.1921296296296301E-4</v>
      </c>
      <c r="N94" s="61">
        <v>1.7056712962962964E-2</v>
      </c>
      <c r="O94" s="61">
        <v>5.8456018518518525E-2</v>
      </c>
      <c r="P94" s="59" t="s">
        <v>3101</v>
      </c>
      <c r="Q94" s="8">
        <f t="shared" si="1"/>
        <v>717</v>
      </c>
      <c r="R94" s="14"/>
      <c r="S94" s="8"/>
      <c r="T94" s="8"/>
    </row>
    <row r="95" spans="1:20" ht="15.75" customHeight="1">
      <c r="A95" s="59">
        <v>32</v>
      </c>
      <c r="B95" s="59">
        <v>153</v>
      </c>
      <c r="C95" s="60" t="s">
        <v>135</v>
      </c>
      <c r="D95" s="59" t="s">
        <v>2611</v>
      </c>
      <c r="E95" s="59" t="s">
        <v>2612</v>
      </c>
      <c r="F95" s="59" t="s">
        <v>199</v>
      </c>
      <c r="G95" s="59" t="s">
        <v>340</v>
      </c>
      <c r="H95" s="59" t="s">
        <v>348</v>
      </c>
      <c r="I95" s="59">
        <v>6</v>
      </c>
      <c r="J95" s="61">
        <v>1.2035879629629631E-2</v>
      </c>
      <c r="K95" s="61">
        <v>1.8703703703703703E-3</v>
      </c>
      <c r="L95" s="61">
        <v>2.8259259259259258E-2</v>
      </c>
      <c r="M95" s="61">
        <v>5.3240740740740744E-4</v>
      </c>
      <c r="N95" s="61">
        <v>1.6466435185185185E-2</v>
      </c>
      <c r="O95" s="61">
        <v>5.9167824074074081E-2</v>
      </c>
      <c r="P95" s="59" t="s">
        <v>3102</v>
      </c>
      <c r="Q95" s="8">
        <f t="shared" si="1"/>
        <v>709</v>
      </c>
      <c r="R95" s="14"/>
      <c r="S95" s="8"/>
      <c r="T95" s="8"/>
    </row>
    <row r="96" spans="1:20" ht="15.75" customHeight="1">
      <c r="A96" s="59">
        <v>33</v>
      </c>
      <c r="B96" s="59">
        <v>183</v>
      </c>
      <c r="C96" s="59"/>
      <c r="D96" s="59" t="s">
        <v>920</v>
      </c>
      <c r="E96" s="59" t="s">
        <v>921</v>
      </c>
      <c r="F96" s="59" t="s">
        <v>3103</v>
      </c>
      <c r="G96" s="59" t="s">
        <v>319</v>
      </c>
      <c r="H96" s="59" t="s">
        <v>139</v>
      </c>
      <c r="I96" s="59"/>
      <c r="J96" s="61">
        <v>1.2225694444444444E-2</v>
      </c>
      <c r="K96" s="61">
        <v>1.2118055555555556E-3</v>
      </c>
      <c r="L96" s="61">
        <v>2.7986111111111111E-2</v>
      </c>
      <c r="M96" s="61">
        <v>4.803240740740741E-4</v>
      </c>
      <c r="N96" s="61">
        <v>1.7965277777777778E-2</v>
      </c>
      <c r="O96" s="61">
        <v>5.9870370370370372E-2</v>
      </c>
      <c r="P96" s="59" t="s">
        <v>3104</v>
      </c>
      <c r="Q96" s="8">
        <f t="shared" si="1"/>
        <v>700</v>
      </c>
      <c r="R96" s="14"/>
      <c r="S96" s="8"/>
      <c r="T96" s="8"/>
    </row>
    <row r="97" spans="1:20" ht="15.75" customHeight="1">
      <c r="A97" s="59">
        <v>34</v>
      </c>
      <c r="B97" s="59">
        <v>197</v>
      </c>
      <c r="C97" s="60" t="s">
        <v>135</v>
      </c>
      <c r="D97" s="59" t="s">
        <v>905</v>
      </c>
      <c r="E97" s="59" t="s">
        <v>906</v>
      </c>
      <c r="F97" s="59"/>
      <c r="G97" s="59" t="s">
        <v>340</v>
      </c>
      <c r="H97" s="59" t="s">
        <v>352</v>
      </c>
      <c r="I97" s="59">
        <v>1</v>
      </c>
      <c r="J97" s="61">
        <v>1.154861111111111E-2</v>
      </c>
      <c r="K97" s="61">
        <v>1.5185185185185184E-3</v>
      </c>
      <c r="L97" s="61">
        <v>2.8943287037037035E-2</v>
      </c>
      <c r="M97" s="61">
        <v>5.4282407407407404E-4</v>
      </c>
      <c r="N97" s="61">
        <v>1.7452546296296296E-2</v>
      </c>
      <c r="O97" s="61">
        <v>6.0008101851851847E-2</v>
      </c>
      <c r="P97" s="59" t="s">
        <v>3105</v>
      </c>
      <c r="Q97" s="8">
        <f t="shared" si="1"/>
        <v>699</v>
      </c>
      <c r="R97" s="14"/>
      <c r="S97" s="8"/>
      <c r="T97" s="8"/>
    </row>
    <row r="98" spans="1:20" ht="15.75" customHeight="1">
      <c r="A98" s="59">
        <v>35</v>
      </c>
      <c r="B98" s="59">
        <v>151</v>
      </c>
      <c r="C98" s="60" t="s">
        <v>135</v>
      </c>
      <c r="D98" s="59" t="s">
        <v>855</v>
      </c>
      <c r="E98" s="59" t="s">
        <v>856</v>
      </c>
      <c r="F98" s="59"/>
      <c r="G98" s="59" t="s">
        <v>340</v>
      </c>
      <c r="H98" s="59" t="s">
        <v>344</v>
      </c>
      <c r="I98" s="59">
        <v>9</v>
      </c>
      <c r="J98" s="61">
        <v>1.0379629629629629E-2</v>
      </c>
      <c r="K98" s="61">
        <v>1.9710648148148148E-3</v>
      </c>
      <c r="L98" s="61">
        <v>2.9767361111111112E-2</v>
      </c>
      <c r="M98" s="61">
        <v>4.5486111111111107E-4</v>
      </c>
      <c r="N98" s="61">
        <v>1.7437499999999998E-2</v>
      </c>
      <c r="O98" s="61">
        <v>6.0012731481481486E-2</v>
      </c>
      <c r="P98" s="59" t="s">
        <v>3106</v>
      </c>
      <c r="Q98" s="8">
        <f t="shared" si="1"/>
        <v>699</v>
      </c>
      <c r="R98" s="14"/>
      <c r="S98" s="8"/>
      <c r="T98" s="8"/>
    </row>
    <row r="99" spans="1:20" ht="15.75" customHeight="1">
      <c r="A99" s="59">
        <v>36</v>
      </c>
      <c r="B99" s="59">
        <v>177</v>
      </c>
      <c r="C99" s="60" t="s">
        <v>135</v>
      </c>
      <c r="D99" s="59" t="s">
        <v>2608</v>
      </c>
      <c r="E99" s="59" t="s">
        <v>2609</v>
      </c>
      <c r="F99" s="59" t="s">
        <v>2379</v>
      </c>
      <c r="G99" s="59" t="s">
        <v>340</v>
      </c>
      <c r="H99" s="59" t="s">
        <v>357</v>
      </c>
      <c r="I99" s="59">
        <v>3</v>
      </c>
      <c r="J99" s="61">
        <v>1.0548611111111111E-2</v>
      </c>
      <c r="K99" s="61">
        <v>1.5729166666666667E-3</v>
      </c>
      <c r="L99" s="61">
        <v>2.9255787037037035E-2</v>
      </c>
      <c r="M99" s="61">
        <v>6.145833333333333E-4</v>
      </c>
      <c r="N99" s="61">
        <v>1.8476851851851852E-2</v>
      </c>
      <c r="O99" s="61">
        <v>6.0471064814814811E-2</v>
      </c>
      <c r="P99" s="59" t="s">
        <v>3107</v>
      </c>
      <c r="Q99" s="8">
        <f t="shared" si="1"/>
        <v>693</v>
      </c>
      <c r="R99" s="14"/>
      <c r="S99" s="8"/>
      <c r="T99" s="8"/>
    </row>
    <row r="100" spans="1:20" ht="15.75" customHeight="1">
      <c r="A100" s="59">
        <v>37</v>
      </c>
      <c r="B100" s="59">
        <v>170</v>
      </c>
      <c r="C100" s="60" t="s">
        <v>135</v>
      </c>
      <c r="D100" s="59" t="s">
        <v>2137</v>
      </c>
      <c r="E100" s="59" t="s">
        <v>2138</v>
      </c>
      <c r="F100" s="59" t="s">
        <v>3108</v>
      </c>
      <c r="G100" s="59" t="s">
        <v>340</v>
      </c>
      <c r="H100" s="59" t="s">
        <v>348</v>
      </c>
      <c r="I100" s="59">
        <v>7</v>
      </c>
      <c r="J100" s="61">
        <v>1.5056712962962964E-2</v>
      </c>
      <c r="K100" s="61">
        <v>1.7175925925925926E-3</v>
      </c>
      <c r="L100" s="61">
        <v>2.8267361111111115E-2</v>
      </c>
      <c r="M100" s="61">
        <v>7.0486111111111107E-4</v>
      </c>
      <c r="N100" s="61">
        <v>1.5633101851851853E-2</v>
      </c>
      <c r="O100" s="61">
        <v>6.1379629629629624E-2</v>
      </c>
      <c r="P100" s="59" t="s">
        <v>3109</v>
      </c>
      <c r="Q100" s="8">
        <f t="shared" si="1"/>
        <v>683</v>
      </c>
      <c r="R100" s="14"/>
      <c r="S100" s="8"/>
      <c r="T100" s="8"/>
    </row>
    <row r="101" spans="1:20" ht="15.75" customHeight="1">
      <c r="A101" s="59">
        <v>38</v>
      </c>
      <c r="B101" s="59">
        <v>214</v>
      </c>
      <c r="C101" s="60" t="s">
        <v>135</v>
      </c>
      <c r="D101" s="59" t="s">
        <v>302</v>
      </c>
      <c r="E101" s="59" t="s">
        <v>303</v>
      </c>
      <c r="F101" s="59" t="s">
        <v>138</v>
      </c>
      <c r="G101" s="59" t="s">
        <v>340</v>
      </c>
      <c r="H101" s="59" t="s">
        <v>448</v>
      </c>
      <c r="I101" s="59">
        <v>1</v>
      </c>
      <c r="J101" s="61">
        <v>1.001388888888889E-2</v>
      </c>
      <c r="K101" s="61">
        <v>3.1747685185185186E-3</v>
      </c>
      <c r="L101" s="61">
        <v>2.9672453703703701E-2</v>
      </c>
      <c r="M101" s="61">
        <v>8.1018518518518516E-4</v>
      </c>
      <c r="N101" s="61">
        <v>1.8225694444444444E-2</v>
      </c>
      <c r="O101" s="61">
        <v>6.1899305555555562E-2</v>
      </c>
      <c r="P101" s="59" t="s">
        <v>3110</v>
      </c>
      <c r="Q101" s="8">
        <f t="shared" si="1"/>
        <v>677</v>
      </c>
      <c r="R101" s="14"/>
      <c r="S101" s="8"/>
      <c r="T101" s="8"/>
    </row>
    <row r="102" spans="1:20" ht="15.75" customHeight="1">
      <c r="A102" s="59">
        <v>39</v>
      </c>
      <c r="B102" s="59">
        <v>218</v>
      </c>
      <c r="C102" s="60" t="s">
        <v>135</v>
      </c>
      <c r="D102" s="59" t="s">
        <v>1000</v>
      </c>
      <c r="E102" s="59" t="s">
        <v>1001</v>
      </c>
      <c r="F102" s="59" t="s">
        <v>148</v>
      </c>
      <c r="G102" s="59" t="s">
        <v>340</v>
      </c>
      <c r="H102" s="59" t="s">
        <v>357</v>
      </c>
      <c r="I102" s="59">
        <v>4</v>
      </c>
      <c r="J102" s="61">
        <v>1.1384259259259259E-2</v>
      </c>
      <c r="K102" s="61">
        <v>2.204861111111111E-3</v>
      </c>
      <c r="L102" s="61">
        <v>2.9743055555555557E-2</v>
      </c>
      <c r="M102" s="61">
        <v>6.7476851851851845E-4</v>
      </c>
      <c r="N102" s="61">
        <v>1.8754629629629632E-2</v>
      </c>
      <c r="O102" s="61">
        <v>6.2763888888888897E-2</v>
      </c>
      <c r="P102" s="59" t="s">
        <v>1557</v>
      </c>
      <c r="Q102" s="8">
        <f t="shared" si="1"/>
        <v>668</v>
      </c>
      <c r="R102" s="14"/>
      <c r="S102" s="8"/>
      <c r="T102" s="8"/>
    </row>
    <row r="103" spans="1:20" ht="15.75" customHeight="1">
      <c r="A103" s="59">
        <v>40</v>
      </c>
      <c r="B103" s="59">
        <v>199</v>
      </c>
      <c r="C103" s="60" t="s">
        <v>135</v>
      </c>
      <c r="D103" s="59" t="s">
        <v>2627</v>
      </c>
      <c r="E103" s="59" t="s">
        <v>2628</v>
      </c>
      <c r="F103" s="59" t="s">
        <v>199</v>
      </c>
      <c r="G103" s="59" t="s">
        <v>319</v>
      </c>
      <c r="H103" s="59" t="s">
        <v>139</v>
      </c>
      <c r="I103" s="59"/>
      <c r="J103" s="61">
        <v>1.2142361111111111E-2</v>
      </c>
      <c r="K103" s="61">
        <v>1.7210648148148146E-3</v>
      </c>
      <c r="L103" s="61">
        <v>2.9711805555555554E-2</v>
      </c>
      <c r="M103" s="61">
        <v>4.7453703703703704E-4</v>
      </c>
      <c r="N103" s="61">
        <v>1.8865740740740742E-2</v>
      </c>
      <c r="O103" s="61">
        <v>6.2917824074074077E-2</v>
      </c>
      <c r="P103" s="59" t="s">
        <v>3111</v>
      </c>
      <c r="Q103" s="8">
        <f t="shared" si="1"/>
        <v>667</v>
      </c>
      <c r="R103" s="14"/>
      <c r="S103" s="8"/>
      <c r="T103" s="8"/>
    </row>
    <row r="104" spans="1:20" ht="15.75" customHeight="1">
      <c r="A104" s="59">
        <v>41</v>
      </c>
      <c r="B104" s="59">
        <v>208</v>
      </c>
      <c r="C104" s="60" t="s">
        <v>135</v>
      </c>
      <c r="D104" s="59" t="s">
        <v>3112</v>
      </c>
      <c r="E104" s="59" t="s">
        <v>3113</v>
      </c>
      <c r="F104" s="59" t="s">
        <v>199</v>
      </c>
      <c r="G104" s="59" t="s">
        <v>319</v>
      </c>
      <c r="H104" s="59" t="s">
        <v>159</v>
      </c>
      <c r="I104" s="59">
        <v>1</v>
      </c>
      <c r="J104" s="61">
        <v>1.0976851851851852E-2</v>
      </c>
      <c r="K104" s="61">
        <v>1.8298611111111111E-3</v>
      </c>
      <c r="L104" s="61">
        <v>3.0366898148148146E-2</v>
      </c>
      <c r="M104" s="61">
        <v>8.5185185185185179E-4</v>
      </c>
      <c r="N104" s="61">
        <v>1.9075231481481481E-2</v>
      </c>
      <c r="O104" s="61">
        <v>6.3103009259259268E-2</v>
      </c>
      <c r="P104" s="59" t="s">
        <v>3114</v>
      </c>
      <c r="Q104" s="8">
        <f t="shared" si="1"/>
        <v>665</v>
      </c>
      <c r="R104" s="14"/>
      <c r="S104" s="8"/>
      <c r="T104" s="8"/>
    </row>
    <row r="105" spans="1:20" ht="15.75" customHeight="1">
      <c r="A105" s="59">
        <v>42</v>
      </c>
      <c r="B105" s="59">
        <v>205</v>
      </c>
      <c r="C105" s="60" t="s">
        <v>135</v>
      </c>
      <c r="D105" s="59" t="s">
        <v>3115</v>
      </c>
      <c r="E105" s="59" t="s">
        <v>3116</v>
      </c>
      <c r="F105" s="59" t="s">
        <v>138</v>
      </c>
      <c r="G105" s="59" t="s">
        <v>319</v>
      </c>
      <c r="H105" s="59" t="s">
        <v>139</v>
      </c>
      <c r="I105" s="59">
        <v>1</v>
      </c>
      <c r="J105" s="61">
        <v>1.4383101851851852E-2</v>
      </c>
      <c r="K105" s="61">
        <v>1.8576388888888889E-3</v>
      </c>
      <c r="L105" s="61">
        <v>2.8958333333333332E-2</v>
      </c>
      <c r="M105" s="61">
        <v>6.4467592592592593E-4</v>
      </c>
      <c r="N105" s="61">
        <v>1.7394675925925928E-2</v>
      </c>
      <c r="O105" s="61">
        <v>6.3240740740740736E-2</v>
      </c>
      <c r="P105" s="59" t="s">
        <v>3117</v>
      </c>
      <c r="Q105" s="8">
        <f t="shared" si="1"/>
        <v>663</v>
      </c>
      <c r="R105" s="14"/>
      <c r="S105" s="8"/>
      <c r="T105" s="8"/>
    </row>
    <row r="106" spans="1:20" ht="15.75" customHeight="1">
      <c r="A106" s="59">
        <v>43</v>
      </c>
      <c r="B106" s="59">
        <v>198</v>
      </c>
      <c r="C106" s="60" t="s">
        <v>135</v>
      </c>
      <c r="D106" s="59" t="s">
        <v>911</v>
      </c>
      <c r="E106" s="59" t="s">
        <v>912</v>
      </c>
      <c r="F106" s="59" t="s">
        <v>199</v>
      </c>
      <c r="G106" s="59" t="s">
        <v>319</v>
      </c>
      <c r="H106" s="59" t="s">
        <v>139</v>
      </c>
      <c r="I106" s="59">
        <v>2</v>
      </c>
      <c r="J106" s="61">
        <v>9.7743055555555552E-3</v>
      </c>
      <c r="K106" s="61">
        <v>1.5729166666666667E-3</v>
      </c>
      <c r="L106" s="61">
        <v>3.1612268518518519E-2</v>
      </c>
      <c r="M106" s="61">
        <v>5.1504629629629632E-4</v>
      </c>
      <c r="N106" s="61">
        <v>2.0145833333333332E-2</v>
      </c>
      <c r="O106" s="61">
        <v>6.362152777777777E-2</v>
      </c>
      <c r="P106" s="59" t="s">
        <v>3118</v>
      </c>
      <c r="Q106" s="8">
        <f t="shared" si="1"/>
        <v>659</v>
      </c>
      <c r="R106" s="14"/>
      <c r="S106" s="8"/>
      <c r="T106" s="8"/>
    </row>
    <row r="107" spans="1:20" ht="15.75" customHeight="1">
      <c r="A107" s="59">
        <v>44</v>
      </c>
      <c r="B107" s="59">
        <v>206</v>
      </c>
      <c r="C107" s="60" t="s">
        <v>135</v>
      </c>
      <c r="D107" s="59" t="s">
        <v>2197</v>
      </c>
      <c r="E107" s="59" t="s">
        <v>2198</v>
      </c>
      <c r="F107" s="59"/>
      <c r="G107" s="59" t="s">
        <v>340</v>
      </c>
      <c r="H107" s="59" t="s">
        <v>352</v>
      </c>
      <c r="I107" s="59">
        <v>2</v>
      </c>
      <c r="J107" s="61">
        <v>1.11875E-2</v>
      </c>
      <c r="K107" s="61">
        <v>2.2083333333333334E-3</v>
      </c>
      <c r="L107" s="61">
        <v>2.8552083333333336E-2</v>
      </c>
      <c r="M107" s="61">
        <v>1.1203703703703703E-3</v>
      </c>
      <c r="N107" s="61">
        <v>2.0685185185185185E-2</v>
      </c>
      <c r="O107" s="61">
        <v>6.3755787037037034E-2</v>
      </c>
      <c r="P107" s="59" t="s">
        <v>3119</v>
      </c>
      <c r="Q107" s="8">
        <f t="shared" si="1"/>
        <v>658</v>
      </c>
      <c r="R107" s="14"/>
      <c r="S107" s="8"/>
      <c r="T107" s="8"/>
    </row>
    <row r="108" spans="1:20" ht="15.75" customHeight="1">
      <c r="A108" s="59">
        <v>45</v>
      </c>
      <c r="B108" s="59">
        <v>210</v>
      </c>
      <c r="C108" s="59"/>
      <c r="D108" s="59" t="s">
        <v>926</v>
      </c>
      <c r="E108" s="59" t="s">
        <v>927</v>
      </c>
      <c r="F108" s="59"/>
      <c r="G108" s="59" t="s">
        <v>340</v>
      </c>
      <c r="H108" s="59" t="s">
        <v>624</v>
      </c>
      <c r="I108" s="59">
        <v>2</v>
      </c>
      <c r="J108" s="61">
        <v>1.3549768518518518E-2</v>
      </c>
      <c r="K108" s="61">
        <v>1.6087962962962963E-3</v>
      </c>
      <c r="L108" s="61">
        <v>2.9984953703703701E-2</v>
      </c>
      <c r="M108" s="61">
        <v>8.9236111111111102E-4</v>
      </c>
      <c r="N108" s="61">
        <v>1.7789351851851851E-2</v>
      </c>
      <c r="O108" s="61">
        <v>6.3826388888888891E-2</v>
      </c>
      <c r="P108" s="59" t="s">
        <v>3120</v>
      </c>
      <c r="Q108" s="8">
        <f t="shared" si="1"/>
        <v>657</v>
      </c>
      <c r="R108" s="14"/>
      <c r="S108" s="8"/>
      <c r="T108" s="8"/>
    </row>
    <row r="109" spans="1:20" ht="15.75" customHeight="1">
      <c r="A109" s="59">
        <v>46</v>
      </c>
      <c r="B109" s="59">
        <v>155</v>
      </c>
      <c r="C109" s="59"/>
      <c r="D109" s="59" t="s">
        <v>1294</v>
      </c>
      <c r="E109" s="59" t="s">
        <v>1295</v>
      </c>
      <c r="F109" s="59"/>
      <c r="G109" s="59" t="s">
        <v>340</v>
      </c>
      <c r="H109" s="59" t="s">
        <v>352</v>
      </c>
      <c r="I109" s="59">
        <v>3</v>
      </c>
      <c r="J109" s="61">
        <v>1.272337962962963E-2</v>
      </c>
      <c r="K109" s="61">
        <v>1.6828703703703704E-3</v>
      </c>
      <c r="L109" s="61">
        <v>2.9628472222222223E-2</v>
      </c>
      <c r="M109" s="61">
        <v>5.7986111111111118E-4</v>
      </c>
      <c r="N109" s="61">
        <v>1.95E-2</v>
      </c>
      <c r="O109" s="61">
        <v>6.4115740740740751E-2</v>
      </c>
      <c r="P109" s="59" t="s">
        <v>3121</v>
      </c>
      <c r="Q109" s="8">
        <f t="shared" si="1"/>
        <v>654</v>
      </c>
      <c r="R109" s="14"/>
      <c r="S109" s="8"/>
      <c r="T109" s="8"/>
    </row>
    <row r="110" spans="1:20" ht="15.75" customHeight="1">
      <c r="A110" s="59">
        <v>47</v>
      </c>
      <c r="B110" s="59">
        <v>182</v>
      </c>
      <c r="C110" s="60" t="s">
        <v>135</v>
      </c>
      <c r="D110" s="59" t="s">
        <v>2204</v>
      </c>
      <c r="E110" s="59" t="s">
        <v>2205</v>
      </c>
      <c r="F110" s="59" t="s">
        <v>138</v>
      </c>
      <c r="G110" s="59" t="s">
        <v>319</v>
      </c>
      <c r="H110" s="59" t="s">
        <v>139</v>
      </c>
      <c r="I110" s="59">
        <v>3</v>
      </c>
      <c r="J110" s="61">
        <v>1.0979166666666667E-2</v>
      </c>
      <c r="K110" s="61">
        <v>1.7499999999999998E-3</v>
      </c>
      <c r="L110" s="61">
        <v>3.1641203703703706E-2</v>
      </c>
      <c r="M110" s="61">
        <v>6.018518518518519E-4</v>
      </c>
      <c r="N110" s="61">
        <v>1.9303240740740739E-2</v>
      </c>
      <c r="O110" s="61">
        <v>6.4277777777777781E-2</v>
      </c>
      <c r="P110" s="59" t="s">
        <v>3122</v>
      </c>
      <c r="Q110" s="8">
        <f t="shared" si="1"/>
        <v>652</v>
      </c>
      <c r="R110" s="14"/>
      <c r="S110" s="8"/>
      <c r="T110" s="8"/>
    </row>
    <row r="111" spans="1:20" ht="15.75" customHeight="1">
      <c r="A111" s="59">
        <v>48</v>
      </c>
      <c r="B111" s="59">
        <v>186</v>
      </c>
      <c r="C111" s="59"/>
      <c r="D111" s="59" t="s">
        <v>3123</v>
      </c>
      <c r="E111" s="59" t="s">
        <v>3124</v>
      </c>
      <c r="F111" s="59"/>
      <c r="G111" s="59" t="s">
        <v>340</v>
      </c>
      <c r="H111" s="59" t="s">
        <v>344</v>
      </c>
      <c r="I111" s="59">
        <v>10</v>
      </c>
      <c r="J111" s="61">
        <v>1.4807870370370372E-2</v>
      </c>
      <c r="K111" s="61">
        <v>2.1712962962962962E-3</v>
      </c>
      <c r="L111" s="61">
        <v>2.9630787037037035E-2</v>
      </c>
      <c r="M111" s="61">
        <v>4.224537037037037E-4</v>
      </c>
      <c r="N111" s="61">
        <v>1.7481481481481483E-2</v>
      </c>
      <c r="O111" s="61">
        <v>6.4516203703703701E-2</v>
      </c>
      <c r="P111" s="59" t="s">
        <v>3125</v>
      </c>
      <c r="Q111" s="8">
        <f t="shared" si="1"/>
        <v>650</v>
      </c>
      <c r="R111" s="14"/>
      <c r="S111" s="8"/>
      <c r="T111" s="8"/>
    </row>
    <row r="112" spans="1:20" ht="15.75" customHeight="1">
      <c r="A112" s="59">
        <v>49</v>
      </c>
      <c r="B112" s="59">
        <v>168</v>
      </c>
      <c r="C112" s="60" t="s">
        <v>135</v>
      </c>
      <c r="D112" s="59" t="s">
        <v>2188</v>
      </c>
      <c r="E112" s="59" t="s">
        <v>2189</v>
      </c>
      <c r="F112" s="59"/>
      <c r="G112" s="59" t="s">
        <v>340</v>
      </c>
      <c r="H112" s="59" t="s">
        <v>344</v>
      </c>
      <c r="I112" s="59">
        <v>11</v>
      </c>
      <c r="J112" s="61">
        <v>1.2195601851851852E-2</v>
      </c>
      <c r="K112" s="61">
        <v>1.2986111111111111E-3</v>
      </c>
      <c r="L112" s="61">
        <v>3.1151620370370371E-2</v>
      </c>
      <c r="M112" s="61">
        <v>6.180555555555555E-4</v>
      </c>
      <c r="N112" s="61">
        <v>1.9657407407407408E-2</v>
      </c>
      <c r="O112" s="61">
        <v>6.4923611111111112E-2</v>
      </c>
      <c r="P112" s="59" t="s">
        <v>3126</v>
      </c>
      <c r="Q112" s="8">
        <f t="shared" si="1"/>
        <v>646</v>
      </c>
      <c r="R112" s="14"/>
      <c r="S112" s="8"/>
      <c r="T112" s="8"/>
    </row>
    <row r="113" spans="1:20" ht="15.75" customHeight="1">
      <c r="A113" s="59">
        <v>50</v>
      </c>
      <c r="B113" s="59">
        <v>184</v>
      </c>
      <c r="C113" s="60" t="s">
        <v>135</v>
      </c>
      <c r="D113" s="59" t="s">
        <v>923</v>
      </c>
      <c r="E113" s="59" t="s">
        <v>924</v>
      </c>
      <c r="F113" s="59" t="s">
        <v>199</v>
      </c>
      <c r="G113" s="59" t="s">
        <v>319</v>
      </c>
      <c r="H113" s="59" t="s">
        <v>149</v>
      </c>
      <c r="I113" s="59">
        <v>1</v>
      </c>
      <c r="J113" s="61">
        <v>1.0210648148148149E-2</v>
      </c>
      <c r="K113" s="61">
        <v>1.8344907407407407E-3</v>
      </c>
      <c r="L113" s="61">
        <v>3.0137731481481484E-2</v>
      </c>
      <c r="M113" s="61">
        <v>8.1018518518518516E-4</v>
      </c>
      <c r="N113" s="61">
        <v>2.1960648148148149E-2</v>
      </c>
      <c r="O113" s="61">
        <v>6.495601851851851E-2</v>
      </c>
      <c r="P113" s="59" t="s">
        <v>3127</v>
      </c>
      <c r="Q113" s="8">
        <f t="shared" si="1"/>
        <v>646</v>
      </c>
      <c r="R113" s="14"/>
      <c r="S113" s="8"/>
      <c r="T113" s="8"/>
    </row>
    <row r="114" spans="1:20" ht="15.75" customHeight="1">
      <c r="A114" s="59">
        <v>51</v>
      </c>
      <c r="B114" s="59">
        <v>169</v>
      </c>
      <c r="C114" s="60" t="s">
        <v>135</v>
      </c>
      <c r="D114" s="59" t="s">
        <v>2631</v>
      </c>
      <c r="E114" s="59" t="s">
        <v>2632</v>
      </c>
      <c r="F114" s="59" t="s">
        <v>153</v>
      </c>
      <c r="G114" s="59" t="s">
        <v>340</v>
      </c>
      <c r="H114" s="59" t="s">
        <v>420</v>
      </c>
      <c r="I114" s="59">
        <v>6</v>
      </c>
      <c r="J114" s="61">
        <v>1.0969907407407407E-2</v>
      </c>
      <c r="K114" s="61">
        <v>2.2118055555555554E-3</v>
      </c>
      <c r="L114" s="61">
        <v>3.1547453703703703E-2</v>
      </c>
      <c r="M114" s="61">
        <v>8.6574074074074071E-4</v>
      </c>
      <c r="N114" s="61">
        <v>1.9376157407407408E-2</v>
      </c>
      <c r="O114" s="61">
        <v>6.4973379629629624E-2</v>
      </c>
      <c r="P114" s="59" t="s">
        <v>3128</v>
      </c>
      <c r="Q114" s="8">
        <f t="shared" si="1"/>
        <v>645</v>
      </c>
      <c r="R114" s="14"/>
      <c r="S114" s="8"/>
      <c r="T114" s="8"/>
    </row>
    <row r="115" spans="1:20" ht="15.75" customHeight="1">
      <c r="A115" s="59">
        <v>52</v>
      </c>
      <c r="B115" s="59">
        <v>212</v>
      </c>
      <c r="C115" s="60" t="s">
        <v>135</v>
      </c>
      <c r="D115" s="59" t="s">
        <v>958</v>
      </c>
      <c r="E115" s="59" t="s">
        <v>959</v>
      </c>
      <c r="F115" s="59"/>
      <c r="G115" s="59" t="s">
        <v>340</v>
      </c>
      <c r="H115" s="59" t="s">
        <v>344</v>
      </c>
      <c r="I115" s="59">
        <v>12</v>
      </c>
      <c r="J115" s="61">
        <v>1.2491898148148148E-2</v>
      </c>
      <c r="K115" s="61">
        <v>2.1435185185185186E-3</v>
      </c>
      <c r="L115" s="61">
        <v>3.1787037037037037E-2</v>
      </c>
      <c r="M115" s="61">
        <v>6.041666666666667E-4</v>
      </c>
      <c r="N115" s="61">
        <v>1.8361111111111113E-2</v>
      </c>
      <c r="O115" s="61">
        <v>6.53900462962963E-2</v>
      </c>
      <c r="P115" s="59" t="s">
        <v>3129</v>
      </c>
      <c r="Q115" s="8">
        <f t="shared" si="1"/>
        <v>641</v>
      </c>
      <c r="R115" s="14"/>
      <c r="S115" s="8"/>
      <c r="T115" s="8"/>
    </row>
    <row r="116" spans="1:20" ht="15.75" customHeight="1">
      <c r="A116" s="59">
        <v>53</v>
      </c>
      <c r="B116" s="59">
        <v>180</v>
      </c>
      <c r="C116" s="59"/>
      <c r="D116" s="59" t="s">
        <v>3130</v>
      </c>
      <c r="E116" s="59" t="s">
        <v>3131</v>
      </c>
      <c r="F116" s="59"/>
      <c r="G116" s="59" t="s">
        <v>340</v>
      </c>
      <c r="H116" s="59" t="s">
        <v>352</v>
      </c>
      <c r="I116" s="59">
        <v>4</v>
      </c>
      <c r="J116" s="61">
        <v>1.0456018518518519E-2</v>
      </c>
      <c r="K116" s="61">
        <v>2.3414351851851851E-3</v>
      </c>
      <c r="L116" s="61">
        <v>3.1604166666666662E-2</v>
      </c>
      <c r="M116" s="61">
        <v>8.0787037037037036E-4</v>
      </c>
      <c r="N116" s="61">
        <v>2.0381944444444446E-2</v>
      </c>
      <c r="O116" s="61">
        <v>6.5593750000000006E-2</v>
      </c>
      <c r="P116" s="59" t="s">
        <v>3132</v>
      </c>
      <c r="Q116" s="8">
        <f t="shared" si="1"/>
        <v>639</v>
      </c>
      <c r="R116" s="14"/>
      <c r="S116" s="8"/>
      <c r="T116" s="8"/>
    </row>
    <row r="117" spans="1:20" ht="15.75" customHeight="1">
      <c r="A117" s="59">
        <v>54</v>
      </c>
      <c r="B117" s="59">
        <v>176</v>
      </c>
      <c r="C117" s="60" t="s">
        <v>135</v>
      </c>
      <c r="D117" s="59" t="s">
        <v>1311</v>
      </c>
      <c r="E117" s="59" t="s">
        <v>1312</v>
      </c>
      <c r="F117" s="59"/>
      <c r="G117" s="59" t="s">
        <v>340</v>
      </c>
      <c r="H117" s="59" t="s">
        <v>341</v>
      </c>
      <c r="I117" s="59">
        <v>3</v>
      </c>
      <c r="J117" s="61">
        <v>1.2663194444444444E-2</v>
      </c>
      <c r="K117" s="61">
        <v>1.3240740740740741E-3</v>
      </c>
      <c r="L117" s="61">
        <v>3.1672453703703703E-2</v>
      </c>
      <c r="M117" s="61">
        <v>5.0231481481481481E-4</v>
      </c>
      <c r="N117" s="61">
        <v>1.9961805555555556E-2</v>
      </c>
      <c r="O117" s="61">
        <v>6.6125000000000003E-2</v>
      </c>
      <c r="P117" s="59" t="s">
        <v>3133</v>
      </c>
      <c r="Q117" s="8">
        <f t="shared" si="1"/>
        <v>634</v>
      </c>
      <c r="R117" s="14"/>
      <c r="S117" s="8"/>
      <c r="T117" s="8"/>
    </row>
    <row r="118" spans="1:20" ht="15.75" customHeight="1">
      <c r="A118" s="59">
        <v>55</v>
      </c>
      <c r="B118" s="59">
        <v>209</v>
      </c>
      <c r="C118" s="60" t="s">
        <v>135</v>
      </c>
      <c r="D118" s="59" t="s">
        <v>1308</v>
      </c>
      <c r="E118" s="59" t="s">
        <v>1309</v>
      </c>
      <c r="F118" s="59" t="s">
        <v>148</v>
      </c>
      <c r="G118" s="59" t="s">
        <v>340</v>
      </c>
      <c r="H118" s="59" t="s">
        <v>420</v>
      </c>
      <c r="I118" s="59">
        <v>7</v>
      </c>
      <c r="J118" s="61">
        <v>1.5039351851851852E-2</v>
      </c>
      <c r="K118" s="61">
        <v>2.0775462962962961E-3</v>
      </c>
      <c r="L118" s="61">
        <v>3.1223379629629629E-2</v>
      </c>
      <c r="M118" s="61">
        <v>7.0601851851851847E-4</v>
      </c>
      <c r="N118" s="61">
        <v>1.9032407407407408E-2</v>
      </c>
      <c r="O118" s="61">
        <v>6.8081018518518513E-2</v>
      </c>
      <c r="P118" s="59" t="s">
        <v>3134</v>
      </c>
      <c r="Q118" s="8">
        <f t="shared" si="1"/>
        <v>616</v>
      </c>
      <c r="R118" s="14"/>
      <c r="S118" s="8"/>
      <c r="T118" s="8"/>
    </row>
    <row r="119" spans="1:20" ht="15.75" customHeight="1">
      <c r="A119" s="59">
        <v>56</v>
      </c>
      <c r="B119" s="59">
        <v>193</v>
      </c>
      <c r="C119" s="60" t="s">
        <v>135</v>
      </c>
      <c r="D119" s="59" t="s">
        <v>3135</v>
      </c>
      <c r="E119" s="59" t="s">
        <v>3136</v>
      </c>
      <c r="F119" s="59"/>
      <c r="G119" s="59" t="s">
        <v>340</v>
      </c>
      <c r="H119" s="59" t="s">
        <v>641</v>
      </c>
      <c r="I119" s="59">
        <v>5</v>
      </c>
      <c r="J119" s="61">
        <v>1.5802083333333331E-2</v>
      </c>
      <c r="K119" s="61">
        <v>2.138888888888889E-3</v>
      </c>
      <c r="L119" s="61">
        <v>3.0914351851851853E-2</v>
      </c>
      <c r="M119" s="61">
        <v>7.1759259259259259E-4</v>
      </c>
      <c r="N119" s="61">
        <v>1.9451388888888886E-2</v>
      </c>
      <c r="O119" s="61">
        <v>6.902662037037037E-2</v>
      </c>
      <c r="P119" s="59" t="s">
        <v>3137</v>
      </c>
      <c r="Q119" s="8">
        <f t="shared" si="1"/>
        <v>608</v>
      </c>
      <c r="R119" s="14"/>
      <c r="S119" s="8"/>
      <c r="T119" s="8"/>
    </row>
    <row r="120" spans="1:20" ht="15.75" customHeight="1">
      <c r="A120" s="59">
        <v>57</v>
      </c>
      <c r="B120" s="59">
        <v>194</v>
      </c>
      <c r="C120" s="60" t="s">
        <v>135</v>
      </c>
      <c r="D120" s="59" t="s">
        <v>3138</v>
      </c>
      <c r="E120" s="59" t="s">
        <v>3139</v>
      </c>
      <c r="F120" s="59"/>
      <c r="G120" s="59" t="s">
        <v>340</v>
      </c>
      <c r="H120" s="59" t="s">
        <v>641</v>
      </c>
      <c r="I120" s="59">
        <v>6</v>
      </c>
      <c r="J120" s="61">
        <v>1.6776620370370369E-2</v>
      </c>
      <c r="K120" s="61">
        <v>2.2372685185185186E-3</v>
      </c>
      <c r="L120" s="61">
        <v>3.2777777777777781E-2</v>
      </c>
      <c r="M120" s="61">
        <v>5.3819444444444444E-4</v>
      </c>
      <c r="N120" s="61">
        <v>1.677199074074074E-2</v>
      </c>
      <c r="O120" s="61">
        <v>6.9104166666666675E-2</v>
      </c>
      <c r="P120" s="59" t="s">
        <v>3140</v>
      </c>
      <c r="Q120" s="8">
        <f t="shared" si="1"/>
        <v>607</v>
      </c>
      <c r="R120" s="14"/>
      <c r="S120" s="8"/>
      <c r="T120" s="8"/>
    </row>
    <row r="121" spans="1:20" ht="15.75" customHeight="1">
      <c r="A121" s="59">
        <v>58</v>
      </c>
      <c r="B121" s="59">
        <v>174</v>
      </c>
      <c r="C121" s="60" t="s">
        <v>135</v>
      </c>
      <c r="D121" s="59" t="s">
        <v>3141</v>
      </c>
      <c r="E121" s="59" t="s">
        <v>3142</v>
      </c>
      <c r="F121" s="59" t="s">
        <v>3143</v>
      </c>
      <c r="G121" s="59" t="s">
        <v>319</v>
      </c>
      <c r="H121" s="59" t="s">
        <v>149</v>
      </c>
      <c r="I121" s="59">
        <v>2</v>
      </c>
      <c r="J121" s="61">
        <v>1.3246527777777777E-2</v>
      </c>
      <c r="K121" s="61">
        <v>1.9814814814814812E-3</v>
      </c>
      <c r="L121" s="61">
        <v>3.2121527777777777E-2</v>
      </c>
      <c r="M121" s="61">
        <v>6.2037037037037041E-4</v>
      </c>
      <c r="N121" s="61">
        <v>2.1142361111111112E-2</v>
      </c>
      <c r="O121" s="61">
        <v>6.9114583333333326E-2</v>
      </c>
      <c r="P121" s="59" t="s">
        <v>3144</v>
      </c>
      <c r="Q121" s="8">
        <f t="shared" si="1"/>
        <v>607</v>
      </c>
      <c r="R121" s="14"/>
      <c r="S121" s="8"/>
      <c r="T121" s="8"/>
    </row>
    <row r="122" spans="1:20" ht="15.75" customHeight="1">
      <c r="A122" s="59">
        <v>59</v>
      </c>
      <c r="B122" s="59">
        <v>165</v>
      </c>
      <c r="C122" s="60" t="s">
        <v>135</v>
      </c>
      <c r="D122" s="59" t="s">
        <v>3145</v>
      </c>
      <c r="E122" s="59" t="s">
        <v>3146</v>
      </c>
      <c r="F122" s="59"/>
      <c r="G122" s="59" t="s">
        <v>340</v>
      </c>
      <c r="H122" s="59" t="s">
        <v>344</v>
      </c>
      <c r="I122" s="59">
        <v>13</v>
      </c>
      <c r="J122" s="61">
        <v>1.4112268518518519E-2</v>
      </c>
      <c r="K122" s="61">
        <v>2.7337962962962962E-3</v>
      </c>
      <c r="L122" s="61">
        <v>3.3287037037037039E-2</v>
      </c>
      <c r="M122" s="61">
        <v>4.1319444444444449E-4</v>
      </c>
      <c r="N122" s="61">
        <v>1.8995370370370371E-2</v>
      </c>
      <c r="O122" s="61">
        <v>6.9543981481481484E-2</v>
      </c>
      <c r="P122" s="59" t="s">
        <v>3147</v>
      </c>
      <c r="Q122" s="8">
        <f t="shared" si="1"/>
        <v>603</v>
      </c>
      <c r="R122" s="14"/>
      <c r="S122" s="8"/>
      <c r="T122" s="8"/>
    </row>
    <row r="123" spans="1:20" ht="15.75" customHeight="1">
      <c r="A123" s="59">
        <v>60</v>
      </c>
      <c r="B123" s="59">
        <v>158</v>
      </c>
      <c r="C123" s="60" t="s">
        <v>135</v>
      </c>
      <c r="D123" s="59" t="s">
        <v>3148</v>
      </c>
      <c r="E123" s="59" t="s">
        <v>3149</v>
      </c>
      <c r="F123" s="59"/>
      <c r="G123" s="59" t="s">
        <v>319</v>
      </c>
      <c r="H123" s="59" t="s">
        <v>144</v>
      </c>
      <c r="I123" s="59">
        <v>1</v>
      </c>
      <c r="J123" s="61">
        <v>1.1074074074074073E-2</v>
      </c>
      <c r="K123" s="61">
        <v>2.4618055555555556E-3</v>
      </c>
      <c r="L123" s="61">
        <v>3.3743055555555554E-2</v>
      </c>
      <c r="M123" s="61">
        <v>6.8518518518518527E-4</v>
      </c>
      <c r="N123" s="61">
        <v>2.162037037037037E-2</v>
      </c>
      <c r="O123" s="61">
        <v>6.9586805555555561E-2</v>
      </c>
      <c r="P123" s="59" t="s">
        <v>3150</v>
      </c>
      <c r="Q123" s="8">
        <f t="shared" si="1"/>
        <v>603</v>
      </c>
      <c r="R123" s="14"/>
      <c r="S123" s="8"/>
      <c r="T123" s="8"/>
    </row>
    <row r="124" spans="1:20" ht="15.75" customHeight="1">
      <c r="A124" s="59">
        <v>61</v>
      </c>
      <c r="B124" s="59">
        <v>216</v>
      </c>
      <c r="C124" s="60" t="s">
        <v>135</v>
      </c>
      <c r="D124" s="59" t="s">
        <v>973</v>
      </c>
      <c r="E124" s="59" t="s">
        <v>974</v>
      </c>
      <c r="F124" s="59" t="s">
        <v>975</v>
      </c>
      <c r="G124" s="59" t="s">
        <v>340</v>
      </c>
      <c r="H124" s="59" t="s">
        <v>357</v>
      </c>
      <c r="I124" s="59">
        <v>5</v>
      </c>
      <c r="J124" s="61">
        <v>1.5327546296296296E-2</v>
      </c>
      <c r="K124" s="61">
        <v>2.414351851851852E-3</v>
      </c>
      <c r="L124" s="61">
        <v>3.0357638888888889E-2</v>
      </c>
      <c r="M124" s="61">
        <v>9.0856481481481485E-4</v>
      </c>
      <c r="N124" s="61">
        <v>2.0737268518518519E-2</v>
      </c>
      <c r="O124" s="61">
        <v>6.9746527777777775E-2</v>
      </c>
      <c r="P124" s="59" t="s">
        <v>3151</v>
      </c>
      <c r="Q124" s="8">
        <f t="shared" si="1"/>
        <v>601</v>
      </c>
      <c r="R124" s="14"/>
      <c r="S124" s="8"/>
      <c r="T124" s="8"/>
    </row>
    <row r="125" spans="1:20" ht="15.75" customHeight="1">
      <c r="A125" s="59">
        <v>62</v>
      </c>
      <c r="B125" s="59">
        <v>189</v>
      </c>
      <c r="C125" s="60" t="s">
        <v>135</v>
      </c>
      <c r="D125" s="59" t="s">
        <v>3152</v>
      </c>
      <c r="E125" s="59" t="s">
        <v>3153</v>
      </c>
      <c r="F125" s="59" t="s">
        <v>148</v>
      </c>
      <c r="G125" s="59" t="s">
        <v>319</v>
      </c>
      <c r="H125" s="59" t="s">
        <v>159</v>
      </c>
      <c r="I125" s="59">
        <v>2</v>
      </c>
      <c r="J125" s="61">
        <v>1.345023148148148E-2</v>
      </c>
      <c r="K125" s="61">
        <v>1.6597222222222224E-3</v>
      </c>
      <c r="L125" s="61">
        <v>3.3082175925925925E-2</v>
      </c>
      <c r="M125" s="61">
        <v>5.9606481481481479E-4</v>
      </c>
      <c r="N125" s="61">
        <v>2.1938657407407407E-2</v>
      </c>
      <c r="O125" s="61">
        <v>7.0729166666666662E-2</v>
      </c>
      <c r="P125" s="59" t="s">
        <v>3154</v>
      </c>
      <c r="Q125" s="8">
        <f t="shared" si="1"/>
        <v>593</v>
      </c>
      <c r="R125" s="14"/>
      <c r="S125" s="8"/>
      <c r="T125" s="8"/>
    </row>
    <row r="126" spans="1:20" ht="15.75" customHeight="1">
      <c r="A126" s="59">
        <v>63</v>
      </c>
      <c r="B126" s="59">
        <v>161</v>
      </c>
      <c r="C126" s="60" t="s">
        <v>135</v>
      </c>
      <c r="D126" s="59" t="s">
        <v>2690</v>
      </c>
      <c r="E126" s="59" t="s">
        <v>2691</v>
      </c>
      <c r="F126" s="59" t="s">
        <v>148</v>
      </c>
      <c r="G126" s="59" t="s">
        <v>340</v>
      </c>
      <c r="H126" s="59" t="s">
        <v>357</v>
      </c>
      <c r="I126" s="59">
        <v>6</v>
      </c>
      <c r="J126" s="61">
        <v>1.4762731481481481E-2</v>
      </c>
      <c r="K126" s="61">
        <v>2.2650462962962963E-3</v>
      </c>
      <c r="L126" s="61">
        <v>3.014814814814815E-2</v>
      </c>
      <c r="M126" s="61">
        <v>1.2708333333333332E-3</v>
      </c>
      <c r="N126" s="61">
        <v>2.3497685185185187E-2</v>
      </c>
      <c r="O126" s="61">
        <v>7.1947916666666667E-2</v>
      </c>
      <c r="P126" s="59" t="s">
        <v>3155</v>
      </c>
      <c r="Q126" s="8">
        <f t="shared" si="1"/>
        <v>583</v>
      </c>
      <c r="R126" s="14"/>
      <c r="S126" s="8"/>
      <c r="T126" s="8"/>
    </row>
    <row r="127" spans="1:20" ht="15.75" customHeight="1">
      <c r="A127" s="59">
        <v>64</v>
      </c>
      <c r="B127" s="59">
        <v>196</v>
      </c>
      <c r="C127" s="60" t="s">
        <v>135</v>
      </c>
      <c r="D127" s="59" t="s">
        <v>3156</v>
      </c>
      <c r="E127" s="59" t="s">
        <v>3157</v>
      </c>
      <c r="F127" s="59" t="s">
        <v>3158</v>
      </c>
      <c r="G127" s="59" t="s">
        <v>340</v>
      </c>
      <c r="H127" s="59" t="s">
        <v>348</v>
      </c>
      <c r="I127" s="59">
        <v>8</v>
      </c>
      <c r="J127" s="61">
        <v>1.7229166666666667E-2</v>
      </c>
      <c r="K127" s="61">
        <v>2.7442129629629631E-3</v>
      </c>
      <c r="L127" s="61">
        <v>3.1282407407407412E-2</v>
      </c>
      <c r="M127" s="61">
        <v>1.0324074074074074E-3</v>
      </c>
      <c r="N127" s="61">
        <v>2.0503472222222222E-2</v>
      </c>
      <c r="O127" s="61">
        <v>7.2793981481481473E-2</v>
      </c>
      <c r="P127" s="59" t="s">
        <v>3159</v>
      </c>
      <c r="Q127" s="8">
        <f t="shared" si="1"/>
        <v>576</v>
      </c>
      <c r="R127" s="14"/>
      <c r="S127" s="8"/>
      <c r="T127" s="8"/>
    </row>
    <row r="128" spans="1:20" ht="15.75" customHeight="1">
      <c r="A128" s="59">
        <v>65</v>
      </c>
      <c r="B128" s="59">
        <v>222</v>
      </c>
      <c r="C128" s="60" t="s">
        <v>135</v>
      </c>
      <c r="D128" s="59" t="s">
        <v>2311</v>
      </c>
      <c r="E128" s="59" t="s">
        <v>2697</v>
      </c>
      <c r="F128" s="59" t="s">
        <v>138</v>
      </c>
      <c r="G128" s="59" t="s">
        <v>319</v>
      </c>
      <c r="H128" s="59" t="s">
        <v>163</v>
      </c>
      <c r="I128" s="59">
        <v>1</v>
      </c>
      <c r="J128" s="61">
        <v>1.3751157407407406E-2</v>
      </c>
      <c r="K128" s="61">
        <v>1.730324074074074E-3</v>
      </c>
      <c r="L128" s="61">
        <v>3.3319444444444443E-2</v>
      </c>
      <c r="M128" s="61">
        <v>1.1979166666666666E-3</v>
      </c>
      <c r="N128" s="61">
        <v>2.3284722222222221E-2</v>
      </c>
      <c r="O128" s="61">
        <v>7.3287037037037039E-2</v>
      </c>
      <c r="P128" s="59" t="s">
        <v>3160</v>
      </c>
      <c r="Q128" s="8">
        <f t="shared" si="1"/>
        <v>572</v>
      </c>
      <c r="R128" s="14"/>
      <c r="S128" s="8"/>
      <c r="T128" s="8"/>
    </row>
    <row r="129" spans="1:20" ht="15.75" customHeight="1">
      <c r="A129" s="59">
        <v>66</v>
      </c>
      <c r="B129" s="59">
        <v>173</v>
      </c>
      <c r="C129" s="60" t="s">
        <v>135</v>
      </c>
      <c r="D129" s="59" t="s">
        <v>3161</v>
      </c>
      <c r="E129" s="59" t="s">
        <v>3162</v>
      </c>
      <c r="F129" s="59" t="s">
        <v>138</v>
      </c>
      <c r="G129" s="59" t="s">
        <v>319</v>
      </c>
      <c r="H129" s="59" t="s">
        <v>159</v>
      </c>
      <c r="I129" s="59">
        <v>3</v>
      </c>
      <c r="J129" s="61">
        <v>1.6670138888888887E-2</v>
      </c>
      <c r="K129" s="61">
        <v>2.2141203703703706E-3</v>
      </c>
      <c r="L129" s="61">
        <v>3.4282407407407407E-2</v>
      </c>
      <c r="M129" s="61">
        <v>4.212962962962963E-4</v>
      </c>
      <c r="N129" s="61">
        <v>2.0320601851851854E-2</v>
      </c>
      <c r="O129" s="61">
        <v>7.3910879629629625E-2</v>
      </c>
      <c r="P129" s="59" t="s">
        <v>1673</v>
      </c>
      <c r="Q129" s="8">
        <f t="shared" ref="Q129:Q137" si="2">IFERROR(ROUND($O$64/O129*900,0),0)</f>
        <v>567</v>
      </c>
      <c r="R129" s="14"/>
      <c r="S129" s="8"/>
      <c r="T129" s="8"/>
    </row>
    <row r="130" spans="1:20" ht="15.75" customHeight="1">
      <c r="A130" s="59">
        <v>67</v>
      </c>
      <c r="B130" s="59">
        <v>164</v>
      </c>
      <c r="C130" s="60" t="s">
        <v>135</v>
      </c>
      <c r="D130" s="59" t="s">
        <v>3163</v>
      </c>
      <c r="E130" s="59" t="s">
        <v>3164</v>
      </c>
      <c r="F130" s="59"/>
      <c r="G130" s="59" t="s">
        <v>340</v>
      </c>
      <c r="H130" s="59" t="s">
        <v>348</v>
      </c>
      <c r="I130" s="59">
        <v>9</v>
      </c>
      <c r="J130" s="61">
        <v>1.6884259259259259E-2</v>
      </c>
      <c r="K130" s="61">
        <v>2.6226851851851849E-3</v>
      </c>
      <c r="L130" s="61">
        <v>3.3824074074074076E-2</v>
      </c>
      <c r="M130" s="61">
        <v>6.2500000000000001E-4</v>
      </c>
      <c r="N130" s="61">
        <v>2.0026620370370368E-2</v>
      </c>
      <c r="O130" s="61">
        <v>7.3984953703703712E-2</v>
      </c>
      <c r="P130" s="59" t="s">
        <v>3165</v>
      </c>
      <c r="Q130" s="8">
        <f t="shared" si="2"/>
        <v>567</v>
      </c>
      <c r="R130" s="14"/>
      <c r="S130" s="8"/>
      <c r="T130" s="8"/>
    </row>
    <row r="131" spans="1:20" ht="15.75" customHeight="1">
      <c r="A131" s="59">
        <v>68</v>
      </c>
      <c r="B131" s="59">
        <v>188</v>
      </c>
      <c r="C131" s="60" t="s">
        <v>135</v>
      </c>
      <c r="D131" s="59" t="s">
        <v>1323</v>
      </c>
      <c r="E131" s="59" t="s">
        <v>1324</v>
      </c>
      <c r="F131" s="59" t="s">
        <v>199</v>
      </c>
      <c r="G131" s="59" t="s">
        <v>319</v>
      </c>
      <c r="H131" s="59" t="s">
        <v>149</v>
      </c>
      <c r="I131" s="59">
        <v>3</v>
      </c>
      <c r="J131" s="61">
        <v>1.4155092592592592E-2</v>
      </c>
      <c r="K131" s="61">
        <v>2.1249999999999997E-3</v>
      </c>
      <c r="L131" s="61">
        <v>3.2685185185185185E-2</v>
      </c>
      <c r="M131" s="61">
        <v>1.0335648148148148E-3</v>
      </c>
      <c r="N131" s="61">
        <v>2.5056712962962965E-2</v>
      </c>
      <c r="O131" s="61">
        <v>7.5057870370370372E-2</v>
      </c>
      <c r="P131" s="59" t="s">
        <v>3166</v>
      </c>
      <c r="Q131" s="8">
        <f t="shared" si="2"/>
        <v>559</v>
      </c>
      <c r="R131" s="14"/>
      <c r="S131" s="8"/>
      <c r="T131" s="8"/>
    </row>
    <row r="132" spans="1:20" ht="15.75" customHeight="1">
      <c r="A132" s="59">
        <v>69</v>
      </c>
      <c r="B132" s="59">
        <v>201</v>
      </c>
      <c r="C132" s="60" t="s">
        <v>135</v>
      </c>
      <c r="D132" s="59" t="s">
        <v>3167</v>
      </c>
      <c r="E132" s="59" t="s">
        <v>3168</v>
      </c>
      <c r="F132" s="59" t="s">
        <v>3169</v>
      </c>
      <c r="G132" s="59" t="s">
        <v>340</v>
      </c>
      <c r="H132" s="59" t="s">
        <v>352</v>
      </c>
      <c r="I132" s="59">
        <v>5</v>
      </c>
      <c r="J132" s="61">
        <v>1.573611111111111E-2</v>
      </c>
      <c r="K132" s="61">
        <v>2.929398148148148E-3</v>
      </c>
      <c r="L132" s="61">
        <v>3.5728009259259258E-2</v>
      </c>
      <c r="M132" s="61">
        <v>6.7708333333333336E-4</v>
      </c>
      <c r="N132" s="61">
        <v>2.4162037037037037E-2</v>
      </c>
      <c r="O132" s="61">
        <v>7.9234953703703703E-2</v>
      </c>
      <c r="P132" s="59" t="s">
        <v>3170</v>
      </c>
      <c r="Q132" s="8">
        <f t="shared" si="2"/>
        <v>529</v>
      </c>
      <c r="R132" s="14"/>
      <c r="S132" s="8"/>
      <c r="T132" s="8"/>
    </row>
    <row r="133" spans="1:20" ht="15.75" customHeight="1">
      <c r="A133" s="59">
        <v>70</v>
      </c>
      <c r="B133" s="59">
        <v>202</v>
      </c>
      <c r="C133" s="60" t="s">
        <v>135</v>
      </c>
      <c r="D133" s="59" t="s">
        <v>3171</v>
      </c>
      <c r="E133" s="59" t="s">
        <v>3172</v>
      </c>
      <c r="F133" s="59" t="s">
        <v>3143</v>
      </c>
      <c r="G133" s="59" t="s">
        <v>319</v>
      </c>
      <c r="H133" s="59" t="s">
        <v>242</v>
      </c>
      <c r="I133" s="59">
        <v>1</v>
      </c>
      <c r="J133" s="61">
        <v>1.5584490740740741E-2</v>
      </c>
      <c r="K133" s="61">
        <v>2.8958333333333332E-3</v>
      </c>
      <c r="L133" s="61">
        <v>3.8407407407407411E-2</v>
      </c>
      <c r="M133" s="61">
        <v>8.4027777777777768E-4</v>
      </c>
      <c r="N133" s="61">
        <v>2.3356481481481482E-2</v>
      </c>
      <c r="O133" s="61">
        <v>8.1085648148148157E-2</v>
      </c>
      <c r="P133" s="59" t="s">
        <v>3173</v>
      </c>
      <c r="Q133" s="8">
        <f t="shared" si="2"/>
        <v>517</v>
      </c>
      <c r="R133" s="14"/>
      <c r="S133" s="8"/>
      <c r="T133" s="8"/>
    </row>
    <row r="134" spans="1:20" ht="15.75" customHeight="1">
      <c r="A134" s="59">
        <v>71</v>
      </c>
      <c r="B134" s="59">
        <v>179</v>
      </c>
      <c r="C134" s="59"/>
      <c r="D134" s="59" t="s">
        <v>3174</v>
      </c>
      <c r="E134" s="59" t="s">
        <v>3175</v>
      </c>
      <c r="F134" s="59"/>
      <c r="G134" s="59" t="s">
        <v>319</v>
      </c>
      <c r="H134" s="59" t="s">
        <v>144</v>
      </c>
      <c r="I134" s="59">
        <v>2</v>
      </c>
      <c r="J134" s="61">
        <v>1.6755787037037038E-2</v>
      </c>
      <c r="K134" s="61">
        <v>2.7581018518518519E-3</v>
      </c>
      <c r="L134" s="61">
        <v>3.712384259259259E-2</v>
      </c>
      <c r="M134" s="61">
        <v>3.8773148148148147E-4</v>
      </c>
      <c r="N134" s="61">
        <v>2.5416666666666667E-2</v>
      </c>
      <c r="O134" s="61">
        <v>8.244560185185186E-2</v>
      </c>
      <c r="P134" s="59" t="s">
        <v>3176</v>
      </c>
      <c r="Q134" s="8">
        <f t="shared" si="2"/>
        <v>509</v>
      </c>
      <c r="R134" s="14"/>
      <c r="S134" s="8"/>
      <c r="T134" s="8"/>
    </row>
    <row r="135" spans="1:20" ht="15.75" customHeight="1">
      <c r="A135" s="59">
        <v>72</v>
      </c>
      <c r="B135" s="59">
        <v>167</v>
      </c>
      <c r="C135" s="60" t="s">
        <v>135</v>
      </c>
      <c r="D135" s="59" t="s">
        <v>3177</v>
      </c>
      <c r="E135" s="59" t="s">
        <v>3178</v>
      </c>
      <c r="F135" s="59" t="s">
        <v>199</v>
      </c>
      <c r="G135" s="59" t="s">
        <v>319</v>
      </c>
      <c r="H135" s="59" t="s">
        <v>154</v>
      </c>
      <c r="I135" s="59">
        <v>1</v>
      </c>
      <c r="J135" s="61">
        <v>1.2804398148148148E-2</v>
      </c>
      <c r="K135" s="61">
        <v>1.267361111111111E-3</v>
      </c>
      <c r="L135" s="61">
        <v>4.0481481481481479E-2</v>
      </c>
      <c r="M135" s="61">
        <v>1.2453703703703702E-3</v>
      </c>
      <c r="N135" s="61">
        <v>2.6681712962962966E-2</v>
      </c>
      <c r="O135" s="61">
        <v>8.2481481481481475E-2</v>
      </c>
      <c r="P135" s="59" t="s">
        <v>3179</v>
      </c>
      <c r="Q135" s="8">
        <f t="shared" si="2"/>
        <v>508</v>
      </c>
      <c r="R135" s="14"/>
      <c r="S135" s="8"/>
      <c r="T135" s="8"/>
    </row>
    <row r="136" spans="1:20" ht="15.75" customHeight="1">
      <c r="A136" s="59">
        <v>73</v>
      </c>
      <c r="B136" s="59">
        <v>187</v>
      </c>
      <c r="C136" s="60" t="s">
        <v>1247</v>
      </c>
      <c r="D136" s="59" t="s">
        <v>2045</v>
      </c>
      <c r="E136" s="59" t="s">
        <v>2046</v>
      </c>
      <c r="F136" s="59" t="s">
        <v>1497</v>
      </c>
      <c r="G136" s="59" t="s">
        <v>340</v>
      </c>
      <c r="H136" s="59" t="s">
        <v>624</v>
      </c>
      <c r="I136" s="59">
        <v>3</v>
      </c>
      <c r="J136" s="61">
        <v>1.7712962962962965E-2</v>
      </c>
      <c r="K136" s="61">
        <v>2.6111111111111109E-3</v>
      </c>
      <c r="L136" s="61">
        <v>3.5141203703703702E-2</v>
      </c>
      <c r="M136" s="61">
        <v>7.245370370370371E-4</v>
      </c>
      <c r="N136" s="61">
        <v>3.2046296296296295E-2</v>
      </c>
      <c r="O136" s="61">
        <v>8.823958333333333E-2</v>
      </c>
      <c r="P136" s="59" t="s">
        <v>3180</v>
      </c>
      <c r="Q136" s="8">
        <f t="shared" si="2"/>
        <v>475</v>
      </c>
      <c r="R136" s="14"/>
      <c r="S136" s="8"/>
      <c r="T136" s="8"/>
    </row>
    <row r="137" spans="1:20" ht="15.75" customHeight="1">
      <c r="A137" s="59" t="s">
        <v>683</v>
      </c>
      <c r="B137" s="59">
        <v>203</v>
      </c>
      <c r="C137" s="60" t="s">
        <v>135</v>
      </c>
      <c r="D137" s="59" t="s">
        <v>3181</v>
      </c>
      <c r="E137" s="59" t="s">
        <v>3182</v>
      </c>
      <c r="F137" s="59" t="s">
        <v>310</v>
      </c>
      <c r="G137" s="59" t="s">
        <v>340</v>
      </c>
      <c r="H137" s="59" t="s">
        <v>641</v>
      </c>
      <c r="I137" s="59"/>
      <c r="J137" s="59"/>
      <c r="K137" s="59"/>
      <c r="L137" s="59"/>
      <c r="M137" s="59"/>
      <c r="N137" s="59"/>
      <c r="O137" s="59" t="s">
        <v>1216</v>
      </c>
      <c r="P137" s="59"/>
      <c r="Q137" s="8">
        <f t="shared" si="2"/>
        <v>0</v>
      </c>
      <c r="R137" s="14"/>
      <c r="S137" s="8"/>
      <c r="T137" s="8"/>
    </row>
    <row r="138" spans="1:20" ht="15.75" customHeight="1">
      <c r="J138" s="14"/>
      <c r="K138" s="15"/>
      <c r="L138" s="15"/>
      <c r="M138" s="20"/>
      <c r="N138" s="14"/>
      <c r="O138" s="11"/>
      <c r="P138" s="15"/>
      <c r="Q138" s="8"/>
      <c r="R138" s="14"/>
      <c r="S138" s="8"/>
      <c r="T138" s="8"/>
    </row>
    <row r="139" spans="1:20" ht="15.75" customHeight="1">
      <c r="J139" s="14"/>
      <c r="K139" s="15"/>
      <c r="L139" s="15"/>
      <c r="M139" s="20"/>
      <c r="N139" s="14"/>
      <c r="O139" s="11"/>
      <c r="P139" s="15"/>
      <c r="Q139" s="8"/>
      <c r="R139" s="14"/>
      <c r="S139" s="8"/>
      <c r="T139" s="8"/>
    </row>
    <row r="140" spans="1:20" ht="15.75" customHeight="1">
      <c r="J140" s="14"/>
      <c r="K140" s="15"/>
      <c r="L140" s="15"/>
      <c r="M140" s="20"/>
      <c r="N140" s="14"/>
      <c r="O140" s="11"/>
      <c r="P140" s="15"/>
      <c r="Q140" s="8"/>
      <c r="R140" s="14"/>
      <c r="S140" s="8"/>
      <c r="T140" s="8"/>
    </row>
    <row r="141" spans="1:20" ht="15.75" customHeight="1">
      <c r="J141" s="14"/>
      <c r="K141" s="15"/>
      <c r="L141" s="15"/>
      <c r="M141" s="20"/>
      <c r="N141" s="14"/>
      <c r="O141" s="11"/>
      <c r="P141" s="15"/>
      <c r="Q141" s="8"/>
      <c r="R141" s="14"/>
      <c r="S141" s="8"/>
      <c r="T141" s="8"/>
    </row>
    <row r="142" spans="1:20" ht="15.75" customHeight="1">
      <c r="J142" s="14"/>
      <c r="K142" s="15"/>
      <c r="L142" s="15"/>
      <c r="M142" s="20"/>
      <c r="N142" s="14"/>
      <c r="O142" s="11"/>
      <c r="P142" s="15"/>
      <c r="Q142" s="8"/>
      <c r="R142" s="14"/>
      <c r="S142" s="8"/>
      <c r="T142" s="8"/>
    </row>
    <row r="143" spans="1:20" ht="15.75" customHeight="1">
      <c r="J143" s="14"/>
      <c r="K143" s="15"/>
      <c r="L143" s="15"/>
      <c r="M143" s="20"/>
      <c r="N143" s="14"/>
      <c r="O143" s="11"/>
      <c r="P143" s="15"/>
      <c r="Q143" s="8"/>
      <c r="R143" s="14"/>
      <c r="S143" s="8"/>
      <c r="T143" s="8"/>
    </row>
    <row r="144" spans="1:20" ht="15.75" customHeight="1">
      <c r="J144" s="14"/>
      <c r="K144" s="15"/>
      <c r="L144" s="15"/>
      <c r="M144" s="20"/>
      <c r="N144" s="14"/>
      <c r="O144" s="11"/>
      <c r="P144" s="15"/>
      <c r="Q144" s="8"/>
      <c r="R144" s="14"/>
      <c r="S144" s="8"/>
      <c r="T144" s="8"/>
    </row>
    <row r="145" spans="10:20" ht="15.75" customHeight="1">
      <c r="J145" s="14"/>
      <c r="K145" s="15"/>
      <c r="L145" s="15"/>
      <c r="M145" s="20"/>
      <c r="N145" s="14"/>
      <c r="O145" s="11"/>
      <c r="P145" s="15"/>
      <c r="Q145" s="8"/>
      <c r="R145" s="14"/>
      <c r="S145" s="8"/>
      <c r="T145" s="8"/>
    </row>
    <row r="146" spans="10:20" ht="15.75" customHeight="1">
      <c r="J146" s="14"/>
      <c r="K146" s="15"/>
      <c r="L146" s="15"/>
      <c r="M146" s="20"/>
      <c r="N146" s="14"/>
      <c r="O146" s="11"/>
      <c r="P146" s="15"/>
      <c r="Q146" s="8"/>
      <c r="R146" s="14"/>
      <c r="S146" s="8"/>
      <c r="T146" s="8"/>
    </row>
    <row r="147" spans="10:20" ht="15.75" customHeight="1">
      <c r="J147" s="14"/>
      <c r="K147" s="15"/>
      <c r="L147" s="15"/>
      <c r="M147" s="20"/>
      <c r="N147" s="14"/>
      <c r="O147" s="11"/>
      <c r="P147" s="15"/>
      <c r="Q147" s="8"/>
      <c r="R147" s="14"/>
      <c r="S147" s="8"/>
      <c r="T147" s="8"/>
    </row>
    <row r="148" spans="10:20" ht="15.75" customHeight="1">
      <c r="J148" s="14"/>
      <c r="K148" s="15"/>
      <c r="L148" s="15"/>
      <c r="M148" s="20"/>
      <c r="N148" s="14"/>
      <c r="O148" s="11"/>
      <c r="P148" s="15"/>
      <c r="Q148" s="8"/>
      <c r="R148" s="14"/>
      <c r="S148" s="8"/>
      <c r="T148" s="8"/>
    </row>
    <row r="149" spans="10:20" ht="15.75" customHeight="1">
      <c r="J149" s="14"/>
      <c r="K149" s="15"/>
      <c r="L149" s="15"/>
      <c r="M149" s="20"/>
      <c r="N149" s="14"/>
      <c r="O149" s="11"/>
      <c r="P149" s="15"/>
      <c r="Q149" s="8"/>
      <c r="R149" s="14"/>
      <c r="S149" s="8"/>
      <c r="T149" s="8"/>
    </row>
    <row r="150" spans="10:20" ht="15.75" customHeight="1">
      <c r="J150" s="14"/>
      <c r="K150" s="15"/>
      <c r="L150" s="15"/>
      <c r="M150" s="20"/>
      <c r="N150" s="14"/>
      <c r="O150" s="11"/>
      <c r="P150" s="15"/>
      <c r="Q150" s="8"/>
      <c r="R150" s="14"/>
      <c r="S150" s="8"/>
      <c r="T150" s="8"/>
    </row>
    <row r="151" spans="10:20" ht="15.75" customHeight="1">
      <c r="J151" s="14"/>
      <c r="K151" s="15"/>
      <c r="L151" s="15"/>
      <c r="M151" s="20"/>
      <c r="N151" s="14"/>
      <c r="O151" s="11"/>
      <c r="P151" s="15"/>
      <c r="Q151" s="8"/>
      <c r="R151" s="14"/>
      <c r="S151" s="8"/>
      <c r="T151" s="8"/>
    </row>
    <row r="152" spans="10:20" ht="15.75" customHeight="1">
      <c r="J152" s="14"/>
      <c r="K152" s="15"/>
      <c r="L152" s="15"/>
      <c r="M152" s="20"/>
      <c r="N152" s="14"/>
      <c r="O152" s="11"/>
      <c r="P152" s="15"/>
      <c r="Q152" s="8"/>
      <c r="R152" s="14"/>
      <c r="S152" s="8"/>
      <c r="T152" s="8"/>
    </row>
    <row r="153" spans="10:20" ht="15.75" customHeight="1">
      <c r="J153" s="14"/>
      <c r="K153" s="15"/>
      <c r="L153" s="15"/>
      <c r="M153" s="20"/>
      <c r="N153" s="14"/>
      <c r="O153" s="11"/>
      <c r="P153" s="15"/>
      <c r="Q153" s="8"/>
      <c r="R153" s="14"/>
      <c r="S153" s="8"/>
      <c r="T153" s="8"/>
    </row>
    <row r="154" spans="10:20" ht="15.75" customHeight="1">
      <c r="J154" s="14"/>
      <c r="K154" s="15"/>
      <c r="L154" s="15"/>
      <c r="M154" s="20"/>
      <c r="N154" s="14"/>
      <c r="O154" s="11"/>
      <c r="P154" s="15"/>
      <c r="Q154" s="8"/>
      <c r="R154" s="14"/>
      <c r="S154" s="8"/>
      <c r="T154" s="8"/>
    </row>
    <row r="155" spans="10:20" ht="15.75" customHeight="1">
      <c r="J155" s="14"/>
      <c r="K155" s="15"/>
      <c r="L155" s="15"/>
      <c r="M155" s="20"/>
      <c r="N155" s="14"/>
      <c r="O155" s="11"/>
      <c r="P155" s="15"/>
      <c r="Q155" s="8"/>
      <c r="R155" s="14"/>
      <c r="S155" s="8"/>
      <c r="T155" s="8"/>
    </row>
    <row r="156" spans="10:20" ht="15.75" customHeight="1">
      <c r="J156" s="14"/>
      <c r="K156" s="15"/>
      <c r="L156" s="15"/>
      <c r="M156" s="20"/>
      <c r="N156" s="14"/>
      <c r="O156" s="11"/>
      <c r="P156" s="15"/>
      <c r="Q156" s="8"/>
      <c r="R156" s="14"/>
      <c r="S156" s="8"/>
      <c r="T156" s="8"/>
    </row>
    <row r="157" spans="10:20" ht="15.75" customHeight="1">
      <c r="J157" s="14"/>
      <c r="K157" s="15"/>
      <c r="L157" s="15"/>
      <c r="M157" s="20"/>
      <c r="N157" s="14"/>
      <c r="O157" s="11"/>
      <c r="P157" s="15"/>
      <c r="Q157" s="8"/>
      <c r="R157" s="14"/>
      <c r="S157" s="8"/>
      <c r="T157" s="8"/>
    </row>
    <row r="158" spans="10:20" ht="15.75" customHeight="1">
      <c r="J158" s="14"/>
      <c r="K158" s="15"/>
      <c r="L158" s="15"/>
      <c r="M158" s="20"/>
      <c r="N158" s="14"/>
      <c r="O158" s="11"/>
      <c r="P158" s="15"/>
      <c r="Q158" s="8"/>
      <c r="R158" s="14"/>
      <c r="S158" s="8"/>
      <c r="T158" s="8"/>
    </row>
    <row r="159" spans="10:20" ht="15.75" customHeight="1">
      <c r="J159" s="14"/>
      <c r="K159" s="15"/>
      <c r="L159" s="15"/>
      <c r="M159" s="20"/>
      <c r="N159" s="14"/>
      <c r="O159" s="11"/>
      <c r="P159" s="15"/>
      <c r="Q159" s="8"/>
      <c r="R159" s="14"/>
      <c r="S159" s="8"/>
      <c r="T159" s="8"/>
    </row>
    <row r="160" spans="10:20" ht="15.75" customHeight="1">
      <c r="J160" s="14"/>
      <c r="K160" s="15"/>
      <c r="L160" s="15"/>
      <c r="M160" s="20"/>
      <c r="N160" s="14"/>
      <c r="O160" s="11"/>
      <c r="P160" s="15"/>
      <c r="Q160" s="8"/>
      <c r="R160" s="14"/>
      <c r="S160" s="8"/>
      <c r="T160" s="8"/>
    </row>
    <row r="161" spans="10:20" ht="15.75" customHeight="1">
      <c r="J161" s="14"/>
      <c r="K161" s="15"/>
      <c r="L161" s="15"/>
      <c r="M161" s="20"/>
      <c r="N161" s="14"/>
      <c r="O161" s="11"/>
      <c r="P161" s="15"/>
      <c r="Q161" s="8"/>
      <c r="R161" s="14"/>
      <c r="S161" s="8"/>
      <c r="T161" s="8"/>
    </row>
    <row r="162" spans="10:20" ht="15.75" customHeight="1">
      <c r="J162" s="14"/>
      <c r="K162" s="15"/>
      <c r="L162" s="15"/>
      <c r="M162" s="20"/>
      <c r="N162" s="14"/>
      <c r="O162" s="11"/>
      <c r="P162" s="15"/>
      <c r="Q162" s="8"/>
      <c r="R162" s="14"/>
      <c r="S162" s="8"/>
      <c r="T162" s="8"/>
    </row>
    <row r="163" spans="10:20" ht="15.75" customHeight="1">
      <c r="J163" s="14"/>
      <c r="K163" s="15"/>
      <c r="L163" s="15"/>
      <c r="M163" s="20"/>
      <c r="N163" s="14"/>
      <c r="O163" s="11"/>
      <c r="P163" s="15"/>
      <c r="Q163" s="8"/>
      <c r="R163" s="14"/>
      <c r="S163" s="8"/>
      <c r="T163" s="8"/>
    </row>
    <row r="164" spans="10:20" ht="15.75" customHeight="1">
      <c r="J164" s="14"/>
      <c r="K164" s="15"/>
      <c r="L164" s="15"/>
      <c r="M164" s="20"/>
      <c r="N164" s="14"/>
      <c r="O164" s="11"/>
      <c r="P164" s="15"/>
      <c r="Q164" s="8"/>
      <c r="R164" s="14"/>
      <c r="S164" s="8"/>
      <c r="T164" s="8"/>
    </row>
    <row r="165" spans="10:20" ht="15.75" customHeight="1">
      <c r="J165" s="14"/>
      <c r="K165" s="15"/>
      <c r="L165" s="15"/>
      <c r="M165" s="20"/>
      <c r="N165" s="14"/>
      <c r="O165" s="11"/>
      <c r="P165" s="15"/>
      <c r="Q165" s="8"/>
      <c r="R165" s="14"/>
      <c r="S165" s="8"/>
      <c r="T165" s="8"/>
    </row>
    <row r="166" spans="10:20" ht="15.75" customHeight="1">
      <c r="J166" s="14"/>
      <c r="K166" s="15"/>
      <c r="L166" s="15"/>
      <c r="M166" s="20"/>
      <c r="N166" s="14"/>
      <c r="O166" s="11"/>
      <c r="P166" s="15"/>
      <c r="Q166" s="8"/>
      <c r="R166" s="14"/>
      <c r="S166" s="8"/>
      <c r="T166" s="8"/>
    </row>
    <row r="167" spans="10:20" ht="15.75" customHeight="1">
      <c r="J167" s="14"/>
      <c r="K167" s="15"/>
      <c r="L167" s="15"/>
      <c r="M167" s="20"/>
      <c r="N167" s="14"/>
      <c r="O167" s="11"/>
      <c r="P167" s="15"/>
      <c r="Q167" s="8"/>
      <c r="R167" s="14"/>
      <c r="S167" s="8"/>
      <c r="T167" s="8"/>
    </row>
    <row r="168" spans="10:20" ht="15.75" customHeight="1">
      <c r="J168" s="14"/>
      <c r="K168" s="15"/>
      <c r="L168" s="15"/>
      <c r="M168" s="20"/>
      <c r="N168" s="14"/>
      <c r="O168" s="11"/>
      <c r="P168" s="15"/>
      <c r="Q168" s="8"/>
      <c r="R168" s="14"/>
      <c r="S168" s="8"/>
      <c r="T168" s="8"/>
    </row>
    <row r="169" spans="10:20" ht="15.75" customHeight="1">
      <c r="J169" s="14"/>
      <c r="K169" s="15"/>
      <c r="L169" s="15"/>
      <c r="M169" s="20"/>
      <c r="N169" s="14"/>
      <c r="O169" s="11"/>
      <c r="P169" s="15"/>
      <c r="Q169" s="8"/>
      <c r="R169" s="14"/>
      <c r="S169" s="8"/>
      <c r="T169" s="8"/>
    </row>
    <row r="170" spans="10:20" ht="15.75" customHeight="1">
      <c r="J170" s="14"/>
      <c r="K170" s="15"/>
      <c r="L170" s="15"/>
      <c r="M170" s="20"/>
      <c r="N170" s="14"/>
      <c r="O170" s="11"/>
      <c r="P170" s="15"/>
      <c r="Q170" s="8"/>
      <c r="R170" s="14"/>
      <c r="S170" s="8"/>
      <c r="T170" s="8"/>
    </row>
    <row r="171" spans="10:20" ht="15.75" customHeight="1">
      <c r="J171" s="14"/>
      <c r="K171" s="15"/>
      <c r="L171" s="15"/>
      <c r="N171" s="14"/>
      <c r="O171" s="11"/>
      <c r="P171" s="15"/>
      <c r="Q171" s="15"/>
      <c r="R171" s="14"/>
      <c r="S171" s="8"/>
      <c r="T171" s="8"/>
    </row>
    <row r="172" spans="10:20" ht="15.75" customHeight="1">
      <c r="J172" s="14"/>
      <c r="K172" s="15"/>
      <c r="L172" s="15"/>
      <c r="N172" s="14"/>
      <c r="O172" s="11"/>
      <c r="P172" s="15"/>
      <c r="Q172" s="15"/>
      <c r="R172" s="14"/>
      <c r="S172" s="8"/>
      <c r="T172" s="8"/>
    </row>
    <row r="173" spans="10:20" ht="15.75" customHeight="1">
      <c r="R173" s="14"/>
      <c r="S173" s="8"/>
      <c r="T173" s="8"/>
    </row>
    <row r="174" spans="10:20" ht="15.75" customHeight="1">
      <c r="R174" s="14"/>
      <c r="S174" s="8"/>
      <c r="T174" s="8"/>
    </row>
    <row r="175" spans="10:20" ht="15.75" customHeight="1">
      <c r="J175" s="14"/>
      <c r="K175" s="15"/>
      <c r="L175" s="15"/>
      <c r="N175" s="14"/>
      <c r="O175" s="11"/>
      <c r="R175" s="14"/>
      <c r="S175" s="8"/>
      <c r="T175" s="8"/>
    </row>
    <row r="176" spans="10:20" ht="15.75" customHeight="1">
      <c r="J176" s="14"/>
      <c r="K176" s="15"/>
      <c r="L176" s="15"/>
      <c r="N176" s="14"/>
      <c r="O176" s="11"/>
      <c r="R176" s="14"/>
      <c r="S176" s="8"/>
      <c r="T176" s="8"/>
    </row>
    <row r="177" spans="9:20" ht="15.75" customHeight="1">
      <c r="I177" s="14"/>
      <c r="J177" s="15"/>
      <c r="K177" s="15"/>
      <c r="M177" s="14"/>
      <c r="N177" s="11"/>
      <c r="O177" s="15"/>
      <c r="Q177" s="14"/>
      <c r="S177" s="8"/>
      <c r="T177" s="8"/>
    </row>
    <row r="178" spans="9:20" ht="15.75" customHeight="1">
      <c r="I178" s="14"/>
      <c r="J178" s="15"/>
      <c r="K178" s="15"/>
      <c r="M178" s="14"/>
      <c r="N178" s="11"/>
      <c r="O178" s="15"/>
      <c r="Q178" s="14"/>
      <c r="S178" s="8"/>
      <c r="T178" s="8"/>
    </row>
    <row r="179" spans="9:20" ht="15.75" customHeight="1">
      <c r="I179" s="14"/>
      <c r="J179" s="15"/>
      <c r="K179" s="15"/>
      <c r="M179" s="14"/>
      <c r="N179" s="11"/>
      <c r="O179" s="15"/>
      <c r="Q179" s="14"/>
      <c r="S179" s="8"/>
      <c r="T179" s="8"/>
    </row>
    <row r="180" spans="9:20" ht="15.75" customHeight="1">
      <c r="I180" s="14"/>
      <c r="J180" s="15"/>
      <c r="K180" s="15"/>
      <c r="M180" s="14"/>
      <c r="N180" s="11"/>
      <c r="O180" s="15"/>
      <c r="Q180" s="14"/>
      <c r="S180" s="8"/>
      <c r="T180" s="8"/>
    </row>
    <row r="181" spans="9:20" ht="15.75" customHeight="1">
      <c r="I181" s="14"/>
      <c r="J181" s="15"/>
      <c r="K181" s="15"/>
      <c r="M181" s="14"/>
      <c r="N181" s="11"/>
      <c r="O181" s="15"/>
      <c r="Q181" s="14"/>
      <c r="S181" s="8"/>
      <c r="T181" s="8"/>
    </row>
    <row r="182" spans="9:20" ht="15.75" customHeight="1">
      <c r="I182" s="14"/>
      <c r="J182" s="15"/>
      <c r="K182" s="15"/>
      <c r="M182" s="14"/>
      <c r="N182" s="11"/>
      <c r="O182" s="15"/>
      <c r="Q182" s="14"/>
      <c r="S182" s="8"/>
      <c r="T182" s="8"/>
    </row>
    <row r="183" spans="9:20" ht="15.75" customHeight="1">
      <c r="I183" s="14"/>
      <c r="J183" s="15"/>
      <c r="K183" s="15"/>
      <c r="M183" s="14"/>
      <c r="N183" s="11"/>
      <c r="O183" s="15"/>
      <c r="Q183" s="14"/>
      <c r="S183" s="8"/>
      <c r="T183" s="8"/>
    </row>
    <row r="184" spans="9:20" ht="15.75" customHeight="1">
      <c r="I184" s="14"/>
      <c r="J184" s="15"/>
      <c r="K184" s="15"/>
      <c r="M184" s="14"/>
      <c r="N184" s="11"/>
      <c r="O184" s="15"/>
      <c r="Q184" s="14"/>
      <c r="S184" s="8"/>
      <c r="T184" s="8"/>
    </row>
    <row r="185" spans="9:20" ht="15.75" customHeight="1">
      <c r="I185" s="14"/>
      <c r="J185" s="15"/>
      <c r="K185" s="15"/>
      <c r="M185" s="14"/>
      <c r="N185" s="11"/>
      <c r="O185" s="15"/>
      <c r="Q185" s="14"/>
      <c r="S185" s="8"/>
      <c r="T185" s="8"/>
    </row>
    <row r="186" spans="9:20" ht="15.75" customHeight="1">
      <c r="I186" s="14"/>
      <c r="J186" s="15"/>
      <c r="K186" s="15"/>
      <c r="M186" s="14"/>
      <c r="N186" s="11"/>
      <c r="O186" s="15"/>
      <c r="Q186" s="14"/>
      <c r="S186" s="8"/>
      <c r="T186" s="8"/>
    </row>
    <row r="187" spans="9:20" ht="15.75" customHeight="1">
      <c r="I187" s="14"/>
      <c r="J187" s="15"/>
      <c r="K187" s="15"/>
      <c r="M187" s="14"/>
      <c r="N187" s="11"/>
      <c r="O187" s="15"/>
      <c r="Q187" s="14"/>
      <c r="S187" s="8"/>
      <c r="T187" s="8"/>
    </row>
    <row r="188" spans="9:20" ht="15.75" customHeight="1">
      <c r="I188" s="14"/>
      <c r="J188" s="15"/>
      <c r="K188" s="15"/>
      <c r="M188" s="14"/>
      <c r="N188" s="11"/>
      <c r="O188" s="15"/>
      <c r="Q188" s="14"/>
      <c r="S188" s="8"/>
      <c r="T188" s="8"/>
    </row>
    <row r="189" spans="9:20" ht="15.75" customHeight="1">
      <c r="I189" s="14"/>
      <c r="J189" s="15"/>
      <c r="K189" s="15"/>
      <c r="M189" s="14"/>
      <c r="N189" s="11"/>
      <c r="O189" s="15"/>
      <c r="Q189" s="14"/>
      <c r="S189" s="8"/>
      <c r="T189" s="8"/>
    </row>
    <row r="190" spans="9:20" ht="15.75" customHeight="1">
      <c r="I190" s="14"/>
      <c r="J190" s="15"/>
      <c r="K190" s="15"/>
      <c r="M190" s="14"/>
      <c r="N190" s="11"/>
      <c r="O190" s="15"/>
      <c r="Q190" s="14"/>
      <c r="S190" s="8"/>
      <c r="T190" s="8"/>
    </row>
    <row r="191" spans="9:20" ht="15.75" customHeight="1">
      <c r="I191" s="14"/>
      <c r="J191" s="15"/>
      <c r="K191" s="15"/>
      <c r="M191" s="14"/>
      <c r="N191" s="11"/>
      <c r="O191" s="15"/>
      <c r="Q191" s="14"/>
      <c r="S191" s="8"/>
      <c r="T191" s="8"/>
    </row>
    <row r="192" spans="9:20" ht="15.75" customHeight="1">
      <c r="I192" s="14"/>
      <c r="J192" s="15"/>
      <c r="K192" s="15"/>
      <c r="M192" s="14"/>
      <c r="N192" s="11"/>
      <c r="O192" s="15"/>
      <c r="Q192" s="14"/>
      <c r="S192" s="8"/>
      <c r="T192" s="8"/>
    </row>
    <row r="193" spans="9:20" ht="15.75" customHeight="1">
      <c r="I193" s="14"/>
      <c r="J193" s="15"/>
      <c r="K193" s="15"/>
      <c r="M193" s="14"/>
      <c r="N193" s="11"/>
      <c r="O193" s="15"/>
      <c r="Q193" s="14"/>
      <c r="S193" s="8"/>
      <c r="T193" s="8"/>
    </row>
    <row r="194" spans="9:20" ht="15.75" customHeight="1">
      <c r="I194" s="14"/>
      <c r="J194" s="15"/>
      <c r="K194" s="15"/>
      <c r="M194" s="14"/>
      <c r="N194" s="11"/>
      <c r="O194" s="15"/>
      <c r="Q194" s="14"/>
      <c r="S194" s="8"/>
      <c r="T194" s="8"/>
    </row>
    <row r="195" spans="9:20" ht="15.75" customHeight="1">
      <c r="I195" s="14"/>
      <c r="J195" s="15"/>
      <c r="K195" s="15"/>
      <c r="M195" s="14"/>
      <c r="N195" s="11"/>
      <c r="O195" s="15"/>
      <c r="Q195" s="14"/>
      <c r="S195" s="8"/>
      <c r="T195" s="8"/>
    </row>
    <row r="196" spans="9:20" ht="15.75" customHeight="1">
      <c r="I196" s="14"/>
      <c r="J196" s="15"/>
      <c r="K196" s="15"/>
      <c r="M196" s="14"/>
      <c r="N196" s="11"/>
      <c r="O196" s="15"/>
      <c r="Q196" s="14"/>
      <c r="S196" s="8"/>
      <c r="T196" s="8"/>
    </row>
    <row r="197" spans="9:20" ht="15.75" customHeight="1">
      <c r="I197" s="14"/>
      <c r="J197" s="15"/>
      <c r="K197" s="15"/>
      <c r="M197" s="14"/>
      <c r="N197" s="11"/>
      <c r="O197" s="15"/>
      <c r="Q197" s="14"/>
      <c r="S197" s="8"/>
      <c r="T197" s="8"/>
    </row>
    <row r="198" spans="9:20" ht="15.75" customHeight="1">
      <c r="I198" s="14"/>
      <c r="J198" s="15"/>
      <c r="K198" s="15"/>
      <c r="M198" s="14"/>
      <c r="N198" s="11"/>
      <c r="O198" s="15"/>
      <c r="Q198" s="14"/>
      <c r="S198" s="8"/>
      <c r="T198" s="8"/>
    </row>
    <row r="199" spans="9:20" ht="15.75" customHeight="1">
      <c r="I199" s="14"/>
      <c r="J199" s="15"/>
      <c r="K199" s="15"/>
      <c r="M199" s="14"/>
      <c r="N199" s="11"/>
      <c r="O199" s="15"/>
      <c r="Q199" s="14"/>
      <c r="S199" s="8"/>
      <c r="T199" s="8"/>
    </row>
    <row r="200" spans="9:20" ht="15.75" customHeight="1">
      <c r="I200" s="14"/>
      <c r="J200" s="15"/>
      <c r="K200" s="15"/>
      <c r="M200" s="14"/>
      <c r="N200" s="11"/>
      <c r="O200" s="15"/>
      <c r="Q200" s="14"/>
      <c r="S200" s="8"/>
      <c r="T200" s="8"/>
    </row>
    <row r="201" spans="9:20" ht="15.75" customHeight="1">
      <c r="I201" s="14"/>
      <c r="J201" s="15"/>
      <c r="K201" s="15"/>
      <c r="M201" s="14"/>
      <c r="N201" s="11"/>
      <c r="O201" s="15"/>
      <c r="Q201" s="14"/>
      <c r="S201" s="8"/>
      <c r="T201" s="8"/>
    </row>
    <row r="202" spans="9:20" ht="15.75" customHeight="1">
      <c r="I202" s="14"/>
      <c r="J202" s="15"/>
      <c r="K202" s="15"/>
      <c r="M202" s="14"/>
      <c r="N202" s="11"/>
      <c r="O202" s="15"/>
      <c r="Q202" s="14"/>
      <c r="S202" s="8"/>
      <c r="T202" s="8"/>
    </row>
    <row r="203" spans="9:20" ht="15.75" customHeight="1">
      <c r="I203" s="14"/>
      <c r="J203" s="15"/>
      <c r="K203" s="15"/>
      <c r="M203" s="14"/>
      <c r="N203" s="11"/>
      <c r="O203" s="15"/>
      <c r="Q203" s="14"/>
      <c r="S203" s="8"/>
      <c r="T203" s="8"/>
    </row>
    <row r="204" spans="9:20" ht="15.75" customHeight="1">
      <c r="I204" s="14"/>
      <c r="J204" s="15"/>
      <c r="K204" s="15"/>
      <c r="M204" s="14"/>
      <c r="N204" s="11"/>
      <c r="O204" s="15"/>
      <c r="Q204" s="14"/>
      <c r="S204" s="8"/>
      <c r="T204" s="8"/>
    </row>
    <row r="205" spans="9:20" ht="15.75" customHeight="1">
      <c r="I205" s="14"/>
      <c r="J205" s="15"/>
      <c r="K205" s="15"/>
      <c r="M205" s="14"/>
      <c r="N205" s="11"/>
      <c r="O205" s="15"/>
      <c r="Q205" s="14"/>
      <c r="S205" s="8"/>
      <c r="T205" s="8"/>
    </row>
    <row r="206" spans="9:20" ht="15.75" customHeight="1">
      <c r="I206" s="14"/>
      <c r="J206" s="15"/>
      <c r="K206" s="15"/>
      <c r="M206" s="14"/>
      <c r="N206" s="11"/>
      <c r="O206" s="15"/>
      <c r="Q206" s="14"/>
      <c r="S206" s="8"/>
      <c r="T206" s="8"/>
    </row>
    <row r="207" spans="9:20" ht="15" customHeight="1">
      <c r="I207" s="14"/>
      <c r="J207" s="15"/>
      <c r="K207" s="15"/>
      <c r="M207" s="14"/>
      <c r="N207" s="11"/>
      <c r="O207" s="15"/>
      <c r="Q207" s="14"/>
      <c r="S207" s="8"/>
      <c r="T207" s="8"/>
    </row>
    <row r="208" spans="9:20" ht="15" customHeight="1">
      <c r="I208" s="14"/>
      <c r="J208" s="15"/>
      <c r="K208" s="15"/>
      <c r="M208" s="14"/>
      <c r="N208" s="11"/>
      <c r="O208" s="15"/>
      <c r="Q208" s="14"/>
      <c r="S208" s="8"/>
      <c r="T208" s="8"/>
    </row>
    <row r="209" spans="9:20" ht="15" customHeight="1">
      <c r="I209" s="14"/>
      <c r="J209" s="15"/>
      <c r="K209" s="15"/>
      <c r="M209" s="14"/>
      <c r="N209" s="11"/>
      <c r="O209" s="15"/>
      <c r="Q209" s="14"/>
      <c r="S209" s="8"/>
      <c r="T209" s="8"/>
    </row>
    <row r="210" spans="9:20" ht="15" customHeight="1">
      <c r="I210" s="14"/>
      <c r="J210" s="15"/>
      <c r="K210" s="15"/>
      <c r="M210" s="14"/>
      <c r="N210" s="11"/>
      <c r="O210" s="15"/>
      <c r="Q210" s="14"/>
      <c r="S210" s="8"/>
      <c r="T210" s="8"/>
    </row>
    <row r="211" spans="9:20" ht="15" customHeight="1">
      <c r="I211" s="14"/>
      <c r="J211" s="15"/>
      <c r="K211" s="15"/>
      <c r="M211" s="14"/>
      <c r="N211" s="11"/>
      <c r="O211" s="15"/>
      <c r="Q211" s="14"/>
      <c r="S211" s="8"/>
      <c r="T211" s="8"/>
    </row>
    <row r="212" spans="9:20" ht="15" customHeight="1">
      <c r="I212" s="14"/>
      <c r="J212" s="15"/>
      <c r="K212" s="15"/>
      <c r="M212" s="14"/>
      <c r="N212" s="11"/>
      <c r="O212" s="15"/>
      <c r="Q212" s="14"/>
      <c r="S212" s="8"/>
      <c r="T212" s="8"/>
    </row>
    <row r="213" spans="9:20" ht="15" customHeight="1">
      <c r="I213" s="14"/>
      <c r="J213" s="15"/>
      <c r="K213" s="15"/>
      <c r="M213" s="14"/>
      <c r="N213" s="11"/>
      <c r="O213" s="15"/>
      <c r="Q213" s="14"/>
      <c r="S213" s="8"/>
      <c r="T213" s="8"/>
    </row>
    <row r="214" spans="9:20" ht="15" customHeight="1">
      <c r="I214" s="14"/>
      <c r="J214" s="15"/>
      <c r="K214" s="15"/>
      <c r="M214" s="14"/>
      <c r="N214" s="11"/>
      <c r="O214" s="15"/>
      <c r="Q214" s="14"/>
      <c r="S214" s="8"/>
      <c r="T214" s="8"/>
    </row>
    <row r="215" spans="9:20" ht="15" customHeight="1">
      <c r="I215" s="14"/>
      <c r="J215" s="15"/>
      <c r="K215" s="15"/>
      <c r="M215" s="14"/>
      <c r="N215" s="11"/>
      <c r="O215" s="15"/>
      <c r="Q215" s="14"/>
      <c r="S215" s="8"/>
      <c r="T215" s="8"/>
    </row>
    <row r="216" spans="9:20" ht="15" customHeight="1">
      <c r="I216" s="14"/>
      <c r="J216" s="15"/>
      <c r="K216" s="15"/>
      <c r="M216" s="14"/>
      <c r="N216" s="11"/>
      <c r="O216" s="15"/>
      <c r="Q216" s="14"/>
      <c r="S216" s="8"/>
      <c r="T216" s="8"/>
    </row>
    <row r="217" spans="9:20" ht="15" customHeight="1">
      <c r="I217" s="14"/>
      <c r="J217" s="15"/>
      <c r="K217" s="15"/>
      <c r="M217" s="14"/>
      <c r="N217" s="11"/>
      <c r="O217" s="15"/>
      <c r="Q217" s="14"/>
      <c r="S217" s="8"/>
      <c r="T217" s="8"/>
    </row>
    <row r="218" spans="9:20" ht="15" customHeight="1">
      <c r="I218" s="14"/>
      <c r="J218" s="15"/>
      <c r="K218" s="15"/>
      <c r="M218" s="14"/>
      <c r="N218" s="11"/>
      <c r="O218" s="15"/>
      <c r="Q218" s="14"/>
      <c r="S218" s="8"/>
      <c r="T218" s="8"/>
    </row>
    <row r="219" spans="9:20" ht="15" customHeight="1">
      <c r="I219" s="14"/>
      <c r="J219" s="15"/>
      <c r="K219" s="15"/>
      <c r="M219" s="14"/>
      <c r="N219" s="11"/>
      <c r="O219" s="15"/>
      <c r="Q219" s="14"/>
      <c r="S219" s="8"/>
      <c r="T219" s="8"/>
    </row>
    <row r="220" spans="9:20" ht="15" customHeight="1">
      <c r="I220" s="14"/>
      <c r="J220" s="15"/>
      <c r="K220" s="15"/>
      <c r="M220" s="14"/>
      <c r="N220" s="11"/>
      <c r="O220" s="15"/>
      <c r="Q220" s="14"/>
      <c r="S220" s="8"/>
      <c r="T220" s="8"/>
    </row>
    <row r="221" spans="9:20" ht="15" customHeight="1">
      <c r="I221" s="14"/>
      <c r="J221" s="15"/>
      <c r="K221" s="15"/>
      <c r="M221" s="14"/>
      <c r="N221" s="11"/>
      <c r="O221" s="15"/>
      <c r="Q221" s="14"/>
      <c r="S221" s="8"/>
      <c r="T221" s="8"/>
    </row>
    <row r="222" spans="9:20" ht="15" customHeight="1">
      <c r="I222" s="14"/>
      <c r="J222" s="15"/>
      <c r="K222" s="15"/>
      <c r="M222" s="14"/>
      <c r="N222" s="11"/>
      <c r="O222" s="15"/>
      <c r="Q222" s="14"/>
      <c r="S222" s="8"/>
      <c r="T222" s="8"/>
    </row>
    <row r="223" spans="9:20" ht="15" customHeight="1">
      <c r="I223" s="14"/>
      <c r="J223" s="15"/>
      <c r="K223" s="15"/>
      <c r="M223" s="14"/>
      <c r="N223" s="11"/>
      <c r="O223" s="15"/>
      <c r="Q223" s="14"/>
      <c r="S223" s="8"/>
      <c r="T223" s="8"/>
    </row>
    <row r="224" spans="9:20" ht="15" customHeight="1">
      <c r="I224" s="14"/>
      <c r="J224" s="15"/>
      <c r="K224" s="15"/>
      <c r="M224" s="14"/>
      <c r="N224" s="11"/>
      <c r="O224" s="15"/>
      <c r="Q224" s="14"/>
      <c r="S224" s="8"/>
      <c r="T224" s="8"/>
    </row>
    <row r="225" spans="9:20" ht="15" customHeight="1">
      <c r="I225" s="14"/>
      <c r="J225" s="15"/>
      <c r="K225" s="15"/>
      <c r="M225" s="14"/>
      <c r="N225" s="11"/>
      <c r="O225" s="15"/>
      <c r="Q225" s="14"/>
      <c r="S225" s="8"/>
      <c r="T225" s="8"/>
    </row>
    <row r="226" spans="9:20" ht="15" customHeight="1">
      <c r="I226" s="14"/>
      <c r="J226" s="15"/>
      <c r="K226" s="15"/>
      <c r="M226" s="14"/>
      <c r="N226" s="11"/>
      <c r="O226" s="15"/>
      <c r="Q226" s="14"/>
      <c r="S226" s="8"/>
      <c r="T226" s="8"/>
    </row>
    <row r="227" spans="9:20" ht="15" customHeight="1">
      <c r="I227" s="14"/>
      <c r="J227" s="15"/>
      <c r="K227" s="15"/>
      <c r="M227" s="14"/>
      <c r="N227" s="11"/>
      <c r="O227" s="15"/>
      <c r="Q227" s="14"/>
      <c r="S227" s="8"/>
      <c r="T227" s="8"/>
    </row>
    <row r="228" spans="9:20" ht="15" customHeight="1">
      <c r="I228" s="14"/>
      <c r="J228" s="15"/>
      <c r="K228" s="15"/>
      <c r="M228" s="14"/>
      <c r="N228" s="11"/>
      <c r="O228" s="15"/>
      <c r="Q228" s="14"/>
      <c r="S228" s="8"/>
      <c r="T228" s="8"/>
    </row>
    <row r="229" spans="9:20" ht="15" customHeight="1">
      <c r="I229" s="14"/>
      <c r="J229" s="15"/>
      <c r="K229" s="15"/>
      <c r="M229" s="14"/>
      <c r="N229" s="11"/>
      <c r="O229" s="15"/>
      <c r="Q229" s="14"/>
      <c r="S229" s="8"/>
      <c r="T229" s="8"/>
    </row>
    <row r="230" spans="9:20" ht="15" customHeight="1">
      <c r="I230" s="14"/>
      <c r="J230" s="15"/>
      <c r="K230" s="15"/>
      <c r="M230" s="14"/>
      <c r="N230" s="11"/>
      <c r="O230" s="15"/>
      <c r="Q230" s="14"/>
      <c r="S230" s="8"/>
      <c r="T230" s="8"/>
    </row>
    <row r="231" spans="9:20" ht="15" customHeight="1">
      <c r="I231" s="14"/>
      <c r="J231" s="15"/>
      <c r="K231" s="15"/>
      <c r="M231" s="14"/>
      <c r="N231" s="11"/>
      <c r="O231" s="15"/>
      <c r="Q231" s="14"/>
      <c r="S231" s="8"/>
      <c r="T231" s="8"/>
    </row>
    <row r="232" spans="9:20" ht="15" customHeight="1">
      <c r="I232" s="14"/>
      <c r="J232" s="15"/>
      <c r="K232" s="15"/>
      <c r="M232" s="14"/>
      <c r="N232" s="11"/>
      <c r="O232" s="15"/>
      <c r="Q232" s="14"/>
      <c r="S232" s="8"/>
      <c r="T232" s="8"/>
    </row>
    <row r="233" spans="9:20" ht="15" customHeight="1">
      <c r="I233" s="14"/>
      <c r="J233" s="15"/>
      <c r="K233" s="15"/>
      <c r="M233" s="14"/>
      <c r="N233" s="11"/>
      <c r="O233" s="15"/>
      <c r="Q233" s="14"/>
      <c r="S233" s="8"/>
      <c r="T233" s="8"/>
    </row>
    <row r="234" spans="9:20" ht="15" customHeight="1">
      <c r="I234" s="14"/>
      <c r="J234" s="15"/>
      <c r="K234" s="15"/>
      <c r="M234" s="14"/>
      <c r="N234" s="11"/>
      <c r="O234" s="15"/>
      <c r="Q234" s="14"/>
      <c r="S234" s="8"/>
      <c r="T234" s="8"/>
    </row>
    <row r="235" spans="9:20" ht="15" customHeight="1">
      <c r="I235" s="14"/>
      <c r="J235" s="15"/>
      <c r="K235" s="15"/>
      <c r="M235" s="14"/>
      <c r="N235" s="11"/>
      <c r="O235" s="15"/>
      <c r="Q235" s="14"/>
      <c r="S235" s="8"/>
      <c r="T235" s="8"/>
    </row>
  </sheetData>
  <autoFilter ref="A1:T137" xr:uid="{00000000-0001-0000-0400-000000000000}"/>
  <conditionalFormatting sqref="K1 O1">
    <cfRule type="cellIs" dxfId="19" priority="9" operator="equal">
      <formula>0</formula>
    </cfRule>
  </conditionalFormatting>
  <conditionalFormatting sqref="K131:K132 K133:L134">
    <cfRule type="cellIs" dxfId="18" priority="7" operator="equal">
      <formula>0</formula>
    </cfRule>
  </conditionalFormatting>
  <conditionalFormatting sqref="K175:L176">
    <cfRule type="cellIs" dxfId="17" priority="2" operator="equal">
      <formula>0</formula>
    </cfRule>
  </conditionalFormatting>
  <conditionalFormatting sqref="N177:N235">
    <cfRule type="cellIs" dxfId="16" priority="5" operator="equal">
      <formula>0</formula>
    </cfRule>
  </conditionalFormatting>
  <conditionalFormatting sqref="O133">
    <cfRule type="cellIs" dxfId="15" priority="8" operator="equal">
      <formula>0</formula>
    </cfRule>
  </conditionalFormatting>
  <conditionalFormatting sqref="O175:O235">
    <cfRule type="cellIs" dxfId="14" priority="3" operator="equal">
      <formula>0</formula>
    </cfRule>
  </conditionalFormatting>
  <conditionalFormatting sqref="O2:P127 K2:L129 K137:L172 O137:P172 J177:K235">
    <cfRule type="cellIs" dxfId="13" priority="4" operator="equal">
      <formula>0</formula>
    </cfRule>
  </conditionalFormatting>
  <conditionalFormatting sqref="O129:P129">
    <cfRule type="cellIs" dxfId="12" priority="6" operator="equal">
      <formula>0</formula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8450A-37A2-45C1-B8D7-4ACCB0D84EAB}">
  <dimension ref="A1:T236"/>
  <sheetViews>
    <sheetView topLeftCell="A146" workbookViewId="0">
      <selection activeCell="E162" sqref="E162"/>
    </sheetView>
  </sheetViews>
  <sheetFormatPr defaultColWidth="14.42578125" defaultRowHeight="15" customHeight="1"/>
  <cols>
    <col min="1" max="1" width="12.85546875" bestFit="1" customWidth="1"/>
    <col min="2" max="2" width="14.85546875" bestFit="1" customWidth="1"/>
    <col min="3" max="3" width="38.85546875" bestFit="1" customWidth="1"/>
    <col min="4" max="7" width="38.85546875" customWidth="1"/>
    <col min="8" max="8" width="37.85546875" customWidth="1"/>
    <col min="9" max="19" width="8.7109375" customWidth="1"/>
    <col min="20" max="20" width="18.42578125" customWidth="1"/>
  </cols>
  <sheetData>
    <row r="1" spans="1:20" ht="29.1">
      <c r="A1" s="58" t="s">
        <v>121</v>
      </c>
      <c r="B1" s="58" t="s">
        <v>122</v>
      </c>
      <c r="C1" s="58"/>
      <c r="D1" s="58" t="s">
        <v>123</v>
      </c>
      <c r="E1" s="59" t="s">
        <v>124</v>
      </c>
      <c r="F1" s="58" t="s">
        <v>125</v>
      </c>
      <c r="G1" s="58" t="s">
        <v>333</v>
      </c>
      <c r="H1" s="58" t="s">
        <v>126</v>
      </c>
      <c r="I1" s="58" t="s">
        <v>127</v>
      </c>
      <c r="J1" s="58" t="s">
        <v>1023</v>
      </c>
      <c r="K1" s="58" t="s">
        <v>129</v>
      </c>
      <c r="L1" s="58" t="s">
        <v>335</v>
      </c>
      <c r="M1" s="58" t="s">
        <v>131</v>
      </c>
      <c r="N1" s="58" t="s">
        <v>336</v>
      </c>
      <c r="O1" s="58" t="s">
        <v>133</v>
      </c>
      <c r="P1" s="58" t="s">
        <v>134</v>
      </c>
      <c r="Q1" s="7"/>
      <c r="R1" s="7"/>
    </row>
    <row r="2" spans="1:20" ht="14.45">
      <c r="A2" s="59">
        <v>1</v>
      </c>
      <c r="B2" s="59">
        <v>33</v>
      </c>
      <c r="C2" s="60" t="s">
        <v>135</v>
      </c>
      <c r="D2" s="59" t="s">
        <v>136</v>
      </c>
      <c r="E2" s="59" t="s">
        <v>137</v>
      </c>
      <c r="F2" s="59" t="s">
        <v>138</v>
      </c>
      <c r="G2" s="59" t="s">
        <v>340</v>
      </c>
      <c r="H2" s="59" t="s">
        <v>348</v>
      </c>
      <c r="I2" s="59"/>
      <c r="J2" s="61">
        <v>1.7065972222222222E-2</v>
      </c>
      <c r="K2" s="61">
        <v>5.7870370370370367E-4</v>
      </c>
      <c r="L2" s="61">
        <v>3.9793981481481479E-2</v>
      </c>
      <c r="M2" s="61">
        <v>3.5532407407407409E-4</v>
      </c>
      <c r="N2" s="61">
        <v>2.3443287037037037E-2</v>
      </c>
      <c r="O2" s="61">
        <v>8.1240740740740738E-2</v>
      </c>
      <c r="P2" s="59"/>
      <c r="Q2" s="8">
        <f>IFERROR(ROUND($O$2/O2*1000,0),0)</f>
        <v>1000</v>
      </c>
      <c r="R2" s="14"/>
      <c r="S2" s="8"/>
      <c r="T2" s="8"/>
    </row>
    <row r="3" spans="1:20" ht="14.45">
      <c r="A3" s="59">
        <v>2</v>
      </c>
      <c r="B3" s="59">
        <v>12</v>
      </c>
      <c r="C3" s="60" t="s">
        <v>135</v>
      </c>
      <c r="D3" s="59" t="s">
        <v>337</v>
      </c>
      <c r="E3" s="59" t="s">
        <v>338</v>
      </c>
      <c r="F3" s="59" t="s">
        <v>2706</v>
      </c>
      <c r="G3" s="59" t="s">
        <v>340</v>
      </c>
      <c r="H3" s="59" t="s">
        <v>341</v>
      </c>
      <c r="I3" s="59"/>
      <c r="J3" s="61">
        <v>1.6458333333333332E-2</v>
      </c>
      <c r="K3" s="61">
        <v>7.6967592592592593E-4</v>
      </c>
      <c r="L3" s="61">
        <v>3.8390046296296297E-2</v>
      </c>
      <c r="M3" s="61">
        <v>5.3935185185185184E-4</v>
      </c>
      <c r="N3" s="61">
        <v>2.6373842592592591E-2</v>
      </c>
      <c r="O3" s="61">
        <v>8.2533564814814817E-2</v>
      </c>
      <c r="P3" s="59" t="s">
        <v>3183</v>
      </c>
      <c r="Q3" s="8">
        <f t="shared" ref="Q3:Q66" si="0">IFERROR(ROUND($O$2/O3*1000,0),0)</f>
        <v>984</v>
      </c>
      <c r="R3" s="14"/>
      <c r="S3" s="8"/>
      <c r="T3" s="8"/>
    </row>
    <row r="4" spans="1:20" ht="14.45">
      <c r="A4" s="59">
        <v>3</v>
      </c>
      <c r="B4" s="59">
        <v>67</v>
      </c>
      <c r="C4" s="60" t="s">
        <v>135</v>
      </c>
      <c r="D4" s="59" t="s">
        <v>197</v>
      </c>
      <c r="E4" s="59" t="s">
        <v>198</v>
      </c>
      <c r="F4" s="59" t="s">
        <v>199</v>
      </c>
      <c r="G4" s="59" t="s">
        <v>340</v>
      </c>
      <c r="H4" s="59" t="s">
        <v>348</v>
      </c>
      <c r="I4" s="59"/>
      <c r="J4" s="61">
        <v>1.8482638888888889E-2</v>
      </c>
      <c r="K4" s="61">
        <v>1.0868055555555557E-3</v>
      </c>
      <c r="L4" s="61">
        <v>4.185532407407408E-2</v>
      </c>
      <c r="M4" s="61">
        <v>4.4444444444444441E-4</v>
      </c>
      <c r="N4" s="61">
        <v>2.7693287037037034E-2</v>
      </c>
      <c r="O4" s="61">
        <v>8.956597222222222E-2</v>
      </c>
      <c r="P4" s="59" t="s">
        <v>3184</v>
      </c>
      <c r="Q4" s="8">
        <f t="shared" si="0"/>
        <v>907</v>
      </c>
      <c r="R4" s="14"/>
      <c r="S4" s="8"/>
      <c r="T4" s="8"/>
    </row>
    <row r="5" spans="1:20" ht="14.45">
      <c r="A5" s="59">
        <v>4</v>
      </c>
      <c r="B5" s="59">
        <v>7</v>
      </c>
      <c r="C5" s="60" t="s">
        <v>135</v>
      </c>
      <c r="D5" s="59" t="s">
        <v>175</v>
      </c>
      <c r="E5" s="59" t="s">
        <v>176</v>
      </c>
      <c r="F5" s="59" t="s">
        <v>153</v>
      </c>
      <c r="G5" s="59" t="s">
        <v>340</v>
      </c>
      <c r="H5" s="59" t="s">
        <v>348</v>
      </c>
      <c r="I5" s="59">
        <v>1</v>
      </c>
      <c r="J5" s="61">
        <v>1.6364583333333335E-2</v>
      </c>
      <c r="K5" s="61">
        <v>8.5185185185185179E-4</v>
      </c>
      <c r="L5" s="61">
        <v>4.614583333333333E-2</v>
      </c>
      <c r="M5" s="61">
        <v>5.7523148148148147E-4</v>
      </c>
      <c r="N5" s="61">
        <v>2.6016203703703705E-2</v>
      </c>
      <c r="O5" s="61">
        <v>8.9957175925925933E-2</v>
      </c>
      <c r="P5" s="59" t="s">
        <v>3185</v>
      </c>
      <c r="Q5" s="8">
        <f t="shared" si="0"/>
        <v>903</v>
      </c>
      <c r="R5" s="14"/>
      <c r="S5" s="8"/>
      <c r="T5" s="8"/>
    </row>
    <row r="6" spans="1:20" ht="14.45">
      <c r="A6" s="59">
        <v>5</v>
      </c>
      <c r="B6" s="59">
        <v>83</v>
      </c>
      <c r="C6" s="60" t="s">
        <v>135</v>
      </c>
      <c r="D6" s="59" t="s">
        <v>1035</v>
      </c>
      <c r="E6" s="59" t="s">
        <v>1036</v>
      </c>
      <c r="F6" s="59"/>
      <c r="G6" s="59" t="s">
        <v>340</v>
      </c>
      <c r="H6" s="59" t="s">
        <v>348</v>
      </c>
      <c r="I6" s="59">
        <v>2</v>
      </c>
      <c r="J6" s="61">
        <v>1.5274305555555557E-2</v>
      </c>
      <c r="K6" s="61">
        <v>7.9976851851851845E-4</v>
      </c>
      <c r="L6" s="61">
        <v>4.4644675925925928E-2</v>
      </c>
      <c r="M6" s="61">
        <v>6.2384259259259261E-4</v>
      </c>
      <c r="N6" s="61">
        <v>2.9141203703703707E-2</v>
      </c>
      <c r="O6" s="61">
        <v>9.0487268518518529E-2</v>
      </c>
      <c r="P6" s="59" t="s">
        <v>3186</v>
      </c>
      <c r="Q6" s="8">
        <f t="shared" si="0"/>
        <v>898</v>
      </c>
      <c r="R6" s="14"/>
      <c r="S6" s="8"/>
      <c r="T6" s="8"/>
    </row>
    <row r="7" spans="1:20" ht="14.45">
      <c r="A7" s="59">
        <v>6</v>
      </c>
      <c r="B7" s="59">
        <v>25</v>
      </c>
      <c r="C7" s="60" t="s">
        <v>135</v>
      </c>
      <c r="D7" s="59" t="s">
        <v>184</v>
      </c>
      <c r="E7" s="59" t="s">
        <v>185</v>
      </c>
      <c r="F7" s="59" t="s">
        <v>148</v>
      </c>
      <c r="G7" s="59" t="s">
        <v>340</v>
      </c>
      <c r="H7" s="59" t="s">
        <v>344</v>
      </c>
      <c r="I7" s="59">
        <v>1</v>
      </c>
      <c r="J7" s="61">
        <v>1.8204861111111113E-2</v>
      </c>
      <c r="K7" s="61">
        <v>9.5254629629629628E-4</v>
      </c>
      <c r="L7" s="61">
        <v>4.3453703703703703E-2</v>
      </c>
      <c r="M7" s="61">
        <v>7.5925925925925922E-4</v>
      </c>
      <c r="N7" s="61">
        <v>2.7815972222222225E-2</v>
      </c>
      <c r="O7" s="61">
        <v>9.1188657407407406E-2</v>
      </c>
      <c r="P7" s="59" t="s">
        <v>3187</v>
      </c>
      <c r="Q7" s="8">
        <f t="shared" si="0"/>
        <v>891</v>
      </c>
      <c r="R7" s="14"/>
      <c r="S7" s="8"/>
      <c r="T7" s="8"/>
    </row>
    <row r="8" spans="1:20" ht="14.45">
      <c r="A8" s="59">
        <v>7</v>
      </c>
      <c r="B8" s="59">
        <v>56</v>
      </c>
      <c r="C8" s="60" t="s">
        <v>135</v>
      </c>
      <c r="D8" s="59" t="s">
        <v>2074</v>
      </c>
      <c r="E8" s="59" t="s">
        <v>2075</v>
      </c>
      <c r="F8" s="59" t="s">
        <v>199</v>
      </c>
      <c r="G8" s="59" t="s">
        <v>340</v>
      </c>
      <c r="H8" s="59" t="s">
        <v>348</v>
      </c>
      <c r="I8" s="59">
        <v>3</v>
      </c>
      <c r="J8" s="61">
        <v>1.7100694444444446E-2</v>
      </c>
      <c r="K8" s="61">
        <v>1.1064814814814815E-3</v>
      </c>
      <c r="L8" s="61">
        <v>4.4528935185185185E-2</v>
      </c>
      <c r="M8" s="61">
        <v>3.7615740740740741E-4</v>
      </c>
      <c r="N8" s="61">
        <v>2.8241898148148148E-2</v>
      </c>
      <c r="O8" s="61">
        <v>9.1357638888888884E-2</v>
      </c>
      <c r="P8" s="59" t="s">
        <v>3188</v>
      </c>
      <c r="Q8" s="8">
        <f t="shared" si="0"/>
        <v>889</v>
      </c>
      <c r="R8" s="14"/>
      <c r="S8" s="8"/>
      <c r="T8" s="8"/>
    </row>
    <row r="9" spans="1:20" ht="14.45">
      <c r="A9" s="59">
        <v>8</v>
      </c>
      <c r="B9" s="59">
        <v>118</v>
      </c>
      <c r="C9" s="60" t="s">
        <v>135</v>
      </c>
      <c r="D9" s="59" t="s">
        <v>191</v>
      </c>
      <c r="E9" s="59" t="s">
        <v>192</v>
      </c>
      <c r="F9" s="59" t="s">
        <v>138</v>
      </c>
      <c r="G9" s="59" t="s">
        <v>340</v>
      </c>
      <c r="H9" s="59" t="s">
        <v>344</v>
      </c>
      <c r="I9" s="59">
        <v>2</v>
      </c>
      <c r="J9" s="61">
        <v>1.850925925925926E-2</v>
      </c>
      <c r="K9" s="61">
        <v>8.530092592592593E-4</v>
      </c>
      <c r="L9" s="61">
        <v>4.5087962962962962E-2</v>
      </c>
      <c r="M9" s="61">
        <v>7.9398148148148145E-4</v>
      </c>
      <c r="N9" s="61">
        <v>2.7333333333333331E-2</v>
      </c>
      <c r="O9" s="61">
        <v>9.2579861111111106E-2</v>
      </c>
      <c r="P9" s="59" t="s">
        <v>3189</v>
      </c>
      <c r="Q9" s="8">
        <f t="shared" si="0"/>
        <v>878</v>
      </c>
      <c r="R9" s="14"/>
      <c r="S9" s="8"/>
      <c r="T9" s="8"/>
    </row>
    <row r="10" spans="1:20" ht="14.45">
      <c r="A10" s="59">
        <v>9</v>
      </c>
      <c r="B10" s="59">
        <v>107</v>
      </c>
      <c r="C10" s="60" t="s">
        <v>135</v>
      </c>
      <c r="D10" s="59" t="s">
        <v>187</v>
      </c>
      <c r="E10" s="59" t="s">
        <v>188</v>
      </c>
      <c r="F10" s="59" t="s">
        <v>189</v>
      </c>
      <c r="G10" s="59" t="s">
        <v>340</v>
      </c>
      <c r="H10" s="59" t="s">
        <v>341</v>
      </c>
      <c r="I10" s="59">
        <v>1</v>
      </c>
      <c r="J10" s="61">
        <v>1.8256944444444447E-2</v>
      </c>
      <c r="K10" s="61">
        <v>8.3217592592592599E-4</v>
      </c>
      <c r="L10" s="61">
        <v>4.4635416666666664E-2</v>
      </c>
      <c r="M10" s="61">
        <v>3.9930555555555558E-4</v>
      </c>
      <c r="N10" s="61">
        <v>2.9866898148148149E-2</v>
      </c>
      <c r="O10" s="61">
        <v>9.3991898148148151E-2</v>
      </c>
      <c r="P10" s="59" t="s">
        <v>3190</v>
      </c>
      <c r="Q10" s="8">
        <f t="shared" si="0"/>
        <v>864</v>
      </c>
      <c r="R10" s="14"/>
      <c r="S10" s="8"/>
      <c r="T10" s="8"/>
    </row>
    <row r="11" spans="1:20" ht="14.45">
      <c r="A11" s="59">
        <v>10</v>
      </c>
      <c r="B11" s="59">
        <v>82</v>
      </c>
      <c r="C11" s="60" t="s">
        <v>135</v>
      </c>
      <c r="D11" s="59" t="s">
        <v>372</v>
      </c>
      <c r="E11" s="59" t="s">
        <v>373</v>
      </c>
      <c r="F11" s="59"/>
      <c r="G11" s="59" t="s">
        <v>340</v>
      </c>
      <c r="H11" s="59" t="s">
        <v>348</v>
      </c>
      <c r="I11" s="59">
        <v>4</v>
      </c>
      <c r="J11" s="61">
        <v>2.0250000000000001E-2</v>
      </c>
      <c r="K11" s="61">
        <v>9.2476851851851856E-4</v>
      </c>
      <c r="L11" s="61">
        <v>4.4261574074074071E-2</v>
      </c>
      <c r="M11" s="61">
        <v>7.5694444444444453E-4</v>
      </c>
      <c r="N11" s="61">
        <v>2.8090277777777777E-2</v>
      </c>
      <c r="O11" s="61">
        <v>9.4284722222222214E-2</v>
      </c>
      <c r="P11" s="59" t="s">
        <v>3191</v>
      </c>
      <c r="Q11" s="8">
        <f t="shared" si="0"/>
        <v>862</v>
      </c>
      <c r="R11" s="14"/>
      <c r="S11" s="8"/>
      <c r="T11" s="8"/>
    </row>
    <row r="12" spans="1:20" ht="14.45">
      <c r="A12" s="59">
        <v>11</v>
      </c>
      <c r="B12" s="59">
        <v>61</v>
      </c>
      <c r="C12" s="60" t="s">
        <v>135</v>
      </c>
      <c r="D12" s="59" t="s">
        <v>432</v>
      </c>
      <c r="E12" s="59" t="s">
        <v>433</v>
      </c>
      <c r="F12" s="59" t="s">
        <v>434</v>
      </c>
      <c r="G12" s="59" t="s">
        <v>340</v>
      </c>
      <c r="H12" s="59" t="s">
        <v>352</v>
      </c>
      <c r="I12" s="59">
        <v>1</v>
      </c>
      <c r="J12" s="61">
        <v>1.9372685185185184E-2</v>
      </c>
      <c r="K12" s="61">
        <v>9.0393518518518514E-4</v>
      </c>
      <c r="L12" s="61">
        <v>4.6025462962962962E-2</v>
      </c>
      <c r="M12" s="61">
        <v>6.3888888888888893E-4</v>
      </c>
      <c r="N12" s="61">
        <v>2.7606481481481478E-2</v>
      </c>
      <c r="O12" s="61">
        <v>9.4550925925925927E-2</v>
      </c>
      <c r="P12" s="59" t="s">
        <v>3192</v>
      </c>
      <c r="Q12" s="8">
        <f t="shared" si="0"/>
        <v>859</v>
      </c>
      <c r="R12" s="14"/>
      <c r="S12" s="8"/>
      <c r="T12" s="8"/>
    </row>
    <row r="13" spans="1:20" ht="14.45">
      <c r="A13" s="59">
        <v>12</v>
      </c>
      <c r="B13" s="59">
        <v>57</v>
      </c>
      <c r="C13" s="60" t="s">
        <v>135</v>
      </c>
      <c r="D13" s="59" t="s">
        <v>381</v>
      </c>
      <c r="E13" s="59" t="s">
        <v>382</v>
      </c>
      <c r="F13" s="59" t="s">
        <v>138</v>
      </c>
      <c r="G13" s="59" t="s">
        <v>340</v>
      </c>
      <c r="H13" s="59" t="s">
        <v>341</v>
      </c>
      <c r="I13" s="59">
        <v>2</v>
      </c>
      <c r="J13" s="61">
        <v>1.9695601851851853E-2</v>
      </c>
      <c r="K13" s="61">
        <v>8.4259259259259259E-4</v>
      </c>
      <c r="L13" s="61">
        <v>4.5173611111111109E-2</v>
      </c>
      <c r="M13" s="61">
        <v>7.0601851851851847E-4</v>
      </c>
      <c r="N13" s="61">
        <v>2.8372685185185185E-2</v>
      </c>
      <c r="O13" s="61">
        <v>9.4791666666666663E-2</v>
      </c>
      <c r="P13" s="59" t="s">
        <v>3193</v>
      </c>
      <c r="Q13" s="8">
        <f t="shared" si="0"/>
        <v>857</v>
      </c>
      <c r="R13" s="14"/>
      <c r="S13" s="8"/>
      <c r="T13" s="8"/>
    </row>
    <row r="14" spans="1:20" ht="14.45">
      <c r="A14" s="59">
        <v>13</v>
      </c>
      <c r="B14" s="59">
        <v>21</v>
      </c>
      <c r="C14" s="60" t="s">
        <v>135</v>
      </c>
      <c r="D14" s="59" t="s">
        <v>386</v>
      </c>
      <c r="E14" s="59" t="s">
        <v>387</v>
      </c>
      <c r="F14" s="59"/>
      <c r="G14" s="59" t="s">
        <v>340</v>
      </c>
      <c r="H14" s="59" t="s">
        <v>344</v>
      </c>
      <c r="I14" s="59">
        <v>3</v>
      </c>
      <c r="J14" s="61">
        <v>1.9200231481481481E-2</v>
      </c>
      <c r="K14" s="61">
        <v>1.0682870370370371E-3</v>
      </c>
      <c r="L14" s="61">
        <v>4.6077546296296297E-2</v>
      </c>
      <c r="M14" s="61">
        <v>2.9629629629629629E-4</v>
      </c>
      <c r="N14" s="61">
        <v>2.8631944444444446E-2</v>
      </c>
      <c r="O14" s="61">
        <v>9.5276620370370366E-2</v>
      </c>
      <c r="P14" s="59" t="s">
        <v>3194</v>
      </c>
      <c r="Q14" s="8">
        <f t="shared" si="0"/>
        <v>853</v>
      </c>
      <c r="R14" s="14"/>
      <c r="S14" s="8"/>
      <c r="T14" s="8"/>
    </row>
    <row r="15" spans="1:20" ht="14.45">
      <c r="A15" s="59">
        <v>14</v>
      </c>
      <c r="B15" s="59">
        <v>64</v>
      </c>
      <c r="C15" s="60" t="s">
        <v>135</v>
      </c>
      <c r="D15" s="59" t="s">
        <v>165</v>
      </c>
      <c r="E15" s="59" t="s">
        <v>166</v>
      </c>
      <c r="F15" s="59" t="s">
        <v>138</v>
      </c>
      <c r="G15" s="59" t="s">
        <v>340</v>
      </c>
      <c r="H15" s="59" t="s">
        <v>341</v>
      </c>
      <c r="I15" s="59">
        <v>3</v>
      </c>
      <c r="J15" s="61">
        <v>1.8410879629629631E-2</v>
      </c>
      <c r="K15" s="61">
        <v>1.7337962962962964E-3</v>
      </c>
      <c r="L15" s="61">
        <v>4.6249999999999999E-2</v>
      </c>
      <c r="M15" s="61">
        <v>2.8472222222222223E-4</v>
      </c>
      <c r="N15" s="61">
        <v>2.8744212962962964E-2</v>
      </c>
      <c r="O15" s="61">
        <v>9.5425925925925914E-2</v>
      </c>
      <c r="P15" s="59" t="s">
        <v>3195</v>
      </c>
      <c r="Q15" s="8">
        <f t="shared" si="0"/>
        <v>851</v>
      </c>
      <c r="R15" s="14"/>
      <c r="S15" s="8"/>
      <c r="T15" s="8"/>
    </row>
    <row r="16" spans="1:20" ht="14.45">
      <c r="A16" s="59">
        <v>15</v>
      </c>
      <c r="B16" s="59">
        <v>106</v>
      </c>
      <c r="C16" s="60" t="s">
        <v>135</v>
      </c>
      <c r="D16" s="59" t="s">
        <v>389</v>
      </c>
      <c r="E16" s="59" t="s">
        <v>390</v>
      </c>
      <c r="F16" s="59" t="s">
        <v>3196</v>
      </c>
      <c r="G16" s="59" t="s">
        <v>340</v>
      </c>
      <c r="H16" s="59" t="s">
        <v>344</v>
      </c>
      <c r="I16" s="59">
        <v>4</v>
      </c>
      <c r="J16" s="61">
        <v>1.9672453703703706E-2</v>
      </c>
      <c r="K16" s="61">
        <v>7.5347222222222211E-4</v>
      </c>
      <c r="L16" s="61">
        <v>4.6512731481481481E-2</v>
      </c>
      <c r="M16" s="61">
        <v>5.0578703703703712E-4</v>
      </c>
      <c r="N16" s="61">
        <v>2.8284722222222225E-2</v>
      </c>
      <c r="O16" s="61">
        <v>9.5730324074074072E-2</v>
      </c>
      <c r="P16" s="59" t="s">
        <v>3197</v>
      </c>
      <c r="Q16" s="8">
        <f t="shared" si="0"/>
        <v>849</v>
      </c>
      <c r="R16" s="14"/>
      <c r="S16" s="8"/>
      <c r="T16" s="8"/>
    </row>
    <row r="17" spans="1:20" ht="14.45">
      <c r="A17" s="59">
        <v>16</v>
      </c>
      <c r="B17" s="59">
        <v>19</v>
      </c>
      <c r="C17" s="60" t="s">
        <v>135</v>
      </c>
      <c r="D17" s="59" t="s">
        <v>445</v>
      </c>
      <c r="E17" s="59" t="s">
        <v>446</v>
      </c>
      <c r="F17" s="59" t="s">
        <v>189</v>
      </c>
      <c r="G17" s="59" t="s">
        <v>340</v>
      </c>
      <c r="H17" s="59" t="s">
        <v>352</v>
      </c>
      <c r="I17" s="59">
        <v>2</v>
      </c>
      <c r="J17" s="61">
        <v>1.8881944444444444E-2</v>
      </c>
      <c r="K17" s="61">
        <v>1.3206018518518519E-3</v>
      </c>
      <c r="L17" s="61">
        <v>4.4357638888888891E-2</v>
      </c>
      <c r="M17" s="61">
        <v>3.4374999999999998E-4</v>
      </c>
      <c r="N17" s="61">
        <v>3.0947916666666669E-2</v>
      </c>
      <c r="O17" s="61">
        <v>9.5854166666666657E-2</v>
      </c>
      <c r="P17" s="59" t="s">
        <v>3198</v>
      </c>
      <c r="Q17" s="8">
        <f t="shared" si="0"/>
        <v>848</v>
      </c>
      <c r="R17" s="14"/>
      <c r="S17" s="8"/>
      <c r="T17" s="8"/>
    </row>
    <row r="18" spans="1:20" ht="14.45">
      <c r="A18" s="59">
        <v>17</v>
      </c>
      <c r="B18" s="59">
        <v>47</v>
      </c>
      <c r="C18" s="60" t="s">
        <v>135</v>
      </c>
      <c r="D18" s="59" t="s">
        <v>442</v>
      </c>
      <c r="E18" s="59" t="s">
        <v>443</v>
      </c>
      <c r="F18" s="59"/>
      <c r="G18" s="59" t="s">
        <v>340</v>
      </c>
      <c r="H18" s="59" t="s">
        <v>352</v>
      </c>
      <c r="I18" s="59">
        <v>3</v>
      </c>
      <c r="J18" s="61">
        <v>2.0550925925925924E-2</v>
      </c>
      <c r="K18" s="61">
        <v>1.3090277777777777E-3</v>
      </c>
      <c r="L18" s="61">
        <v>4.520023148148148E-2</v>
      </c>
      <c r="M18" s="61">
        <v>7.2800925925925919E-4</v>
      </c>
      <c r="N18" s="61">
        <v>2.8346064814814814E-2</v>
      </c>
      <c r="O18" s="61">
        <v>9.613773148148147E-2</v>
      </c>
      <c r="P18" s="59" t="s">
        <v>3199</v>
      </c>
      <c r="Q18" s="8">
        <f t="shared" si="0"/>
        <v>845</v>
      </c>
      <c r="R18" s="14"/>
      <c r="S18" s="8"/>
      <c r="T18" s="8"/>
    </row>
    <row r="19" spans="1:20" ht="14.45">
      <c r="A19" s="59">
        <v>18</v>
      </c>
      <c r="B19" s="59">
        <v>27</v>
      </c>
      <c r="C19" s="60" t="s">
        <v>135</v>
      </c>
      <c r="D19" s="59" t="s">
        <v>395</v>
      </c>
      <c r="E19" s="59" t="s">
        <v>396</v>
      </c>
      <c r="F19" s="59" t="s">
        <v>138</v>
      </c>
      <c r="G19" s="59" t="s">
        <v>340</v>
      </c>
      <c r="H19" s="59" t="s">
        <v>357</v>
      </c>
      <c r="I19" s="59">
        <v>1</v>
      </c>
      <c r="J19" s="61">
        <v>2.0899305555555556E-2</v>
      </c>
      <c r="K19" s="61">
        <v>1.1157407407407407E-3</v>
      </c>
      <c r="L19" s="61">
        <v>4.5347222222222219E-2</v>
      </c>
      <c r="M19" s="61">
        <v>3.8425925925925927E-4</v>
      </c>
      <c r="N19" s="61">
        <v>2.8500000000000001E-2</v>
      </c>
      <c r="O19" s="61">
        <v>9.6250000000000002E-2</v>
      </c>
      <c r="P19" s="59" t="s">
        <v>3200</v>
      </c>
      <c r="Q19" s="8">
        <f t="shared" si="0"/>
        <v>844</v>
      </c>
      <c r="R19" s="14"/>
      <c r="S19" s="8"/>
      <c r="T19" s="8"/>
    </row>
    <row r="20" spans="1:20" ht="14.45">
      <c r="A20" s="59">
        <v>19</v>
      </c>
      <c r="B20" s="59">
        <v>22</v>
      </c>
      <c r="C20" s="60" t="s">
        <v>135</v>
      </c>
      <c r="D20" s="59" t="s">
        <v>378</v>
      </c>
      <c r="E20" s="59" t="s">
        <v>379</v>
      </c>
      <c r="F20" s="59"/>
      <c r="G20" s="59" t="s">
        <v>340</v>
      </c>
      <c r="H20" s="59" t="s">
        <v>344</v>
      </c>
      <c r="I20" s="59">
        <v>5</v>
      </c>
      <c r="J20" s="61">
        <v>2.1460648148148149E-2</v>
      </c>
      <c r="K20" s="61">
        <v>2.1412037037037038E-3</v>
      </c>
      <c r="L20" s="61">
        <v>4.5623842592592591E-2</v>
      </c>
      <c r="M20" s="61">
        <v>3.2060185185185186E-4</v>
      </c>
      <c r="N20" s="61">
        <v>2.6799768518518518E-2</v>
      </c>
      <c r="O20" s="61">
        <v>9.6348379629629624E-2</v>
      </c>
      <c r="P20" s="59" t="s">
        <v>3201</v>
      </c>
      <c r="Q20" s="8">
        <f t="shared" si="0"/>
        <v>843</v>
      </c>
      <c r="R20" s="14"/>
      <c r="S20" s="8"/>
      <c r="T20" s="8"/>
    </row>
    <row r="21" spans="1:20" ht="15.75" customHeight="1">
      <c r="A21" s="59">
        <v>20</v>
      </c>
      <c r="B21" s="59">
        <v>91</v>
      </c>
      <c r="C21" s="60" t="s">
        <v>135</v>
      </c>
      <c r="D21" s="59" t="s">
        <v>429</v>
      </c>
      <c r="E21" s="59" t="s">
        <v>430</v>
      </c>
      <c r="F21" s="59" t="s">
        <v>189</v>
      </c>
      <c r="G21" s="59" t="s">
        <v>340</v>
      </c>
      <c r="H21" s="59" t="s">
        <v>348</v>
      </c>
      <c r="I21" s="59">
        <v>5</v>
      </c>
      <c r="J21" s="61">
        <v>2.0819444444444443E-2</v>
      </c>
      <c r="K21" s="61">
        <v>1.3969907407407407E-3</v>
      </c>
      <c r="L21" s="61">
        <v>4.5030092592592594E-2</v>
      </c>
      <c r="M21" s="61">
        <v>9.2129629629629625E-4</v>
      </c>
      <c r="N21" s="61">
        <v>2.8665509259259259E-2</v>
      </c>
      <c r="O21" s="61">
        <v>9.6835648148148157E-2</v>
      </c>
      <c r="P21" s="59" t="s">
        <v>3202</v>
      </c>
      <c r="Q21" s="8">
        <f t="shared" si="0"/>
        <v>839</v>
      </c>
      <c r="R21" s="14"/>
      <c r="S21" s="8"/>
      <c r="T21" s="8"/>
    </row>
    <row r="22" spans="1:20" ht="15.75" customHeight="1">
      <c r="A22" s="59">
        <v>21</v>
      </c>
      <c r="B22" s="59">
        <v>100</v>
      </c>
      <c r="C22" s="60" t="s">
        <v>135</v>
      </c>
      <c r="D22" s="59" t="s">
        <v>214</v>
      </c>
      <c r="E22" s="59" t="s">
        <v>215</v>
      </c>
      <c r="F22" s="59"/>
      <c r="G22" s="59" t="s">
        <v>340</v>
      </c>
      <c r="H22" s="59" t="s">
        <v>357</v>
      </c>
      <c r="I22" s="59">
        <v>2</v>
      </c>
      <c r="J22" s="61">
        <v>1.9101851851851852E-2</v>
      </c>
      <c r="K22" s="61">
        <v>1.3865740740740741E-3</v>
      </c>
      <c r="L22" s="61">
        <v>4.6489583333333334E-2</v>
      </c>
      <c r="M22" s="61">
        <v>5.5324074074074075E-4</v>
      </c>
      <c r="N22" s="61">
        <v>2.9351851851851851E-2</v>
      </c>
      <c r="O22" s="61">
        <v>9.6885416666666668E-2</v>
      </c>
      <c r="P22" s="59" t="s">
        <v>3203</v>
      </c>
      <c r="Q22" s="8">
        <f t="shared" si="0"/>
        <v>839</v>
      </c>
      <c r="R22" s="14"/>
      <c r="S22" s="8"/>
      <c r="T22" s="8"/>
    </row>
    <row r="23" spans="1:20" ht="15.75" customHeight="1">
      <c r="A23" s="59">
        <v>22</v>
      </c>
      <c r="B23" s="59">
        <v>52</v>
      </c>
      <c r="C23" s="60" t="s">
        <v>135</v>
      </c>
      <c r="D23" s="59" t="s">
        <v>375</v>
      </c>
      <c r="E23" s="59" t="s">
        <v>376</v>
      </c>
      <c r="F23" s="59"/>
      <c r="G23" s="59" t="s">
        <v>340</v>
      </c>
      <c r="H23" s="59" t="s">
        <v>352</v>
      </c>
      <c r="I23" s="59">
        <v>4</v>
      </c>
      <c r="J23" s="61">
        <v>1.7392361111111112E-2</v>
      </c>
      <c r="K23" s="61">
        <v>7.349537037037037E-4</v>
      </c>
      <c r="L23" s="61">
        <v>4.9979166666666665E-2</v>
      </c>
      <c r="M23" s="61">
        <v>5.1388888888888892E-4</v>
      </c>
      <c r="N23" s="61">
        <v>2.8582175925925928E-2</v>
      </c>
      <c r="O23" s="61">
        <v>9.720486111111111E-2</v>
      </c>
      <c r="P23" s="59" t="s">
        <v>3204</v>
      </c>
      <c r="Q23" s="8">
        <f t="shared" si="0"/>
        <v>836</v>
      </c>
      <c r="R23" s="14"/>
      <c r="S23" s="8"/>
      <c r="T23" s="8"/>
    </row>
    <row r="24" spans="1:20" ht="15.75" customHeight="1">
      <c r="A24" s="59">
        <v>23</v>
      </c>
      <c r="B24" s="59">
        <v>74</v>
      </c>
      <c r="C24" s="60" t="s">
        <v>135</v>
      </c>
      <c r="D24" s="59" t="s">
        <v>233</v>
      </c>
      <c r="E24" s="59" t="s">
        <v>234</v>
      </c>
      <c r="F24" s="59" t="s">
        <v>199</v>
      </c>
      <c r="G24" s="59" t="s">
        <v>340</v>
      </c>
      <c r="H24" s="59" t="s">
        <v>352</v>
      </c>
      <c r="I24" s="59">
        <v>5</v>
      </c>
      <c r="J24" s="61">
        <v>1.970486111111111E-2</v>
      </c>
      <c r="K24" s="61">
        <v>1.2962962962962963E-3</v>
      </c>
      <c r="L24" s="61">
        <v>4.6269675925925922E-2</v>
      </c>
      <c r="M24" s="61">
        <v>4.907407407407407E-4</v>
      </c>
      <c r="N24" s="61">
        <v>2.9921296296296293E-2</v>
      </c>
      <c r="O24" s="61">
        <v>9.7684027777777779E-2</v>
      </c>
      <c r="P24" s="59" t="s">
        <v>3205</v>
      </c>
      <c r="Q24" s="8">
        <f t="shared" si="0"/>
        <v>832</v>
      </c>
      <c r="R24" s="14"/>
      <c r="S24" s="8"/>
      <c r="T24" s="8"/>
    </row>
    <row r="25" spans="1:20" ht="15.75" customHeight="1">
      <c r="A25" s="59">
        <v>24</v>
      </c>
      <c r="B25" s="59">
        <v>72</v>
      </c>
      <c r="C25" s="60" t="s">
        <v>135</v>
      </c>
      <c r="D25" s="59" t="s">
        <v>715</v>
      </c>
      <c r="E25" s="59" t="s">
        <v>716</v>
      </c>
      <c r="F25" s="59" t="s">
        <v>173</v>
      </c>
      <c r="G25" s="59" t="s">
        <v>319</v>
      </c>
      <c r="H25" s="59" t="s">
        <v>159</v>
      </c>
      <c r="I25" s="59"/>
      <c r="J25" s="61">
        <v>1.7180555555555557E-2</v>
      </c>
      <c r="K25" s="61">
        <v>7.7893518518518513E-4</v>
      </c>
      <c r="L25" s="61">
        <v>5.1137731481481485E-2</v>
      </c>
      <c r="M25" s="61">
        <v>4.2361111111111115E-4</v>
      </c>
      <c r="N25" s="61">
        <v>2.8707175925925928E-2</v>
      </c>
      <c r="O25" s="61">
        <v>9.8230324074074074E-2</v>
      </c>
      <c r="P25" s="59" t="s">
        <v>3206</v>
      </c>
      <c r="Q25" s="8">
        <f t="shared" si="0"/>
        <v>827</v>
      </c>
      <c r="R25" s="14"/>
      <c r="S25" s="8"/>
      <c r="T25" s="8"/>
    </row>
    <row r="26" spans="1:20" ht="15.75" customHeight="1">
      <c r="A26" s="59">
        <v>25</v>
      </c>
      <c r="B26" s="59">
        <v>20</v>
      </c>
      <c r="C26" s="60" t="s">
        <v>135</v>
      </c>
      <c r="D26" s="59" t="s">
        <v>208</v>
      </c>
      <c r="E26" s="59" t="s">
        <v>209</v>
      </c>
      <c r="F26" s="59" t="s">
        <v>199</v>
      </c>
      <c r="G26" s="59" t="s">
        <v>340</v>
      </c>
      <c r="H26" s="59" t="s">
        <v>348</v>
      </c>
      <c r="I26" s="59">
        <v>6</v>
      </c>
      <c r="J26" s="61">
        <v>2.1523148148148145E-2</v>
      </c>
      <c r="K26" s="61">
        <v>1.6030092592592593E-3</v>
      </c>
      <c r="L26" s="61">
        <v>4.602083333333333E-2</v>
      </c>
      <c r="M26" s="61">
        <v>4.9305555555555561E-4</v>
      </c>
      <c r="N26" s="61">
        <v>2.8663194444444446E-2</v>
      </c>
      <c r="O26" s="61">
        <v>9.8305555555555563E-2</v>
      </c>
      <c r="P26" s="59" t="s">
        <v>3207</v>
      </c>
      <c r="Q26" s="8">
        <f t="shared" si="0"/>
        <v>826</v>
      </c>
      <c r="R26" s="14"/>
      <c r="S26" s="8"/>
      <c r="T26" s="8"/>
    </row>
    <row r="27" spans="1:20" ht="15.75" customHeight="1">
      <c r="A27" s="59">
        <v>26</v>
      </c>
      <c r="B27" s="59">
        <v>53</v>
      </c>
      <c r="C27" s="60" t="s">
        <v>135</v>
      </c>
      <c r="D27" s="59" t="s">
        <v>240</v>
      </c>
      <c r="E27" s="59" t="s">
        <v>241</v>
      </c>
      <c r="F27" s="59" t="s">
        <v>138</v>
      </c>
      <c r="G27" s="59" t="s">
        <v>340</v>
      </c>
      <c r="H27" s="59" t="s">
        <v>420</v>
      </c>
      <c r="I27" s="59">
        <v>1</v>
      </c>
      <c r="J27" s="61">
        <v>1.8061342592592594E-2</v>
      </c>
      <c r="K27" s="61">
        <v>1.2546296296296296E-3</v>
      </c>
      <c r="L27" s="61">
        <v>4.7707175925925924E-2</v>
      </c>
      <c r="M27" s="61">
        <v>4.270833333333333E-4</v>
      </c>
      <c r="N27" s="61">
        <v>3.1855324074074078E-2</v>
      </c>
      <c r="O27" s="61">
        <v>9.930787037037038E-2</v>
      </c>
      <c r="P27" s="59" t="s">
        <v>3208</v>
      </c>
      <c r="Q27" s="8">
        <f t="shared" si="0"/>
        <v>818</v>
      </c>
      <c r="R27" s="14"/>
      <c r="S27" s="8"/>
      <c r="T27" s="8"/>
    </row>
    <row r="28" spans="1:20" ht="15.75" customHeight="1">
      <c r="A28" s="59">
        <v>27</v>
      </c>
      <c r="B28" s="59">
        <v>60</v>
      </c>
      <c r="C28" s="60" t="s">
        <v>135</v>
      </c>
      <c r="D28" s="59" t="s">
        <v>486</v>
      </c>
      <c r="E28" s="59" t="s">
        <v>487</v>
      </c>
      <c r="F28" s="59" t="s">
        <v>173</v>
      </c>
      <c r="G28" s="59" t="s">
        <v>340</v>
      </c>
      <c r="H28" s="59" t="s">
        <v>420</v>
      </c>
      <c r="I28" s="59">
        <v>2</v>
      </c>
      <c r="J28" s="61">
        <v>2.0210648148148148E-2</v>
      </c>
      <c r="K28" s="61">
        <v>1.991898148148148E-3</v>
      </c>
      <c r="L28" s="61">
        <v>4.5106481481481477E-2</v>
      </c>
      <c r="M28" s="61">
        <v>4.224537037037037E-4</v>
      </c>
      <c r="N28" s="61">
        <v>3.1575231481481482E-2</v>
      </c>
      <c r="O28" s="61">
        <v>9.9310185185185182E-2</v>
      </c>
      <c r="P28" s="59" t="s">
        <v>3209</v>
      </c>
      <c r="Q28" s="8">
        <f t="shared" si="0"/>
        <v>818</v>
      </c>
      <c r="R28" s="14"/>
      <c r="S28" s="8"/>
      <c r="T28" s="8"/>
    </row>
    <row r="29" spans="1:20" ht="15.75" customHeight="1">
      <c r="A29" s="59">
        <v>28</v>
      </c>
      <c r="B29" s="59">
        <v>6</v>
      </c>
      <c r="C29" s="60" t="s">
        <v>135</v>
      </c>
      <c r="D29" s="59" t="s">
        <v>2576</v>
      </c>
      <c r="E29" s="59" t="s">
        <v>2577</v>
      </c>
      <c r="F29" s="59" t="s">
        <v>138</v>
      </c>
      <c r="G29" s="59" t="s">
        <v>340</v>
      </c>
      <c r="H29" s="59" t="s">
        <v>420</v>
      </c>
      <c r="I29" s="59">
        <v>3</v>
      </c>
      <c r="J29" s="61">
        <v>2.137615740740741E-2</v>
      </c>
      <c r="K29" s="61">
        <v>9.837962962962962E-4</v>
      </c>
      <c r="L29" s="61">
        <v>4.7270833333333331E-2</v>
      </c>
      <c r="M29" s="61">
        <v>3.4953703703703704E-4</v>
      </c>
      <c r="N29" s="61">
        <v>2.9479166666666667E-2</v>
      </c>
      <c r="O29" s="61">
        <v>9.946180555555556E-2</v>
      </c>
      <c r="P29" s="59" t="s">
        <v>3210</v>
      </c>
      <c r="Q29" s="8">
        <f t="shared" si="0"/>
        <v>817</v>
      </c>
      <c r="R29" s="14"/>
      <c r="S29" s="8"/>
      <c r="T29" s="8"/>
    </row>
    <row r="30" spans="1:20" ht="15.75" customHeight="1">
      <c r="A30" s="59">
        <v>29</v>
      </c>
      <c r="B30" s="59">
        <v>90</v>
      </c>
      <c r="C30" s="60" t="s">
        <v>135</v>
      </c>
      <c r="D30" s="59" t="s">
        <v>221</v>
      </c>
      <c r="E30" s="59" t="s">
        <v>222</v>
      </c>
      <c r="F30" s="59" t="s">
        <v>199</v>
      </c>
      <c r="G30" s="59" t="s">
        <v>340</v>
      </c>
      <c r="H30" s="59" t="s">
        <v>348</v>
      </c>
      <c r="I30" s="59">
        <v>7</v>
      </c>
      <c r="J30" s="61">
        <v>2.1432870370370369E-2</v>
      </c>
      <c r="K30" s="61">
        <v>1.431712962962963E-3</v>
      </c>
      <c r="L30" s="61">
        <v>4.4155092592592593E-2</v>
      </c>
      <c r="M30" s="61">
        <v>5.4513888888888895E-4</v>
      </c>
      <c r="N30" s="61">
        <v>3.2065972222222225E-2</v>
      </c>
      <c r="O30" s="61">
        <v>9.9633101851851841E-2</v>
      </c>
      <c r="P30" s="59" t="s">
        <v>3211</v>
      </c>
      <c r="Q30" s="8">
        <f t="shared" si="0"/>
        <v>815</v>
      </c>
      <c r="R30" s="14"/>
      <c r="S30" s="8"/>
      <c r="T30" s="8"/>
    </row>
    <row r="31" spans="1:20" ht="15.75" customHeight="1">
      <c r="A31" s="59">
        <v>30</v>
      </c>
      <c r="B31" s="59">
        <v>48</v>
      </c>
      <c r="C31" s="59"/>
      <c r="D31" s="59" t="s">
        <v>406</v>
      </c>
      <c r="E31" s="59" t="s">
        <v>407</v>
      </c>
      <c r="F31" s="59"/>
      <c r="G31" s="59" t="s">
        <v>340</v>
      </c>
      <c r="H31" s="59" t="s">
        <v>352</v>
      </c>
      <c r="I31" s="59">
        <v>6</v>
      </c>
      <c r="J31" s="61">
        <v>2.1652777777777778E-2</v>
      </c>
      <c r="K31" s="61">
        <v>1.3738425925925925E-3</v>
      </c>
      <c r="L31" s="61">
        <v>4.5180555555555557E-2</v>
      </c>
      <c r="M31" s="61">
        <v>6.111111111111111E-4</v>
      </c>
      <c r="N31" s="61">
        <v>3.0862268518518518E-2</v>
      </c>
      <c r="O31" s="61">
        <v>9.9681712962962965E-2</v>
      </c>
      <c r="P31" s="59" t="s">
        <v>3212</v>
      </c>
      <c r="Q31" s="8">
        <f t="shared" si="0"/>
        <v>815</v>
      </c>
      <c r="R31" s="14"/>
      <c r="S31" s="8"/>
      <c r="T31" s="8"/>
    </row>
    <row r="32" spans="1:20" ht="15.75" customHeight="1">
      <c r="A32" s="59">
        <v>31</v>
      </c>
      <c r="B32" s="59">
        <v>87</v>
      </c>
      <c r="C32" s="60" t="s">
        <v>135</v>
      </c>
      <c r="D32" s="59" t="s">
        <v>1555</v>
      </c>
      <c r="E32" s="59" t="s">
        <v>1556</v>
      </c>
      <c r="F32" s="59" t="s">
        <v>189</v>
      </c>
      <c r="G32" s="59" t="s">
        <v>340</v>
      </c>
      <c r="H32" s="59" t="s">
        <v>344</v>
      </c>
      <c r="I32" s="59">
        <v>6</v>
      </c>
      <c r="J32" s="61">
        <v>2.0922453703703704E-2</v>
      </c>
      <c r="K32" s="61">
        <v>9.1435185185185185E-4</v>
      </c>
      <c r="L32" s="61">
        <v>4.7010416666666666E-2</v>
      </c>
      <c r="M32" s="61">
        <v>6.5625000000000004E-4</v>
      </c>
      <c r="N32" s="61">
        <v>3.0373842592592595E-2</v>
      </c>
      <c r="O32" s="61">
        <v>9.9878472222222223E-2</v>
      </c>
      <c r="P32" s="59" t="s">
        <v>3213</v>
      </c>
      <c r="Q32" s="8">
        <f t="shared" si="0"/>
        <v>813</v>
      </c>
      <c r="R32" s="14"/>
      <c r="S32" s="8"/>
      <c r="T32" s="8"/>
    </row>
    <row r="33" spans="1:20" ht="15.75" customHeight="1">
      <c r="A33" s="59">
        <v>32</v>
      </c>
      <c r="B33" s="59">
        <v>65</v>
      </c>
      <c r="C33" s="60" t="s">
        <v>135</v>
      </c>
      <c r="D33" s="59" t="s">
        <v>3214</v>
      </c>
      <c r="E33" s="59" t="s">
        <v>3215</v>
      </c>
      <c r="F33" s="59" t="s">
        <v>173</v>
      </c>
      <c r="G33" s="59" t="s">
        <v>340</v>
      </c>
      <c r="H33" s="59" t="s">
        <v>344</v>
      </c>
      <c r="I33" s="59">
        <v>7</v>
      </c>
      <c r="J33" s="61">
        <v>1.96875E-2</v>
      </c>
      <c r="K33" s="61">
        <v>1.3831018518518519E-3</v>
      </c>
      <c r="L33" s="61">
        <v>4.8385416666666667E-2</v>
      </c>
      <c r="M33" s="61">
        <v>4.3055555555555561E-4</v>
      </c>
      <c r="N33" s="61">
        <v>3.1453703703703706E-2</v>
      </c>
      <c r="O33" s="61">
        <v>0.1013425925925926</v>
      </c>
      <c r="P33" s="59" t="s">
        <v>3216</v>
      </c>
      <c r="Q33" s="8">
        <f t="shared" si="0"/>
        <v>802</v>
      </c>
      <c r="R33" s="14"/>
      <c r="S33" s="8"/>
      <c r="T33" s="8"/>
    </row>
    <row r="34" spans="1:20" ht="15.75" customHeight="1">
      <c r="A34" s="59">
        <v>33</v>
      </c>
      <c r="B34" s="59">
        <v>115</v>
      </c>
      <c r="C34" s="60" t="s">
        <v>135</v>
      </c>
      <c r="D34" s="59" t="s">
        <v>3217</v>
      </c>
      <c r="E34" s="59" t="s">
        <v>3218</v>
      </c>
      <c r="F34" s="59"/>
      <c r="G34" s="59" t="s">
        <v>340</v>
      </c>
      <c r="H34" s="59" t="s">
        <v>357</v>
      </c>
      <c r="I34" s="59">
        <v>3</v>
      </c>
      <c r="J34" s="61">
        <v>2.1692129629629631E-2</v>
      </c>
      <c r="K34" s="61">
        <v>8.564814814814815E-4</v>
      </c>
      <c r="L34" s="61">
        <v>4.4628472222222222E-2</v>
      </c>
      <c r="M34" s="61">
        <v>5.0115740740740741E-4</v>
      </c>
      <c r="N34" s="61">
        <v>3.3719907407407407E-2</v>
      </c>
      <c r="O34" s="61">
        <v>0.10140046296296296</v>
      </c>
      <c r="P34" s="59" t="s">
        <v>3219</v>
      </c>
      <c r="Q34" s="8">
        <f t="shared" si="0"/>
        <v>801</v>
      </c>
      <c r="R34" s="14"/>
      <c r="S34" s="8"/>
      <c r="T34" s="8"/>
    </row>
    <row r="35" spans="1:20" ht="15.75" customHeight="1">
      <c r="A35" s="59">
        <v>34</v>
      </c>
      <c r="B35" s="59">
        <v>55</v>
      </c>
      <c r="C35" s="60" t="s">
        <v>135</v>
      </c>
      <c r="D35" s="59" t="s">
        <v>765</v>
      </c>
      <c r="E35" s="59" t="s">
        <v>766</v>
      </c>
      <c r="F35" s="59" t="s">
        <v>252</v>
      </c>
      <c r="G35" s="59" t="s">
        <v>340</v>
      </c>
      <c r="H35" s="59" t="s">
        <v>344</v>
      </c>
      <c r="I35" s="59">
        <v>8</v>
      </c>
      <c r="J35" s="61">
        <v>2.3057870370370371E-2</v>
      </c>
      <c r="K35" s="61">
        <v>1.7719907407407406E-3</v>
      </c>
      <c r="L35" s="61">
        <v>4.6623842592592592E-2</v>
      </c>
      <c r="M35" s="61">
        <v>5.5439814814814815E-4</v>
      </c>
      <c r="N35" s="61">
        <v>3.0438657407407407E-2</v>
      </c>
      <c r="O35" s="61">
        <v>0.10244907407407408</v>
      </c>
      <c r="P35" s="59" t="s">
        <v>3220</v>
      </c>
      <c r="Q35" s="8">
        <f t="shared" si="0"/>
        <v>793</v>
      </c>
      <c r="R35" s="14"/>
      <c r="S35" s="8"/>
      <c r="T35" s="8"/>
    </row>
    <row r="36" spans="1:20" ht="15.75" customHeight="1">
      <c r="A36" s="59">
        <v>35</v>
      </c>
      <c r="B36" s="59">
        <v>38</v>
      </c>
      <c r="C36" s="60" t="s">
        <v>135</v>
      </c>
      <c r="D36" s="59" t="s">
        <v>1627</v>
      </c>
      <c r="E36" s="59" t="s">
        <v>1628</v>
      </c>
      <c r="F36" s="59"/>
      <c r="G36" s="59" t="s">
        <v>340</v>
      </c>
      <c r="H36" s="59" t="s">
        <v>348</v>
      </c>
      <c r="I36" s="59">
        <v>8</v>
      </c>
      <c r="J36" s="61">
        <v>1.6645833333333335E-2</v>
      </c>
      <c r="K36" s="61">
        <v>1.7627314814814817E-3</v>
      </c>
      <c r="L36" s="61">
        <v>5.0809027777777772E-2</v>
      </c>
      <c r="M36" s="61">
        <v>4.953703703703703E-4</v>
      </c>
      <c r="N36" s="61">
        <v>3.2875000000000001E-2</v>
      </c>
      <c r="O36" s="61">
        <v>0.10259143518518518</v>
      </c>
      <c r="P36" s="59" t="s">
        <v>3221</v>
      </c>
      <c r="Q36" s="8">
        <f t="shared" si="0"/>
        <v>792</v>
      </c>
      <c r="R36" s="14"/>
      <c r="S36" s="8"/>
      <c r="T36" s="8"/>
    </row>
    <row r="37" spans="1:20" ht="15.75" customHeight="1">
      <c r="A37" s="59">
        <v>36</v>
      </c>
      <c r="B37" s="59">
        <v>28</v>
      </c>
      <c r="C37" s="60" t="s">
        <v>135</v>
      </c>
      <c r="D37" s="59" t="s">
        <v>244</v>
      </c>
      <c r="E37" s="59" t="s">
        <v>245</v>
      </c>
      <c r="F37" s="59" t="s">
        <v>158</v>
      </c>
      <c r="G37" s="59" t="s">
        <v>340</v>
      </c>
      <c r="H37" s="59" t="s">
        <v>352</v>
      </c>
      <c r="I37" s="59">
        <v>7</v>
      </c>
      <c r="J37" s="61">
        <v>2.0819444444444443E-2</v>
      </c>
      <c r="K37" s="61">
        <v>9.745370370370371E-4</v>
      </c>
      <c r="L37" s="61">
        <v>5.150231481481482E-2</v>
      </c>
      <c r="M37" s="61">
        <v>5.8101851851851858E-4</v>
      </c>
      <c r="N37" s="61">
        <v>2.9063657407407406E-2</v>
      </c>
      <c r="O37" s="61">
        <v>0.10294328703703703</v>
      </c>
      <c r="P37" s="59" t="s">
        <v>3222</v>
      </c>
      <c r="Q37" s="8">
        <f t="shared" si="0"/>
        <v>789</v>
      </c>
      <c r="R37" s="14"/>
      <c r="S37" s="8"/>
      <c r="T37" s="8"/>
    </row>
    <row r="38" spans="1:20" ht="15.75" customHeight="1">
      <c r="A38" s="59">
        <v>37</v>
      </c>
      <c r="B38" s="59">
        <v>97</v>
      </c>
      <c r="C38" s="59"/>
      <c r="D38" s="59" t="s">
        <v>236</v>
      </c>
      <c r="E38" s="59" t="s">
        <v>237</v>
      </c>
      <c r="F38" s="59"/>
      <c r="G38" s="59" t="s">
        <v>340</v>
      </c>
      <c r="H38" s="59" t="s">
        <v>448</v>
      </c>
      <c r="I38" s="59">
        <v>1</v>
      </c>
      <c r="J38" s="61">
        <v>2.0988425925925928E-2</v>
      </c>
      <c r="K38" s="61">
        <v>1.8784722222222223E-3</v>
      </c>
      <c r="L38" s="61">
        <v>4.6909722222222221E-2</v>
      </c>
      <c r="M38" s="61">
        <v>1.0925925925925927E-3</v>
      </c>
      <c r="N38" s="61">
        <v>3.2174768518518519E-2</v>
      </c>
      <c r="O38" s="61">
        <v>0.1030462962962963</v>
      </c>
      <c r="P38" s="59" t="s">
        <v>3223</v>
      </c>
      <c r="Q38" s="8">
        <f t="shared" si="0"/>
        <v>788</v>
      </c>
      <c r="R38" s="14"/>
      <c r="S38" s="8"/>
      <c r="T38" s="8"/>
    </row>
    <row r="39" spans="1:20" ht="15.75" customHeight="1">
      <c r="A39" s="59">
        <v>38</v>
      </c>
      <c r="B39" s="59">
        <v>70</v>
      </c>
      <c r="C39" s="60" t="s">
        <v>135</v>
      </c>
      <c r="D39" s="59" t="s">
        <v>489</v>
      </c>
      <c r="E39" s="59" t="s">
        <v>490</v>
      </c>
      <c r="F39" s="59" t="s">
        <v>491</v>
      </c>
      <c r="G39" s="59" t="s">
        <v>340</v>
      </c>
      <c r="H39" s="59" t="s">
        <v>348</v>
      </c>
      <c r="I39" s="59">
        <v>9</v>
      </c>
      <c r="J39" s="61">
        <v>1.9415509259259261E-2</v>
      </c>
      <c r="K39" s="61">
        <v>1.0289351851851852E-3</v>
      </c>
      <c r="L39" s="61">
        <v>5.065046296296296E-2</v>
      </c>
      <c r="M39" s="61">
        <v>7.2337962962962959E-4</v>
      </c>
      <c r="N39" s="61">
        <v>3.2665509259259262E-2</v>
      </c>
      <c r="O39" s="61">
        <v>0.10448611111111111</v>
      </c>
      <c r="P39" s="59" t="s">
        <v>3224</v>
      </c>
      <c r="Q39" s="8">
        <f t="shared" si="0"/>
        <v>778</v>
      </c>
      <c r="R39" s="14"/>
      <c r="S39" s="8"/>
      <c r="T39" s="8"/>
    </row>
    <row r="40" spans="1:20" ht="15.75" customHeight="1">
      <c r="A40" s="59">
        <v>39</v>
      </c>
      <c r="B40" s="59">
        <v>35</v>
      </c>
      <c r="C40" s="60" t="s">
        <v>135</v>
      </c>
      <c r="D40" s="59" t="s">
        <v>1617</v>
      </c>
      <c r="E40" s="59" t="s">
        <v>1618</v>
      </c>
      <c r="F40" s="59" t="s">
        <v>189</v>
      </c>
      <c r="G40" s="59" t="s">
        <v>340</v>
      </c>
      <c r="H40" s="59" t="s">
        <v>348</v>
      </c>
      <c r="I40" s="59">
        <v>10</v>
      </c>
      <c r="J40" s="61">
        <v>2.1815972222222223E-2</v>
      </c>
      <c r="K40" s="61">
        <v>1.3842592592592591E-3</v>
      </c>
      <c r="L40" s="61">
        <v>5.193402777777778E-2</v>
      </c>
      <c r="M40" s="61">
        <v>5.2430555555555553E-4</v>
      </c>
      <c r="N40" s="61">
        <v>2.9042824074074075E-2</v>
      </c>
      <c r="O40" s="61">
        <v>0.10470486111111112</v>
      </c>
      <c r="P40" s="59" t="s">
        <v>3225</v>
      </c>
      <c r="Q40" s="8">
        <f t="shared" si="0"/>
        <v>776</v>
      </c>
      <c r="R40" s="14"/>
      <c r="S40" s="8"/>
      <c r="T40" s="8"/>
    </row>
    <row r="41" spans="1:20" ht="15.75" customHeight="1">
      <c r="A41" s="59">
        <v>40</v>
      </c>
      <c r="B41" s="59">
        <v>24</v>
      </c>
      <c r="C41" s="60" t="s">
        <v>135</v>
      </c>
      <c r="D41" s="59" t="s">
        <v>523</v>
      </c>
      <c r="E41" s="59" t="s">
        <v>524</v>
      </c>
      <c r="F41" s="59"/>
      <c r="G41" s="59" t="s">
        <v>340</v>
      </c>
      <c r="H41" s="59" t="s">
        <v>348</v>
      </c>
      <c r="I41" s="59">
        <v>11</v>
      </c>
      <c r="J41" s="61">
        <v>1.9569444444444445E-2</v>
      </c>
      <c r="K41" s="61">
        <v>1.1168981481481481E-3</v>
      </c>
      <c r="L41" s="61">
        <v>4.9936342592592595E-2</v>
      </c>
      <c r="M41" s="61">
        <v>4.7337962962962964E-4</v>
      </c>
      <c r="N41" s="61">
        <v>3.3885416666666668E-2</v>
      </c>
      <c r="O41" s="61">
        <v>0.1049837962962963</v>
      </c>
      <c r="P41" s="59" t="s">
        <v>3226</v>
      </c>
      <c r="Q41" s="8">
        <f t="shared" si="0"/>
        <v>774</v>
      </c>
      <c r="R41" s="14"/>
      <c r="S41" s="8"/>
      <c r="T41" s="8"/>
    </row>
    <row r="42" spans="1:20" ht="15.75" customHeight="1">
      <c r="A42" s="59">
        <v>41</v>
      </c>
      <c r="B42" s="59">
        <v>117</v>
      </c>
      <c r="C42" s="60" t="s">
        <v>135</v>
      </c>
      <c r="D42" s="59" t="s">
        <v>3227</v>
      </c>
      <c r="E42" s="59" t="s">
        <v>3228</v>
      </c>
      <c r="F42" s="59"/>
      <c r="G42" s="59" t="s">
        <v>340</v>
      </c>
      <c r="H42" s="59" t="s">
        <v>344</v>
      </c>
      <c r="I42" s="59">
        <v>9</v>
      </c>
      <c r="J42" s="61">
        <v>2.3238425925925926E-2</v>
      </c>
      <c r="K42" s="61">
        <v>1.8530092592592591E-3</v>
      </c>
      <c r="L42" s="61">
        <v>4.8649305555555557E-2</v>
      </c>
      <c r="M42" s="61">
        <v>5.6481481481481476E-4</v>
      </c>
      <c r="N42" s="61">
        <v>3.1793981481481479E-2</v>
      </c>
      <c r="O42" s="61">
        <v>0.10610069444444445</v>
      </c>
      <c r="P42" s="59" t="s">
        <v>3229</v>
      </c>
      <c r="Q42" s="8">
        <f t="shared" si="0"/>
        <v>766</v>
      </c>
      <c r="R42" s="14"/>
      <c r="S42" s="8"/>
      <c r="T42" s="8"/>
    </row>
    <row r="43" spans="1:20" ht="15.75" customHeight="1">
      <c r="A43" s="59">
        <v>42</v>
      </c>
      <c r="B43" s="59">
        <v>41</v>
      </c>
      <c r="C43" s="60" t="s">
        <v>135</v>
      </c>
      <c r="D43" s="59" t="s">
        <v>787</v>
      </c>
      <c r="E43" s="59" t="s">
        <v>788</v>
      </c>
      <c r="F43" s="59" t="s">
        <v>138</v>
      </c>
      <c r="G43" s="59" t="s">
        <v>319</v>
      </c>
      <c r="H43" s="59" t="s">
        <v>154</v>
      </c>
      <c r="I43" s="59"/>
      <c r="J43" s="61">
        <v>2.4644675925925928E-2</v>
      </c>
      <c r="K43" s="61">
        <v>8.2870370370370368E-4</v>
      </c>
      <c r="L43" s="61">
        <v>5.0604166666666665E-2</v>
      </c>
      <c r="M43" s="61">
        <v>3.5300925925925924E-4</v>
      </c>
      <c r="N43" s="61">
        <v>2.9704861111111112E-2</v>
      </c>
      <c r="O43" s="61">
        <v>0.10613773148148148</v>
      </c>
      <c r="P43" s="59" t="s">
        <v>3230</v>
      </c>
      <c r="Q43" s="8">
        <f t="shared" si="0"/>
        <v>765</v>
      </c>
      <c r="R43" s="14"/>
      <c r="S43" s="8"/>
      <c r="T43" s="8"/>
    </row>
    <row r="44" spans="1:20" ht="15.75" customHeight="1">
      <c r="A44" s="59">
        <v>43</v>
      </c>
      <c r="B44" s="59">
        <v>13</v>
      </c>
      <c r="C44" s="60" t="s">
        <v>135</v>
      </c>
      <c r="D44" s="59" t="s">
        <v>1123</v>
      </c>
      <c r="E44" s="59" t="s">
        <v>1124</v>
      </c>
      <c r="F44" s="59" t="s">
        <v>1125</v>
      </c>
      <c r="G44" s="59" t="s">
        <v>340</v>
      </c>
      <c r="H44" s="59" t="s">
        <v>641</v>
      </c>
      <c r="I44" s="59">
        <v>1</v>
      </c>
      <c r="J44" s="61">
        <v>1.9202546296296294E-2</v>
      </c>
      <c r="K44" s="61">
        <v>8.6458333333333341E-4</v>
      </c>
      <c r="L44" s="61">
        <v>5.4819444444444441E-2</v>
      </c>
      <c r="M44" s="61">
        <v>5.9490740740740739E-4</v>
      </c>
      <c r="N44" s="61">
        <v>3.0850694444444444E-2</v>
      </c>
      <c r="O44" s="61">
        <v>0.10633449074074074</v>
      </c>
      <c r="P44" s="59" t="s">
        <v>3231</v>
      </c>
      <c r="Q44" s="8">
        <f t="shared" si="0"/>
        <v>764</v>
      </c>
      <c r="R44" s="14"/>
      <c r="S44" s="8"/>
      <c r="T44" s="8"/>
    </row>
    <row r="45" spans="1:20" ht="15.75" customHeight="1">
      <c r="A45" s="59">
        <v>44</v>
      </c>
      <c r="B45" s="59">
        <v>30</v>
      </c>
      <c r="C45" s="60" t="s">
        <v>135</v>
      </c>
      <c r="D45" s="59" t="s">
        <v>2989</v>
      </c>
      <c r="E45" s="59" t="s">
        <v>2990</v>
      </c>
      <c r="F45" s="59" t="s">
        <v>2426</v>
      </c>
      <c r="G45" s="59" t="s">
        <v>340</v>
      </c>
      <c r="H45" s="59" t="s">
        <v>344</v>
      </c>
      <c r="I45" s="59">
        <v>10</v>
      </c>
      <c r="J45" s="61">
        <v>2.2519675925925926E-2</v>
      </c>
      <c r="K45" s="61">
        <v>1.3472222222222223E-3</v>
      </c>
      <c r="L45" s="61">
        <v>4.9466435185185183E-2</v>
      </c>
      <c r="M45" s="61">
        <v>4.4560185185185187E-4</v>
      </c>
      <c r="N45" s="61">
        <v>3.2581018518518516E-2</v>
      </c>
      <c r="O45" s="61">
        <v>0.10636226851851853</v>
      </c>
      <c r="P45" s="59" t="s">
        <v>3232</v>
      </c>
      <c r="Q45" s="8">
        <f t="shared" si="0"/>
        <v>764</v>
      </c>
      <c r="R45" s="14"/>
      <c r="S45" s="8"/>
      <c r="T45" s="8"/>
    </row>
    <row r="46" spans="1:20" ht="15.75" customHeight="1">
      <c r="A46" s="59">
        <v>45</v>
      </c>
      <c r="B46" s="59">
        <v>1</v>
      </c>
      <c r="C46" s="60" t="s">
        <v>135</v>
      </c>
      <c r="D46" s="59" t="s">
        <v>3233</v>
      </c>
      <c r="E46" s="59" t="s">
        <v>3234</v>
      </c>
      <c r="F46" s="59" t="s">
        <v>3235</v>
      </c>
      <c r="G46" s="59" t="s">
        <v>340</v>
      </c>
      <c r="H46" s="59" t="s">
        <v>352</v>
      </c>
      <c r="I46" s="59">
        <v>8</v>
      </c>
      <c r="J46" s="61">
        <v>2.0945601851851851E-2</v>
      </c>
      <c r="K46" s="61">
        <v>1.8032407407407409E-3</v>
      </c>
      <c r="L46" s="61">
        <v>5.1028935185185184E-2</v>
      </c>
      <c r="M46" s="61">
        <v>6.2847222222222221E-4</v>
      </c>
      <c r="N46" s="61">
        <v>3.2226851851851854E-2</v>
      </c>
      <c r="O46" s="61">
        <v>0.10663425925925926</v>
      </c>
      <c r="P46" s="59" t="s">
        <v>3236</v>
      </c>
      <c r="Q46" s="8">
        <f t="shared" si="0"/>
        <v>762</v>
      </c>
      <c r="R46" s="14"/>
      <c r="S46" s="8"/>
      <c r="T46" s="8"/>
    </row>
    <row r="47" spans="1:20" ht="15.75" customHeight="1">
      <c r="A47" s="59">
        <v>46</v>
      </c>
      <c r="B47" s="59">
        <v>36</v>
      </c>
      <c r="C47" s="60" t="s">
        <v>135</v>
      </c>
      <c r="D47" s="59" t="s">
        <v>3237</v>
      </c>
      <c r="E47" s="59" t="s">
        <v>3238</v>
      </c>
      <c r="F47" s="59"/>
      <c r="G47" s="59" t="s">
        <v>340</v>
      </c>
      <c r="H47" s="59" t="s">
        <v>341</v>
      </c>
      <c r="I47" s="59">
        <v>4</v>
      </c>
      <c r="J47" s="61">
        <v>1.9739583333333335E-2</v>
      </c>
      <c r="K47" s="61">
        <v>1.3171296296296297E-3</v>
      </c>
      <c r="L47" s="61">
        <v>5.2167824074074075E-2</v>
      </c>
      <c r="M47" s="61">
        <v>4.0625000000000004E-4</v>
      </c>
      <c r="N47" s="61">
        <v>3.311226851851852E-2</v>
      </c>
      <c r="O47" s="61">
        <v>0.10674652777777778</v>
      </c>
      <c r="P47" s="59" t="s">
        <v>3239</v>
      </c>
      <c r="Q47" s="8">
        <f t="shared" si="0"/>
        <v>761</v>
      </c>
      <c r="R47" s="14"/>
      <c r="S47" s="8"/>
      <c r="T47" s="8"/>
    </row>
    <row r="48" spans="1:20" ht="15.75" customHeight="1">
      <c r="A48" s="59">
        <v>47</v>
      </c>
      <c r="B48" s="59">
        <v>110</v>
      </c>
      <c r="C48" s="60" t="s">
        <v>135</v>
      </c>
      <c r="D48" s="59" t="s">
        <v>1601</v>
      </c>
      <c r="E48" s="59" t="s">
        <v>1602</v>
      </c>
      <c r="F48" s="59" t="s">
        <v>3240</v>
      </c>
      <c r="G48" s="59" t="s">
        <v>340</v>
      </c>
      <c r="H48" s="59" t="s">
        <v>352</v>
      </c>
      <c r="I48" s="59">
        <v>9</v>
      </c>
      <c r="J48" s="61">
        <v>2.3644675925925927E-2</v>
      </c>
      <c r="K48" s="61">
        <v>1.4108796296296298E-3</v>
      </c>
      <c r="L48" s="61">
        <v>5.2118055555555556E-2</v>
      </c>
      <c r="M48" s="61">
        <v>5.983796296296297E-4</v>
      </c>
      <c r="N48" s="61">
        <v>2.9002314814814818E-2</v>
      </c>
      <c r="O48" s="61">
        <v>0.10677662037037038</v>
      </c>
      <c r="P48" s="59" t="s">
        <v>3241</v>
      </c>
      <c r="Q48" s="8">
        <f t="shared" si="0"/>
        <v>761</v>
      </c>
      <c r="R48" s="14"/>
      <c r="S48" s="8"/>
      <c r="T48" s="8"/>
    </row>
    <row r="49" spans="1:20" ht="15.75" customHeight="1">
      <c r="A49" s="59">
        <v>48</v>
      </c>
      <c r="B49" s="59">
        <v>46</v>
      </c>
      <c r="C49" s="60" t="s">
        <v>135</v>
      </c>
      <c r="D49" s="59" t="s">
        <v>1134</v>
      </c>
      <c r="E49" s="59" t="s">
        <v>1135</v>
      </c>
      <c r="F49" s="59" t="s">
        <v>199</v>
      </c>
      <c r="G49" s="59" t="s">
        <v>340</v>
      </c>
      <c r="H49" s="59" t="s">
        <v>348</v>
      </c>
      <c r="I49" s="59">
        <v>12</v>
      </c>
      <c r="J49" s="61">
        <v>2.6210648148148146E-2</v>
      </c>
      <c r="K49" s="61">
        <v>1.7870370370370371E-3</v>
      </c>
      <c r="L49" s="61">
        <v>4.7524305555555563E-2</v>
      </c>
      <c r="M49" s="61">
        <v>7.7546296296296293E-4</v>
      </c>
      <c r="N49" s="61">
        <v>3.0939814814814812E-2</v>
      </c>
      <c r="O49" s="61">
        <v>0.10723958333333333</v>
      </c>
      <c r="P49" s="59" t="s">
        <v>3242</v>
      </c>
      <c r="Q49" s="8">
        <f t="shared" si="0"/>
        <v>758</v>
      </c>
      <c r="R49" s="14"/>
      <c r="S49" s="8"/>
      <c r="T49" s="8"/>
    </row>
    <row r="50" spans="1:20" ht="15.75" customHeight="1">
      <c r="A50" s="59">
        <v>49</v>
      </c>
      <c r="B50" s="59">
        <v>37</v>
      </c>
      <c r="C50" s="60" t="s">
        <v>135</v>
      </c>
      <c r="D50" s="59" t="s">
        <v>1242</v>
      </c>
      <c r="E50" s="59" t="s">
        <v>1243</v>
      </c>
      <c r="F50" s="59" t="s">
        <v>1244</v>
      </c>
      <c r="G50" s="59" t="s">
        <v>340</v>
      </c>
      <c r="H50" s="59" t="s">
        <v>344</v>
      </c>
      <c r="I50" s="59">
        <v>11</v>
      </c>
      <c r="J50" s="61">
        <v>2.1937500000000002E-2</v>
      </c>
      <c r="K50" s="61">
        <v>2.2395833333333334E-3</v>
      </c>
      <c r="L50" s="61">
        <v>5.3707175925925929E-2</v>
      </c>
      <c r="M50" s="61">
        <v>5.4976851851851855E-4</v>
      </c>
      <c r="N50" s="61">
        <v>2.9202546296296296E-2</v>
      </c>
      <c r="O50" s="61">
        <v>0.10763773148148148</v>
      </c>
      <c r="P50" s="59" t="s">
        <v>3243</v>
      </c>
      <c r="Q50" s="8">
        <f t="shared" si="0"/>
        <v>755</v>
      </c>
      <c r="R50" s="14"/>
      <c r="S50" s="8"/>
      <c r="T50" s="8"/>
    </row>
    <row r="51" spans="1:20" ht="15.75" customHeight="1">
      <c r="A51" s="59">
        <v>50</v>
      </c>
      <c r="B51" s="59">
        <v>39</v>
      </c>
      <c r="C51" s="60" t="s">
        <v>135</v>
      </c>
      <c r="D51" s="59" t="s">
        <v>1657</v>
      </c>
      <c r="E51" s="59" t="s">
        <v>1658</v>
      </c>
      <c r="F51" s="59"/>
      <c r="G51" s="59" t="s">
        <v>340</v>
      </c>
      <c r="H51" s="59" t="s">
        <v>344</v>
      </c>
      <c r="I51" s="59">
        <v>12</v>
      </c>
      <c r="J51" s="61">
        <v>2.1391203703703704E-2</v>
      </c>
      <c r="K51" s="61">
        <v>1.0844907407407407E-3</v>
      </c>
      <c r="L51" s="61">
        <v>5.0718750000000007E-2</v>
      </c>
      <c r="M51" s="61">
        <v>8.576388888888888E-4</v>
      </c>
      <c r="N51" s="61">
        <v>3.3899305555555558E-2</v>
      </c>
      <c r="O51" s="61">
        <v>0.10795370370370372</v>
      </c>
      <c r="P51" s="59" t="s">
        <v>2436</v>
      </c>
      <c r="Q51" s="8">
        <f t="shared" si="0"/>
        <v>753</v>
      </c>
      <c r="R51" s="14"/>
      <c r="S51" s="8"/>
      <c r="T51" s="8"/>
    </row>
    <row r="52" spans="1:20" ht="15.75" customHeight="1">
      <c r="A52" s="59">
        <v>51</v>
      </c>
      <c r="B52" s="59">
        <v>111</v>
      </c>
      <c r="C52" s="60" t="s">
        <v>135</v>
      </c>
      <c r="D52" s="59" t="s">
        <v>3244</v>
      </c>
      <c r="E52" s="59" t="s">
        <v>3245</v>
      </c>
      <c r="F52" s="59"/>
      <c r="G52" s="59" t="s">
        <v>340</v>
      </c>
      <c r="H52" s="59" t="s">
        <v>352</v>
      </c>
      <c r="I52" s="59">
        <v>10</v>
      </c>
      <c r="J52" s="61">
        <v>2.4506944444444446E-2</v>
      </c>
      <c r="K52" s="61">
        <v>1.4444444444444444E-3</v>
      </c>
      <c r="L52" s="61">
        <v>4.8976851851851855E-2</v>
      </c>
      <c r="M52" s="61">
        <v>8.8657407407407402E-4</v>
      </c>
      <c r="N52" s="61">
        <v>3.2181712962962961E-2</v>
      </c>
      <c r="O52" s="61">
        <v>0.1079988425925926</v>
      </c>
      <c r="P52" s="59" t="s">
        <v>3246</v>
      </c>
      <c r="Q52" s="8">
        <f t="shared" si="0"/>
        <v>752</v>
      </c>
      <c r="R52" s="14"/>
      <c r="S52" s="8"/>
      <c r="T52" s="8"/>
    </row>
    <row r="53" spans="1:20" ht="15.75" customHeight="1">
      <c r="A53" s="59">
        <v>52</v>
      </c>
      <c r="B53" s="59">
        <v>89</v>
      </c>
      <c r="C53" s="60" t="s">
        <v>135</v>
      </c>
      <c r="D53" s="59" t="s">
        <v>290</v>
      </c>
      <c r="E53" s="59" t="s">
        <v>291</v>
      </c>
      <c r="F53" s="59"/>
      <c r="G53" s="59" t="s">
        <v>340</v>
      </c>
      <c r="H53" s="59" t="s">
        <v>344</v>
      </c>
      <c r="I53" s="59">
        <v>13</v>
      </c>
      <c r="J53" s="61">
        <v>2.3519675925925927E-2</v>
      </c>
      <c r="K53" s="61">
        <v>1.3738425925925925E-3</v>
      </c>
      <c r="L53" s="61">
        <v>5.2684027777777774E-2</v>
      </c>
      <c r="M53" s="61">
        <v>7.6504629629629622E-4</v>
      </c>
      <c r="N53" s="61">
        <v>2.9736111111111109E-2</v>
      </c>
      <c r="O53" s="61">
        <v>0.10807986111111112</v>
      </c>
      <c r="P53" s="59" t="s">
        <v>3247</v>
      </c>
      <c r="Q53" s="8">
        <f t="shared" si="0"/>
        <v>752</v>
      </c>
      <c r="R53" s="14"/>
      <c r="S53" s="8"/>
      <c r="T53" s="8"/>
    </row>
    <row r="54" spans="1:20" ht="15.75" customHeight="1">
      <c r="A54" s="59">
        <v>53</v>
      </c>
      <c r="B54" s="59">
        <v>116</v>
      </c>
      <c r="C54" s="60" t="s">
        <v>135</v>
      </c>
      <c r="D54" s="59" t="s">
        <v>1111</v>
      </c>
      <c r="E54" s="59" t="s">
        <v>1112</v>
      </c>
      <c r="F54" s="59" t="s">
        <v>199</v>
      </c>
      <c r="G54" s="59" t="s">
        <v>319</v>
      </c>
      <c r="H54" s="59" t="s">
        <v>159</v>
      </c>
      <c r="I54" s="59"/>
      <c r="J54" s="61">
        <v>2.2718749999999999E-2</v>
      </c>
      <c r="K54" s="61">
        <v>1.0011574074074074E-3</v>
      </c>
      <c r="L54" s="61">
        <v>5.2346064814814811E-2</v>
      </c>
      <c r="M54" s="61">
        <v>3.1597222222222221E-4</v>
      </c>
      <c r="N54" s="61">
        <v>3.1714120370370372E-2</v>
      </c>
      <c r="O54" s="61">
        <v>0.10809837962962963</v>
      </c>
      <c r="P54" s="59" t="s">
        <v>3248</v>
      </c>
      <c r="Q54" s="8">
        <f t="shared" si="0"/>
        <v>752</v>
      </c>
      <c r="R54" s="14"/>
      <c r="S54" s="8"/>
      <c r="T54" s="8"/>
    </row>
    <row r="55" spans="1:20" ht="15.75" customHeight="1">
      <c r="A55" s="59">
        <v>54</v>
      </c>
      <c r="B55" s="59">
        <v>94</v>
      </c>
      <c r="C55" s="60" t="s">
        <v>135</v>
      </c>
      <c r="D55" s="59" t="s">
        <v>1093</v>
      </c>
      <c r="E55" s="59" t="s">
        <v>1094</v>
      </c>
      <c r="F55" s="59" t="s">
        <v>138</v>
      </c>
      <c r="G55" s="59" t="s">
        <v>319</v>
      </c>
      <c r="H55" s="59" t="s">
        <v>149</v>
      </c>
      <c r="I55" s="59">
        <v>1</v>
      </c>
      <c r="J55" s="61">
        <v>1.9307870370370371E-2</v>
      </c>
      <c r="K55" s="61">
        <v>1.1504629629629629E-3</v>
      </c>
      <c r="L55" s="61">
        <v>5.342708333333334E-2</v>
      </c>
      <c r="M55" s="61">
        <v>7.9282407407407405E-4</v>
      </c>
      <c r="N55" s="61">
        <v>3.4288194444444448E-2</v>
      </c>
      <c r="O55" s="61">
        <v>0.1089699074074074</v>
      </c>
      <c r="P55" s="59" t="s">
        <v>3249</v>
      </c>
      <c r="Q55" s="8">
        <f t="shared" si="0"/>
        <v>746</v>
      </c>
      <c r="R55" s="14"/>
      <c r="S55" s="8"/>
      <c r="T55" s="8"/>
    </row>
    <row r="56" spans="1:20" ht="15.75" customHeight="1">
      <c r="A56" s="59">
        <v>55</v>
      </c>
      <c r="B56" s="59">
        <v>62</v>
      </c>
      <c r="C56" s="60" t="s">
        <v>135</v>
      </c>
      <c r="D56" s="59" t="s">
        <v>532</v>
      </c>
      <c r="E56" s="59" t="s">
        <v>533</v>
      </c>
      <c r="F56" s="59" t="s">
        <v>534</v>
      </c>
      <c r="G56" s="59" t="s">
        <v>340</v>
      </c>
      <c r="H56" s="59" t="s">
        <v>341</v>
      </c>
      <c r="I56" s="59">
        <v>5</v>
      </c>
      <c r="J56" s="61">
        <v>2.4256944444444446E-2</v>
      </c>
      <c r="K56" s="61">
        <v>1.1585648148148147E-3</v>
      </c>
      <c r="L56" s="61">
        <v>5.0895833333333328E-2</v>
      </c>
      <c r="M56" s="61">
        <v>3.6111111111111109E-4</v>
      </c>
      <c r="N56" s="61">
        <v>3.2303240740740743E-2</v>
      </c>
      <c r="O56" s="61">
        <v>0.10897916666666665</v>
      </c>
      <c r="P56" s="59" t="s">
        <v>3250</v>
      </c>
      <c r="Q56" s="8">
        <f t="shared" si="0"/>
        <v>745</v>
      </c>
      <c r="R56" s="14"/>
      <c r="S56" s="8"/>
      <c r="T56" s="8"/>
    </row>
    <row r="57" spans="1:20" ht="15.75" customHeight="1">
      <c r="A57" s="59">
        <v>56</v>
      </c>
      <c r="B57" s="59">
        <v>79</v>
      </c>
      <c r="C57" s="60" t="s">
        <v>135</v>
      </c>
      <c r="D57" s="59" t="s">
        <v>619</v>
      </c>
      <c r="E57" s="59" t="s">
        <v>620</v>
      </c>
      <c r="F57" s="59"/>
      <c r="G57" s="59" t="s">
        <v>340</v>
      </c>
      <c r="H57" s="59" t="s">
        <v>341</v>
      </c>
      <c r="I57" s="59">
        <v>6</v>
      </c>
      <c r="J57" s="61">
        <v>2.4300925925925924E-2</v>
      </c>
      <c r="K57" s="61">
        <v>1.5497685185185187E-3</v>
      </c>
      <c r="L57" s="61">
        <v>4.9819444444444437E-2</v>
      </c>
      <c r="M57" s="61">
        <v>5.3009259259259253E-4</v>
      </c>
      <c r="N57" s="61">
        <v>3.2841435185185182E-2</v>
      </c>
      <c r="O57" s="61">
        <v>0.10904398148148148</v>
      </c>
      <c r="P57" s="59" t="s">
        <v>3251</v>
      </c>
      <c r="Q57" s="8">
        <f t="shared" si="0"/>
        <v>745</v>
      </c>
      <c r="R57" s="14"/>
      <c r="S57" s="8"/>
      <c r="T57" s="8"/>
    </row>
    <row r="58" spans="1:20" ht="15.75" customHeight="1">
      <c r="A58" s="59">
        <v>57</v>
      </c>
      <c r="B58" s="59">
        <v>49</v>
      </c>
      <c r="C58" s="60" t="s">
        <v>135</v>
      </c>
      <c r="D58" s="59" t="s">
        <v>646</v>
      </c>
      <c r="E58" s="59" t="s">
        <v>647</v>
      </c>
      <c r="F58" s="59" t="s">
        <v>648</v>
      </c>
      <c r="G58" s="59" t="s">
        <v>340</v>
      </c>
      <c r="H58" s="59" t="s">
        <v>344</v>
      </c>
      <c r="I58" s="59">
        <v>14</v>
      </c>
      <c r="J58" s="61">
        <v>2.3828703703703706E-2</v>
      </c>
      <c r="K58" s="61">
        <v>1.6828703703703704E-3</v>
      </c>
      <c r="L58" s="61">
        <v>4.9968749999999999E-2</v>
      </c>
      <c r="M58" s="61">
        <v>4.0625000000000004E-4</v>
      </c>
      <c r="N58" s="61">
        <v>3.3583333333333333E-2</v>
      </c>
      <c r="O58" s="61">
        <v>0.10947222222222222</v>
      </c>
      <c r="P58" s="59" t="s">
        <v>3252</v>
      </c>
      <c r="Q58" s="8">
        <f t="shared" si="0"/>
        <v>742</v>
      </c>
      <c r="R58" s="14"/>
      <c r="S58" s="8"/>
      <c r="T58" s="8"/>
    </row>
    <row r="59" spans="1:20" ht="15.75" customHeight="1">
      <c r="A59" s="59">
        <v>58</v>
      </c>
      <c r="B59" s="59">
        <v>58</v>
      </c>
      <c r="C59" s="60" t="s">
        <v>135</v>
      </c>
      <c r="D59" s="59" t="s">
        <v>3253</v>
      </c>
      <c r="E59" s="59" t="s">
        <v>3254</v>
      </c>
      <c r="F59" s="59"/>
      <c r="G59" s="59" t="s">
        <v>340</v>
      </c>
      <c r="H59" s="59" t="s">
        <v>348</v>
      </c>
      <c r="I59" s="59">
        <v>13</v>
      </c>
      <c r="J59" s="61">
        <v>2.2405092592592591E-2</v>
      </c>
      <c r="K59" s="61">
        <v>1.957175925925926E-3</v>
      </c>
      <c r="L59" s="61">
        <v>5.2750000000000005E-2</v>
      </c>
      <c r="M59" s="61">
        <v>2.6851851851851852E-4</v>
      </c>
      <c r="N59" s="61">
        <v>3.2685185185185185E-2</v>
      </c>
      <c r="O59" s="61">
        <v>0.11006828703703703</v>
      </c>
      <c r="P59" s="59" t="s">
        <v>3255</v>
      </c>
      <c r="Q59" s="8">
        <f t="shared" si="0"/>
        <v>738</v>
      </c>
      <c r="R59" s="14"/>
      <c r="S59" s="8"/>
      <c r="T59" s="8"/>
    </row>
    <row r="60" spans="1:20" ht="15.75" customHeight="1">
      <c r="A60" s="59">
        <v>59</v>
      </c>
      <c r="B60" s="59">
        <v>105</v>
      </c>
      <c r="C60" s="60" t="s">
        <v>135</v>
      </c>
      <c r="D60" s="59" t="s">
        <v>1872</v>
      </c>
      <c r="E60" s="59" t="s">
        <v>1873</v>
      </c>
      <c r="F60" s="59" t="s">
        <v>148</v>
      </c>
      <c r="G60" s="59" t="s">
        <v>340</v>
      </c>
      <c r="H60" s="59" t="s">
        <v>357</v>
      </c>
      <c r="I60" s="59">
        <v>4</v>
      </c>
      <c r="J60" s="61">
        <v>2.0790509259259259E-2</v>
      </c>
      <c r="K60" s="61">
        <v>2.5300925925925925E-3</v>
      </c>
      <c r="L60" s="61">
        <v>5.0230324074074073E-2</v>
      </c>
      <c r="M60" s="61">
        <v>1.5393518518518519E-3</v>
      </c>
      <c r="N60" s="61">
        <v>3.5018518518518518E-2</v>
      </c>
      <c r="O60" s="61">
        <v>0.11011111111111112</v>
      </c>
      <c r="P60" s="59" t="s">
        <v>3256</v>
      </c>
      <c r="Q60" s="8">
        <f t="shared" si="0"/>
        <v>738</v>
      </c>
      <c r="R60" s="14"/>
      <c r="S60" s="8"/>
      <c r="T60" s="8"/>
    </row>
    <row r="61" spans="1:20" ht="15.75" customHeight="1">
      <c r="A61" s="59">
        <v>60</v>
      </c>
      <c r="B61" s="59">
        <v>108</v>
      </c>
      <c r="C61" s="60" t="s">
        <v>135</v>
      </c>
      <c r="D61" s="59" t="s">
        <v>2447</v>
      </c>
      <c r="E61" s="59" t="s">
        <v>2448</v>
      </c>
      <c r="F61" s="59"/>
      <c r="G61" s="59" t="s">
        <v>340</v>
      </c>
      <c r="H61" s="59" t="s">
        <v>344</v>
      </c>
      <c r="I61" s="59">
        <v>15</v>
      </c>
      <c r="J61" s="61">
        <v>2.2878472222222224E-2</v>
      </c>
      <c r="K61" s="61">
        <v>1.5312500000000001E-3</v>
      </c>
      <c r="L61" s="61">
        <v>5.2793981481481476E-2</v>
      </c>
      <c r="M61" s="61">
        <v>8.2291666666666657E-4</v>
      </c>
      <c r="N61" s="61">
        <v>3.2567129629629633E-2</v>
      </c>
      <c r="O61" s="61">
        <v>0.11059490740740741</v>
      </c>
      <c r="P61" s="59" t="s">
        <v>3257</v>
      </c>
      <c r="Q61" s="8">
        <f t="shared" si="0"/>
        <v>735</v>
      </c>
      <c r="R61" s="14"/>
      <c r="S61" s="8"/>
      <c r="T61" s="8"/>
    </row>
    <row r="62" spans="1:20" ht="15.75" customHeight="1">
      <c r="A62" s="59">
        <v>61</v>
      </c>
      <c r="B62" s="59">
        <v>109</v>
      </c>
      <c r="C62" s="60" t="s">
        <v>135</v>
      </c>
      <c r="D62" s="59" t="s">
        <v>1145</v>
      </c>
      <c r="E62" s="59" t="s">
        <v>1146</v>
      </c>
      <c r="F62" s="59"/>
      <c r="G62" s="59" t="s">
        <v>340</v>
      </c>
      <c r="H62" s="59" t="s">
        <v>624</v>
      </c>
      <c r="I62" s="59">
        <v>1</v>
      </c>
      <c r="J62" s="61">
        <v>2.5351851851851855E-2</v>
      </c>
      <c r="K62" s="61">
        <v>2.0775462962962961E-3</v>
      </c>
      <c r="L62" s="61">
        <v>4.8872685185185193E-2</v>
      </c>
      <c r="M62" s="61">
        <v>9.837962962962962E-4</v>
      </c>
      <c r="N62" s="61">
        <v>3.4122685185185186E-2</v>
      </c>
      <c r="O62" s="61">
        <v>0.11140972222222222</v>
      </c>
      <c r="P62" s="59" t="s">
        <v>3258</v>
      </c>
      <c r="Q62" s="8">
        <f t="shared" si="0"/>
        <v>729</v>
      </c>
      <c r="R62" s="14"/>
      <c r="S62" s="8"/>
      <c r="T62" s="8"/>
    </row>
    <row r="63" spans="1:20" ht="15.75" customHeight="1">
      <c r="A63" s="59">
        <v>62</v>
      </c>
      <c r="B63" s="59">
        <v>5</v>
      </c>
      <c r="C63" s="60" t="s">
        <v>135</v>
      </c>
      <c r="D63" s="59" t="s">
        <v>3259</v>
      </c>
      <c r="E63" s="59" t="s">
        <v>3260</v>
      </c>
      <c r="F63" s="59" t="s">
        <v>3261</v>
      </c>
      <c r="G63" s="59" t="s">
        <v>340</v>
      </c>
      <c r="H63" s="59" t="s">
        <v>341</v>
      </c>
      <c r="I63" s="59">
        <v>7</v>
      </c>
      <c r="J63" s="61">
        <v>2.1582175925925925E-2</v>
      </c>
      <c r="K63" s="61">
        <v>1.7523148148148148E-3</v>
      </c>
      <c r="L63" s="61">
        <v>4.994097222222222E-2</v>
      </c>
      <c r="M63" s="61">
        <v>7.8703703703703705E-4</v>
      </c>
      <c r="N63" s="61">
        <v>3.751851851851852E-2</v>
      </c>
      <c r="O63" s="61">
        <v>0.11158449074074074</v>
      </c>
      <c r="P63" s="59" t="s">
        <v>3262</v>
      </c>
      <c r="Q63" s="8">
        <f t="shared" si="0"/>
        <v>728</v>
      </c>
      <c r="R63" s="14"/>
      <c r="S63" s="8"/>
      <c r="T63" s="8"/>
    </row>
    <row r="64" spans="1:20" ht="15.75" customHeight="1">
      <c r="A64" s="59">
        <v>63</v>
      </c>
      <c r="B64" s="59">
        <v>88</v>
      </c>
      <c r="C64" s="60" t="s">
        <v>135</v>
      </c>
      <c r="D64" s="59" t="s">
        <v>1127</v>
      </c>
      <c r="E64" s="59" t="s">
        <v>1128</v>
      </c>
      <c r="F64" s="59" t="s">
        <v>153</v>
      </c>
      <c r="G64" s="59" t="s">
        <v>319</v>
      </c>
      <c r="H64" s="59" t="s">
        <v>154</v>
      </c>
      <c r="I64" s="59">
        <v>1</v>
      </c>
      <c r="J64" s="61">
        <v>2.2067129629629628E-2</v>
      </c>
      <c r="K64" s="61">
        <v>1.4525462962962964E-3</v>
      </c>
      <c r="L64" s="61">
        <v>5.5869212962962968E-2</v>
      </c>
      <c r="M64" s="61">
        <v>4.4675925925925927E-4</v>
      </c>
      <c r="N64" s="61">
        <v>3.2296296296296295E-2</v>
      </c>
      <c r="O64" s="61">
        <v>0.11213425925925925</v>
      </c>
      <c r="P64" s="59" t="s">
        <v>3263</v>
      </c>
      <c r="Q64" s="8">
        <f t="shared" si="0"/>
        <v>724</v>
      </c>
      <c r="R64" s="14"/>
      <c r="S64" s="8"/>
      <c r="T64" s="8"/>
    </row>
    <row r="65" spans="1:20" ht="15.75" customHeight="1">
      <c r="A65" s="59">
        <v>64</v>
      </c>
      <c r="B65" s="59">
        <v>76</v>
      </c>
      <c r="C65" s="60" t="s">
        <v>135</v>
      </c>
      <c r="D65" s="59" t="s">
        <v>1148</v>
      </c>
      <c r="E65" s="59" t="s">
        <v>1149</v>
      </c>
      <c r="F65" s="59" t="s">
        <v>153</v>
      </c>
      <c r="G65" s="59" t="s">
        <v>340</v>
      </c>
      <c r="H65" s="59" t="s">
        <v>357</v>
      </c>
      <c r="I65" s="59">
        <v>5</v>
      </c>
      <c r="J65" s="61">
        <v>2.1969907407407407E-2</v>
      </c>
      <c r="K65" s="61">
        <v>1.5821759259259259E-3</v>
      </c>
      <c r="L65" s="61">
        <v>5.0374999999999996E-2</v>
      </c>
      <c r="M65" s="61">
        <v>7.4537037037037041E-4</v>
      </c>
      <c r="N65" s="61">
        <v>3.7828703703703705E-2</v>
      </c>
      <c r="O65" s="61">
        <v>0.11250462962962962</v>
      </c>
      <c r="P65" s="59" t="s">
        <v>3264</v>
      </c>
      <c r="Q65" s="8">
        <f t="shared" si="0"/>
        <v>722</v>
      </c>
      <c r="R65" s="14"/>
      <c r="S65" s="8"/>
      <c r="T65" s="8"/>
    </row>
    <row r="66" spans="1:20" ht="15.75" customHeight="1">
      <c r="A66" s="59">
        <v>65</v>
      </c>
      <c r="B66" s="59">
        <v>96</v>
      </c>
      <c r="C66" s="60" t="s">
        <v>135</v>
      </c>
      <c r="D66" s="59" t="s">
        <v>2614</v>
      </c>
      <c r="E66" s="59" t="s">
        <v>2615</v>
      </c>
      <c r="F66" s="59" t="s">
        <v>203</v>
      </c>
      <c r="G66" s="59" t="s">
        <v>340</v>
      </c>
      <c r="H66" s="59" t="s">
        <v>348</v>
      </c>
      <c r="I66" s="59">
        <v>14</v>
      </c>
      <c r="J66" s="61">
        <v>2.4134259259259258E-2</v>
      </c>
      <c r="K66" s="61">
        <v>1.0682870370370371E-3</v>
      </c>
      <c r="L66" s="61">
        <v>5.1828703703703703E-2</v>
      </c>
      <c r="M66" s="61">
        <v>3.4027777777777778E-4</v>
      </c>
      <c r="N66" s="61">
        <v>3.5186342592592589E-2</v>
      </c>
      <c r="O66" s="61">
        <v>0.11255902777777778</v>
      </c>
      <c r="P66" s="59" t="s">
        <v>3265</v>
      </c>
      <c r="Q66" s="8">
        <f t="shared" si="0"/>
        <v>722</v>
      </c>
      <c r="R66" s="14"/>
      <c r="S66" s="8"/>
      <c r="T66" s="8"/>
    </row>
    <row r="67" spans="1:20" ht="15.75" customHeight="1">
      <c r="A67" s="59">
        <v>66</v>
      </c>
      <c r="B67" s="59">
        <v>104</v>
      </c>
      <c r="C67" s="60" t="s">
        <v>135</v>
      </c>
      <c r="D67" s="59" t="s">
        <v>1640</v>
      </c>
      <c r="E67" s="59" t="s">
        <v>1641</v>
      </c>
      <c r="F67" s="59" t="s">
        <v>173</v>
      </c>
      <c r="G67" s="59" t="s">
        <v>319</v>
      </c>
      <c r="H67" s="59" t="s">
        <v>149</v>
      </c>
      <c r="I67" s="59">
        <v>2</v>
      </c>
      <c r="J67" s="61">
        <v>2.4496527777777777E-2</v>
      </c>
      <c r="K67" s="61">
        <v>2.1666666666666666E-3</v>
      </c>
      <c r="L67" s="61">
        <v>5.6221064814814814E-2</v>
      </c>
      <c r="M67" s="61">
        <v>6.087962962962963E-4</v>
      </c>
      <c r="N67" s="61">
        <v>2.9148148148148149E-2</v>
      </c>
      <c r="O67" s="61">
        <v>0.11264467592592593</v>
      </c>
      <c r="P67" s="59" t="s">
        <v>3266</v>
      </c>
      <c r="Q67" s="8">
        <f t="shared" ref="Q67:Q103" si="1">IFERROR(ROUND($O$2/O67*1000,0),0)</f>
        <v>721</v>
      </c>
      <c r="R67" s="14"/>
      <c r="S67" s="8"/>
      <c r="T67" s="8"/>
    </row>
    <row r="68" spans="1:20" ht="15.75" customHeight="1">
      <c r="A68" s="59">
        <v>67</v>
      </c>
      <c r="B68" s="59">
        <v>42</v>
      </c>
      <c r="C68" s="60" t="s">
        <v>135</v>
      </c>
      <c r="D68" s="59" t="s">
        <v>567</v>
      </c>
      <c r="E68" s="59" t="s">
        <v>568</v>
      </c>
      <c r="F68" s="59" t="s">
        <v>569</v>
      </c>
      <c r="G68" s="59" t="s">
        <v>340</v>
      </c>
      <c r="H68" s="59" t="s">
        <v>344</v>
      </c>
      <c r="I68" s="59">
        <v>16</v>
      </c>
      <c r="J68" s="61">
        <v>2.3336805555555555E-2</v>
      </c>
      <c r="K68" s="61">
        <v>2.0277777777777777E-3</v>
      </c>
      <c r="L68" s="61">
        <v>5.3567129629629624E-2</v>
      </c>
      <c r="M68" s="61">
        <v>1.1921296296296296E-3</v>
      </c>
      <c r="N68" s="61">
        <v>3.267476851851852E-2</v>
      </c>
      <c r="O68" s="61">
        <v>0.11280208333333334</v>
      </c>
      <c r="P68" s="59" t="s">
        <v>3267</v>
      </c>
      <c r="Q68" s="8">
        <f t="shared" si="1"/>
        <v>720</v>
      </c>
      <c r="R68" s="14"/>
      <c r="S68" s="8"/>
      <c r="T68" s="8"/>
    </row>
    <row r="69" spans="1:20" ht="15.75" customHeight="1">
      <c r="A69" s="59">
        <v>68</v>
      </c>
      <c r="B69" s="59">
        <v>17</v>
      </c>
      <c r="C69" s="60" t="s">
        <v>135</v>
      </c>
      <c r="D69" s="59" t="s">
        <v>1159</v>
      </c>
      <c r="E69" s="59" t="s">
        <v>1160</v>
      </c>
      <c r="F69" s="59" t="s">
        <v>199</v>
      </c>
      <c r="G69" s="59" t="s">
        <v>319</v>
      </c>
      <c r="H69" s="59" t="s">
        <v>154</v>
      </c>
      <c r="I69" s="59">
        <v>2</v>
      </c>
      <c r="J69" s="61">
        <v>2.1437500000000002E-2</v>
      </c>
      <c r="K69" s="61">
        <v>1.0428240740740741E-3</v>
      </c>
      <c r="L69" s="61">
        <v>5.3959490740740745E-2</v>
      </c>
      <c r="M69" s="61">
        <v>3.3680555555555558E-4</v>
      </c>
      <c r="N69" s="61">
        <v>3.7060185185185182E-2</v>
      </c>
      <c r="O69" s="61">
        <v>0.11383796296296296</v>
      </c>
      <c r="P69" s="59" t="s">
        <v>3268</v>
      </c>
      <c r="Q69" s="8">
        <f t="shared" si="1"/>
        <v>714</v>
      </c>
      <c r="R69" s="14"/>
      <c r="S69" s="8"/>
      <c r="T69" s="8"/>
    </row>
    <row r="70" spans="1:20" ht="15.75" customHeight="1">
      <c r="A70" s="59">
        <v>69</v>
      </c>
      <c r="B70" s="59">
        <v>51</v>
      </c>
      <c r="C70" s="60" t="s">
        <v>135</v>
      </c>
      <c r="D70" s="59" t="s">
        <v>315</v>
      </c>
      <c r="E70" s="59" t="s">
        <v>316</v>
      </c>
      <c r="F70" s="59" t="s">
        <v>199</v>
      </c>
      <c r="G70" s="59" t="s">
        <v>340</v>
      </c>
      <c r="H70" s="59" t="s">
        <v>420</v>
      </c>
      <c r="I70" s="59">
        <v>4</v>
      </c>
      <c r="J70" s="61">
        <v>2.3745370370370368E-2</v>
      </c>
      <c r="K70" s="61">
        <v>1.6319444444444445E-3</v>
      </c>
      <c r="L70" s="61">
        <v>5.194791666666667E-2</v>
      </c>
      <c r="M70" s="61">
        <v>7.1643518518518519E-4</v>
      </c>
      <c r="N70" s="61">
        <v>3.6076388888888887E-2</v>
      </c>
      <c r="O70" s="61">
        <v>0.11412037037037037</v>
      </c>
      <c r="P70" s="59" t="s">
        <v>3269</v>
      </c>
      <c r="Q70" s="8">
        <f t="shared" si="1"/>
        <v>712</v>
      </c>
      <c r="R70" s="14"/>
      <c r="S70" s="8"/>
      <c r="T70" s="8"/>
    </row>
    <row r="71" spans="1:20" ht="15.75" customHeight="1">
      <c r="A71" s="59">
        <v>70</v>
      </c>
      <c r="B71" s="59">
        <v>69</v>
      </c>
      <c r="C71" s="60" t="s">
        <v>135</v>
      </c>
      <c r="D71" s="59" t="s">
        <v>1139</v>
      </c>
      <c r="E71" s="59" t="s">
        <v>1140</v>
      </c>
      <c r="F71" s="59" t="s">
        <v>173</v>
      </c>
      <c r="G71" s="59" t="s">
        <v>319</v>
      </c>
      <c r="H71" s="59" t="s">
        <v>154</v>
      </c>
      <c r="I71" s="59">
        <v>3</v>
      </c>
      <c r="J71" s="61">
        <v>2.1451388888888891E-2</v>
      </c>
      <c r="K71" s="61">
        <v>1.4942129629629628E-3</v>
      </c>
      <c r="L71" s="61">
        <v>5.634259259259259E-2</v>
      </c>
      <c r="M71" s="61">
        <v>6.4814814814814813E-4</v>
      </c>
      <c r="N71" s="61">
        <v>3.4467592592592591E-2</v>
      </c>
      <c r="O71" s="61">
        <v>0.1144050925925926</v>
      </c>
      <c r="P71" s="59" t="s">
        <v>3270</v>
      </c>
      <c r="Q71" s="8">
        <f t="shared" si="1"/>
        <v>710</v>
      </c>
      <c r="R71" s="14"/>
      <c r="S71" s="8"/>
      <c r="T71" s="8"/>
    </row>
    <row r="72" spans="1:20" ht="15.75" customHeight="1">
      <c r="A72" s="59">
        <v>71</v>
      </c>
      <c r="B72" s="59">
        <v>84</v>
      </c>
      <c r="C72" s="60" t="s">
        <v>135</v>
      </c>
      <c r="D72" s="59" t="s">
        <v>1907</v>
      </c>
      <c r="E72" s="59" t="s">
        <v>1908</v>
      </c>
      <c r="F72" s="59"/>
      <c r="G72" s="59" t="s">
        <v>340</v>
      </c>
      <c r="H72" s="59" t="s">
        <v>348</v>
      </c>
      <c r="I72" s="59">
        <v>15</v>
      </c>
      <c r="J72" s="61">
        <v>2.891087962962963E-2</v>
      </c>
      <c r="K72" s="61">
        <v>2.1249999999999997E-3</v>
      </c>
      <c r="L72" s="61">
        <v>5.338194444444444E-2</v>
      </c>
      <c r="M72" s="61">
        <v>6.2731481481481481E-4</v>
      </c>
      <c r="N72" s="61">
        <v>3.0215277777777778E-2</v>
      </c>
      <c r="O72" s="61">
        <v>0.11526388888888887</v>
      </c>
      <c r="P72" s="59" t="s">
        <v>3271</v>
      </c>
      <c r="Q72" s="8">
        <f t="shared" si="1"/>
        <v>705</v>
      </c>
      <c r="R72" s="14"/>
      <c r="S72" s="8"/>
      <c r="T72" s="8"/>
    </row>
    <row r="73" spans="1:20" ht="15.75" customHeight="1">
      <c r="A73" s="59">
        <v>72</v>
      </c>
      <c r="B73" s="59">
        <v>95</v>
      </c>
      <c r="C73" s="60" t="s">
        <v>135</v>
      </c>
      <c r="D73" s="59" t="s">
        <v>908</v>
      </c>
      <c r="E73" s="59" t="s">
        <v>909</v>
      </c>
      <c r="F73" s="59" t="s">
        <v>173</v>
      </c>
      <c r="G73" s="59" t="s">
        <v>340</v>
      </c>
      <c r="H73" s="59" t="s">
        <v>357</v>
      </c>
      <c r="I73" s="59">
        <v>6</v>
      </c>
      <c r="J73" s="61">
        <v>2.2924768518518518E-2</v>
      </c>
      <c r="K73" s="61">
        <v>1.707175925925926E-3</v>
      </c>
      <c r="L73" s="61">
        <v>5.4228009259259261E-2</v>
      </c>
      <c r="M73" s="61">
        <v>6.041666666666667E-4</v>
      </c>
      <c r="N73" s="61">
        <v>3.5932870370370372E-2</v>
      </c>
      <c r="O73" s="61">
        <v>0.11539930555555555</v>
      </c>
      <c r="P73" s="59" t="s">
        <v>3272</v>
      </c>
      <c r="Q73" s="8">
        <f t="shared" si="1"/>
        <v>704</v>
      </c>
      <c r="R73" s="14"/>
      <c r="S73" s="8"/>
      <c r="T73" s="8"/>
    </row>
    <row r="74" spans="1:20" ht="15.75" customHeight="1">
      <c r="A74" s="59">
        <v>73</v>
      </c>
      <c r="B74" s="59">
        <v>50</v>
      </c>
      <c r="C74" s="60" t="s">
        <v>135</v>
      </c>
      <c r="D74" s="59" t="s">
        <v>612</v>
      </c>
      <c r="E74" s="59" t="s">
        <v>613</v>
      </c>
      <c r="F74" s="59" t="s">
        <v>138</v>
      </c>
      <c r="G74" s="59" t="s">
        <v>319</v>
      </c>
      <c r="H74" s="59" t="s">
        <v>149</v>
      </c>
      <c r="I74" s="59">
        <v>3</v>
      </c>
      <c r="J74" s="61">
        <v>2.5312500000000002E-2</v>
      </c>
      <c r="K74" s="61">
        <v>2.1631944444444446E-3</v>
      </c>
      <c r="L74" s="61">
        <v>4.831481481481481E-2</v>
      </c>
      <c r="M74" s="61">
        <v>7.7199074074074073E-4</v>
      </c>
      <c r="N74" s="61">
        <v>3.934027777777778E-2</v>
      </c>
      <c r="O74" s="61">
        <v>0.11590624999999999</v>
      </c>
      <c r="P74" s="59" t="s">
        <v>3273</v>
      </c>
      <c r="Q74" s="8">
        <f t="shared" si="1"/>
        <v>701</v>
      </c>
      <c r="R74" s="14"/>
      <c r="S74" s="8"/>
      <c r="T74" s="8"/>
    </row>
    <row r="75" spans="1:20" ht="15.75" customHeight="1">
      <c r="A75" s="59">
        <v>74</v>
      </c>
      <c r="B75" s="59">
        <v>98</v>
      </c>
      <c r="C75" s="60" t="s">
        <v>135</v>
      </c>
      <c r="D75" s="59" t="s">
        <v>1731</v>
      </c>
      <c r="E75" s="59" t="s">
        <v>1732</v>
      </c>
      <c r="F75" s="59"/>
      <c r="G75" s="59" t="s">
        <v>340</v>
      </c>
      <c r="H75" s="59" t="s">
        <v>348</v>
      </c>
      <c r="I75" s="59">
        <v>16</v>
      </c>
      <c r="J75" s="61">
        <v>2.3009259259259261E-2</v>
      </c>
      <c r="K75" s="61">
        <v>2.216435185185185E-3</v>
      </c>
      <c r="L75" s="61">
        <v>5.4927083333333328E-2</v>
      </c>
      <c r="M75" s="61">
        <v>1.2685185185185184E-3</v>
      </c>
      <c r="N75" s="61">
        <v>3.4556712962962963E-2</v>
      </c>
      <c r="O75" s="61">
        <v>0.11598032407407408</v>
      </c>
      <c r="P75" s="59" t="s">
        <v>3274</v>
      </c>
      <c r="Q75" s="8">
        <f t="shared" si="1"/>
        <v>700</v>
      </c>
      <c r="R75" s="14"/>
      <c r="S75" s="8"/>
      <c r="T75" s="8"/>
    </row>
    <row r="76" spans="1:20" ht="15.75" customHeight="1">
      <c r="A76" s="59">
        <v>75</v>
      </c>
      <c r="B76" s="59">
        <v>43</v>
      </c>
      <c r="C76" s="60" t="s">
        <v>135</v>
      </c>
      <c r="D76" s="59" t="s">
        <v>629</v>
      </c>
      <c r="E76" s="59" t="s">
        <v>630</v>
      </c>
      <c r="F76" s="59" t="s">
        <v>631</v>
      </c>
      <c r="G76" s="59" t="s">
        <v>340</v>
      </c>
      <c r="H76" s="59" t="s">
        <v>341</v>
      </c>
      <c r="I76" s="59">
        <v>8</v>
      </c>
      <c r="J76" s="61">
        <v>2.3244212962962963E-2</v>
      </c>
      <c r="K76" s="61">
        <v>2.4293981481481484E-3</v>
      </c>
      <c r="L76" s="61">
        <v>5.4828703703703699E-2</v>
      </c>
      <c r="M76" s="61">
        <v>7.245370370370371E-4</v>
      </c>
      <c r="N76" s="61">
        <v>3.4956018518518518E-2</v>
      </c>
      <c r="O76" s="61">
        <v>0.11618518518518518</v>
      </c>
      <c r="P76" s="59" t="s">
        <v>3275</v>
      </c>
      <c r="Q76" s="8">
        <f t="shared" si="1"/>
        <v>699</v>
      </c>
      <c r="R76" s="14"/>
      <c r="S76" s="8"/>
      <c r="T76" s="8"/>
    </row>
    <row r="77" spans="1:20" ht="15.75" customHeight="1">
      <c r="A77" s="59">
        <v>76</v>
      </c>
      <c r="B77" s="59">
        <v>114</v>
      </c>
      <c r="C77" s="60" t="s">
        <v>135</v>
      </c>
      <c r="D77" s="59" t="s">
        <v>3276</v>
      </c>
      <c r="E77" s="59" t="s">
        <v>3277</v>
      </c>
      <c r="F77" s="59"/>
      <c r="G77" s="59" t="s">
        <v>340</v>
      </c>
      <c r="H77" s="59" t="s">
        <v>348</v>
      </c>
      <c r="I77" s="59">
        <v>17</v>
      </c>
      <c r="J77" s="61">
        <v>2.1377314814814814E-2</v>
      </c>
      <c r="K77" s="61">
        <v>1.920138888888889E-3</v>
      </c>
      <c r="L77" s="61">
        <v>5.4336805555555555E-2</v>
      </c>
      <c r="M77" s="61">
        <v>6.018518518518519E-4</v>
      </c>
      <c r="N77" s="61">
        <v>3.8753472222222224E-2</v>
      </c>
      <c r="O77" s="61">
        <v>0.11699305555555556</v>
      </c>
      <c r="P77" s="59" t="s">
        <v>3278</v>
      </c>
      <c r="Q77" s="8">
        <f t="shared" si="1"/>
        <v>694</v>
      </c>
      <c r="R77" s="14"/>
      <c r="S77" s="8"/>
      <c r="T77" s="8"/>
    </row>
    <row r="78" spans="1:20" ht="15.75" customHeight="1">
      <c r="A78" s="59">
        <v>77</v>
      </c>
      <c r="B78" s="59">
        <v>113</v>
      </c>
      <c r="C78" s="60" t="s">
        <v>135</v>
      </c>
      <c r="D78" s="59" t="s">
        <v>2900</v>
      </c>
      <c r="E78" s="59" t="s">
        <v>3279</v>
      </c>
      <c r="F78" s="59" t="s">
        <v>1005</v>
      </c>
      <c r="G78" s="59" t="s">
        <v>340</v>
      </c>
      <c r="H78" s="59" t="s">
        <v>344</v>
      </c>
      <c r="I78" s="59">
        <v>17</v>
      </c>
      <c r="J78" s="61">
        <v>2.2663194444444444E-2</v>
      </c>
      <c r="K78" s="61">
        <v>1.9004629629629627E-3</v>
      </c>
      <c r="L78" s="61">
        <v>5.6261574074074075E-2</v>
      </c>
      <c r="M78" s="61">
        <v>8.2638888888888898E-4</v>
      </c>
      <c r="N78" s="61">
        <v>3.5372685185185181E-2</v>
      </c>
      <c r="O78" s="61">
        <v>0.11702546296296296</v>
      </c>
      <c r="P78" s="59" t="s">
        <v>3280</v>
      </c>
      <c r="Q78" s="8">
        <f t="shared" si="1"/>
        <v>694</v>
      </c>
      <c r="R78" s="14"/>
      <c r="S78" s="8"/>
      <c r="T78" s="8"/>
    </row>
    <row r="79" spans="1:20" ht="15.75" customHeight="1">
      <c r="A79" s="59">
        <v>78</v>
      </c>
      <c r="B79" s="59">
        <v>86</v>
      </c>
      <c r="C79" s="60" t="s">
        <v>135</v>
      </c>
      <c r="D79" s="59" t="s">
        <v>1214</v>
      </c>
      <c r="E79" s="59" t="s">
        <v>1215</v>
      </c>
      <c r="F79" s="59" t="s">
        <v>3281</v>
      </c>
      <c r="G79" s="59" t="s">
        <v>340</v>
      </c>
      <c r="H79" s="59" t="s">
        <v>448</v>
      </c>
      <c r="I79" s="59">
        <v>2</v>
      </c>
      <c r="J79" s="61">
        <v>2.2810185185185183E-2</v>
      </c>
      <c r="K79" s="61">
        <v>2.2083333333333334E-3</v>
      </c>
      <c r="L79" s="61">
        <v>5.4028935185185187E-2</v>
      </c>
      <c r="M79" s="61">
        <v>3.3217592592592592E-4</v>
      </c>
      <c r="N79" s="61">
        <v>3.7859953703703701E-2</v>
      </c>
      <c r="O79" s="61">
        <v>0.11724305555555554</v>
      </c>
      <c r="P79" s="59" t="s">
        <v>3282</v>
      </c>
      <c r="Q79" s="8">
        <f t="shared" si="1"/>
        <v>693</v>
      </c>
      <c r="R79" s="14"/>
      <c r="S79" s="8"/>
      <c r="T79" s="8"/>
    </row>
    <row r="80" spans="1:20" ht="15.75" customHeight="1">
      <c r="A80" s="59">
        <v>79</v>
      </c>
      <c r="B80" s="59">
        <v>80</v>
      </c>
      <c r="C80" s="60" t="s">
        <v>135</v>
      </c>
      <c r="D80" s="59" t="s">
        <v>585</v>
      </c>
      <c r="E80" s="59" t="s">
        <v>586</v>
      </c>
      <c r="F80" s="59"/>
      <c r="G80" s="59" t="s">
        <v>340</v>
      </c>
      <c r="H80" s="59" t="s">
        <v>341</v>
      </c>
      <c r="I80" s="59">
        <v>9</v>
      </c>
      <c r="J80" s="61">
        <v>2.4078703703703706E-2</v>
      </c>
      <c r="K80" s="61">
        <v>1.6168981481481481E-3</v>
      </c>
      <c r="L80" s="61">
        <v>5.6100694444444446E-2</v>
      </c>
      <c r="M80" s="61">
        <v>1.0532407407407407E-3</v>
      </c>
      <c r="N80" s="61">
        <v>3.4539351851851849E-2</v>
      </c>
      <c r="O80" s="61">
        <v>0.11739120370370371</v>
      </c>
      <c r="P80" s="59" t="s">
        <v>3283</v>
      </c>
      <c r="Q80" s="8">
        <f t="shared" si="1"/>
        <v>692</v>
      </c>
      <c r="R80" s="14"/>
      <c r="S80" s="8"/>
      <c r="T80" s="8"/>
    </row>
    <row r="81" spans="1:20" ht="15.75" customHeight="1">
      <c r="A81" s="59">
        <v>80</v>
      </c>
      <c r="B81" s="59">
        <v>101</v>
      </c>
      <c r="C81" s="59"/>
      <c r="D81" s="59" t="s">
        <v>1696</v>
      </c>
      <c r="E81" s="59" t="s">
        <v>1697</v>
      </c>
      <c r="F81" s="59"/>
      <c r="G81" s="59" t="s">
        <v>340</v>
      </c>
      <c r="H81" s="59" t="s">
        <v>348</v>
      </c>
      <c r="I81" s="59">
        <v>18</v>
      </c>
      <c r="J81" s="61">
        <v>2.5134259259259259E-2</v>
      </c>
      <c r="K81" s="61">
        <v>1.2916666666666667E-3</v>
      </c>
      <c r="L81" s="61">
        <v>5.356018518518519E-2</v>
      </c>
      <c r="M81" s="61">
        <v>7.5347222222222211E-4</v>
      </c>
      <c r="N81" s="61">
        <v>3.6657407407407402E-2</v>
      </c>
      <c r="O81" s="61">
        <v>0.11740046296296296</v>
      </c>
      <c r="P81" s="59" t="s">
        <v>3284</v>
      </c>
      <c r="Q81" s="8">
        <f t="shared" si="1"/>
        <v>692</v>
      </c>
      <c r="R81" s="14"/>
      <c r="S81" s="8"/>
      <c r="T81" s="8"/>
    </row>
    <row r="82" spans="1:20" ht="15.75" customHeight="1">
      <c r="A82" s="59">
        <v>81</v>
      </c>
      <c r="B82" s="59">
        <v>32</v>
      </c>
      <c r="C82" s="60" t="s">
        <v>135</v>
      </c>
      <c r="D82" s="59" t="s">
        <v>885</v>
      </c>
      <c r="E82" s="59" t="s">
        <v>886</v>
      </c>
      <c r="F82" s="59"/>
      <c r="G82" s="59" t="s">
        <v>340</v>
      </c>
      <c r="H82" s="59" t="s">
        <v>420</v>
      </c>
      <c r="I82" s="59">
        <v>5</v>
      </c>
      <c r="J82" s="61">
        <v>2.2643518518518521E-2</v>
      </c>
      <c r="K82" s="61">
        <v>1.7222222222222224E-3</v>
      </c>
      <c r="L82" s="61">
        <v>5.5122685185185191E-2</v>
      </c>
      <c r="M82" s="61">
        <v>8.4027777777777768E-4</v>
      </c>
      <c r="N82" s="61">
        <v>3.7208333333333336E-2</v>
      </c>
      <c r="O82" s="61">
        <v>0.11753819444444444</v>
      </c>
      <c r="P82" s="59" t="s">
        <v>3285</v>
      </c>
      <c r="Q82" s="8">
        <f t="shared" si="1"/>
        <v>691</v>
      </c>
      <c r="R82" s="14"/>
      <c r="S82" s="8"/>
      <c r="T82" s="8"/>
    </row>
    <row r="83" spans="1:20" ht="15.75" customHeight="1">
      <c r="A83" s="59">
        <v>82</v>
      </c>
      <c r="B83" s="59">
        <v>73</v>
      </c>
      <c r="C83" s="60" t="s">
        <v>135</v>
      </c>
      <c r="D83" s="59" t="s">
        <v>865</v>
      </c>
      <c r="E83" s="59" t="s">
        <v>866</v>
      </c>
      <c r="F83" s="59"/>
      <c r="G83" s="59" t="s">
        <v>340</v>
      </c>
      <c r="H83" s="59" t="s">
        <v>348</v>
      </c>
      <c r="I83" s="59">
        <v>19</v>
      </c>
      <c r="J83" s="61">
        <v>2.4585648148148145E-2</v>
      </c>
      <c r="K83" s="61">
        <v>1.7002314814814816E-3</v>
      </c>
      <c r="L83" s="61">
        <v>5.5728009259259255E-2</v>
      </c>
      <c r="M83" s="61">
        <v>9.2361111111111105E-4</v>
      </c>
      <c r="N83" s="61">
        <v>3.5872685185185188E-2</v>
      </c>
      <c r="O83" s="61">
        <v>0.1188125</v>
      </c>
      <c r="P83" s="59" t="s">
        <v>2700</v>
      </c>
      <c r="Q83" s="8">
        <f t="shared" si="1"/>
        <v>684</v>
      </c>
      <c r="R83" s="14"/>
      <c r="S83" s="8"/>
      <c r="T83" s="8"/>
    </row>
    <row r="84" spans="1:20" ht="15.75" customHeight="1">
      <c r="A84" s="59">
        <v>83</v>
      </c>
      <c r="B84" s="59">
        <v>10</v>
      </c>
      <c r="C84" s="60" t="s">
        <v>135</v>
      </c>
      <c r="D84" s="59" t="s">
        <v>3286</v>
      </c>
      <c r="E84" s="59" t="s">
        <v>3287</v>
      </c>
      <c r="F84" s="59"/>
      <c r="G84" s="59" t="s">
        <v>340</v>
      </c>
      <c r="H84" s="59" t="s">
        <v>348</v>
      </c>
      <c r="I84" s="59">
        <v>20</v>
      </c>
      <c r="J84" s="61">
        <v>2.5857638888888888E-2</v>
      </c>
      <c r="K84" s="61">
        <v>2.8518518518518519E-3</v>
      </c>
      <c r="L84" s="61">
        <v>5.6390046296296299E-2</v>
      </c>
      <c r="M84" s="61">
        <v>4.5833333333333332E-4</v>
      </c>
      <c r="N84" s="61">
        <v>3.3567129629629627E-2</v>
      </c>
      <c r="O84" s="61">
        <v>0.11912731481481482</v>
      </c>
      <c r="P84" s="59" t="s">
        <v>3288</v>
      </c>
      <c r="Q84" s="8">
        <f t="shared" si="1"/>
        <v>682</v>
      </c>
      <c r="R84" s="14"/>
      <c r="S84" s="8"/>
      <c r="T84" s="8"/>
    </row>
    <row r="85" spans="1:20" ht="15.75" customHeight="1">
      <c r="A85" s="59">
        <v>84</v>
      </c>
      <c r="B85" s="59">
        <v>18</v>
      </c>
      <c r="C85" s="60" t="s">
        <v>135</v>
      </c>
      <c r="D85" s="59" t="s">
        <v>308</v>
      </c>
      <c r="E85" s="59" t="s">
        <v>309</v>
      </c>
      <c r="F85" s="59"/>
      <c r="G85" s="59" t="s">
        <v>340</v>
      </c>
      <c r="H85" s="59" t="s">
        <v>420</v>
      </c>
      <c r="I85" s="59">
        <v>6</v>
      </c>
      <c r="J85" s="61">
        <v>2.1732638888888888E-2</v>
      </c>
      <c r="K85" s="61">
        <v>2.5115740740740741E-3</v>
      </c>
      <c r="L85" s="61">
        <v>5.3730324074074076E-2</v>
      </c>
      <c r="M85" s="61">
        <v>1.0486111111111111E-3</v>
      </c>
      <c r="N85" s="61">
        <v>4.0167824074074071E-2</v>
      </c>
      <c r="O85" s="61">
        <v>0.11919444444444444</v>
      </c>
      <c r="P85" s="59" t="s">
        <v>3289</v>
      </c>
      <c r="Q85" s="8">
        <f t="shared" si="1"/>
        <v>682</v>
      </c>
      <c r="R85" s="14"/>
      <c r="S85" s="8"/>
      <c r="T85" s="8"/>
    </row>
    <row r="86" spans="1:20" ht="15.75" customHeight="1">
      <c r="A86" s="59">
        <v>85</v>
      </c>
      <c r="B86" s="59">
        <v>66</v>
      </c>
      <c r="C86" s="60" t="s">
        <v>135</v>
      </c>
      <c r="D86" s="59" t="s">
        <v>3017</v>
      </c>
      <c r="E86" s="59" t="s">
        <v>3018</v>
      </c>
      <c r="F86" s="59" t="s">
        <v>3019</v>
      </c>
      <c r="G86" s="59" t="s">
        <v>340</v>
      </c>
      <c r="H86" s="59" t="s">
        <v>348</v>
      </c>
      <c r="I86" s="59">
        <v>21</v>
      </c>
      <c r="J86" s="61">
        <v>2.5577546296296296E-2</v>
      </c>
      <c r="K86" s="61">
        <v>3.1064814814814813E-3</v>
      </c>
      <c r="L86" s="61">
        <v>5.4758101851851856E-2</v>
      </c>
      <c r="M86" s="61">
        <v>7.6157407407407402E-4</v>
      </c>
      <c r="N86" s="61">
        <v>3.5847222222222218E-2</v>
      </c>
      <c r="O86" s="61">
        <v>0.12005324074074074</v>
      </c>
      <c r="P86" s="59" t="s">
        <v>3290</v>
      </c>
      <c r="Q86" s="8">
        <f t="shared" si="1"/>
        <v>677</v>
      </c>
      <c r="R86" s="14"/>
      <c r="S86" s="8"/>
      <c r="T86" s="8"/>
    </row>
    <row r="87" spans="1:20" ht="15.75" customHeight="1">
      <c r="A87" s="59">
        <v>86</v>
      </c>
      <c r="B87" s="59">
        <v>29</v>
      </c>
      <c r="C87" s="60" t="s">
        <v>135</v>
      </c>
      <c r="D87" s="59" t="s">
        <v>3291</v>
      </c>
      <c r="E87" s="59" t="s">
        <v>3292</v>
      </c>
      <c r="F87" s="59"/>
      <c r="G87" s="59" t="s">
        <v>340</v>
      </c>
      <c r="H87" s="59" t="s">
        <v>352</v>
      </c>
      <c r="I87" s="59">
        <v>11</v>
      </c>
      <c r="J87" s="61">
        <v>2.3418981481481482E-2</v>
      </c>
      <c r="K87" s="61">
        <v>2.0462962962962965E-3</v>
      </c>
      <c r="L87" s="61">
        <v>5.6518518518518517E-2</v>
      </c>
      <c r="M87" s="61">
        <v>1.1087962962962963E-3</v>
      </c>
      <c r="N87" s="61">
        <v>3.7261574074074072E-2</v>
      </c>
      <c r="O87" s="61">
        <v>0.12035648148148147</v>
      </c>
      <c r="P87" s="59" t="s">
        <v>3293</v>
      </c>
      <c r="Q87" s="8">
        <f t="shared" si="1"/>
        <v>675</v>
      </c>
      <c r="R87" s="14"/>
      <c r="S87" s="8"/>
      <c r="T87" s="8"/>
    </row>
    <row r="88" spans="1:20" ht="15.75" customHeight="1">
      <c r="A88" s="59">
        <v>87</v>
      </c>
      <c r="B88" s="59">
        <v>3</v>
      </c>
      <c r="C88" s="60" t="s">
        <v>135</v>
      </c>
      <c r="D88" s="59" t="s">
        <v>898</v>
      </c>
      <c r="E88" s="59" t="s">
        <v>899</v>
      </c>
      <c r="F88" s="59" t="s">
        <v>3294</v>
      </c>
      <c r="G88" s="59" t="s">
        <v>340</v>
      </c>
      <c r="H88" s="59" t="s">
        <v>348</v>
      </c>
      <c r="I88" s="59">
        <v>22</v>
      </c>
      <c r="J88" s="61">
        <v>2.3697916666666666E-2</v>
      </c>
      <c r="K88" s="61">
        <v>1.9328703703703704E-3</v>
      </c>
      <c r="L88" s="61">
        <v>5.9371527777777773E-2</v>
      </c>
      <c r="M88" s="61">
        <v>8.9814814814814813E-4</v>
      </c>
      <c r="N88" s="61">
        <v>3.4740740740740739E-2</v>
      </c>
      <c r="O88" s="61">
        <v>0.12064467592592594</v>
      </c>
      <c r="P88" s="59" t="s">
        <v>3295</v>
      </c>
      <c r="Q88" s="8">
        <f t="shared" si="1"/>
        <v>673</v>
      </c>
      <c r="R88" s="14"/>
      <c r="S88" s="8"/>
      <c r="T88" s="8"/>
    </row>
    <row r="89" spans="1:20" ht="15.75" customHeight="1">
      <c r="A89" s="59">
        <v>88</v>
      </c>
      <c r="B89" s="59">
        <v>8</v>
      </c>
      <c r="C89" s="60" t="s">
        <v>135</v>
      </c>
      <c r="D89" s="59" t="s">
        <v>3296</v>
      </c>
      <c r="E89" s="59" t="s">
        <v>3297</v>
      </c>
      <c r="F89" s="59"/>
      <c r="G89" s="59" t="s">
        <v>319</v>
      </c>
      <c r="H89" s="59" t="s">
        <v>139</v>
      </c>
      <c r="I89" s="59">
        <v>1</v>
      </c>
      <c r="J89" s="61">
        <v>2.3907407407407405E-2</v>
      </c>
      <c r="K89" s="61">
        <v>1.7534722222222222E-3</v>
      </c>
      <c r="L89" s="61">
        <v>6.0663194444444443E-2</v>
      </c>
      <c r="M89" s="61">
        <v>8.599537037037037E-4</v>
      </c>
      <c r="N89" s="61">
        <v>3.3748842592592594E-2</v>
      </c>
      <c r="O89" s="61">
        <v>0.12093518518518517</v>
      </c>
      <c r="P89" s="59" t="s">
        <v>3298</v>
      </c>
      <c r="Q89" s="8">
        <f t="shared" si="1"/>
        <v>672</v>
      </c>
      <c r="R89" s="14"/>
      <c r="S89" s="8"/>
      <c r="T89" s="8"/>
    </row>
    <row r="90" spans="1:20" ht="15.75" customHeight="1">
      <c r="A90" s="59">
        <v>89</v>
      </c>
      <c r="B90" s="59">
        <v>63</v>
      </c>
      <c r="C90" s="60" t="s">
        <v>135</v>
      </c>
      <c r="D90" s="59" t="s">
        <v>3299</v>
      </c>
      <c r="E90" s="59" t="s">
        <v>3300</v>
      </c>
      <c r="F90" s="59" t="s">
        <v>189</v>
      </c>
      <c r="G90" s="59" t="s">
        <v>319</v>
      </c>
      <c r="H90" s="59" t="s">
        <v>139</v>
      </c>
      <c r="I90" s="59">
        <v>2</v>
      </c>
      <c r="J90" s="61">
        <v>2.3375E-2</v>
      </c>
      <c r="K90" s="61">
        <v>1.5277777777777779E-3</v>
      </c>
      <c r="L90" s="61">
        <v>5.7420138888888896E-2</v>
      </c>
      <c r="M90" s="61">
        <v>6.3310185185185192E-4</v>
      </c>
      <c r="N90" s="61">
        <v>3.8795138888888893E-2</v>
      </c>
      <c r="O90" s="61">
        <v>0.12175231481481481</v>
      </c>
      <c r="P90" s="59" t="s">
        <v>3301</v>
      </c>
      <c r="Q90" s="8">
        <f t="shared" si="1"/>
        <v>667</v>
      </c>
      <c r="R90" s="14"/>
      <c r="S90" s="8"/>
      <c r="T90" s="8"/>
    </row>
    <row r="91" spans="1:20" ht="15.75" customHeight="1">
      <c r="A91" s="59">
        <v>90</v>
      </c>
      <c r="B91" s="59">
        <v>75</v>
      </c>
      <c r="C91" s="60" t="s">
        <v>135</v>
      </c>
      <c r="D91" s="59" t="s">
        <v>942</v>
      </c>
      <c r="E91" s="59" t="s">
        <v>943</v>
      </c>
      <c r="F91" s="59" t="s">
        <v>189</v>
      </c>
      <c r="G91" s="59" t="s">
        <v>319</v>
      </c>
      <c r="H91" s="59" t="s">
        <v>139</v>
      </c>
      <c r="I91" s="59">
        <v>3</v>
      </c>
      <c r="J91" s="61">
        <v>2.3614583333333331E-2</v>
      </c>
      <c r="K91" s="61">
        <v>1.8310185185185183E-3</v>
      </c>
      <c r="L91" s="61">
        <v>5.7131944444444444E-2</v>
      </c>
      <c r="M91" s="61">
        <v>1.1192129629629629E-3</v>
      </c>
      <c r="N91" s="61">
        <v>3.9155092592592596E-2</v>
      </c>
      <c r="O91" s="61">
        <v>0.12285532407407408</v>
      </c>
      <c r="P91" s="59" t="s">
        <v>3302</v>
      </c>
      <c r="Q91" s="8">
        <f t="shared" si="1"/>
        <v>661</v>
      </c>
      <c r="R91" s="14"/>
      <c r="S91" s="8"/>
      <c r="T91" s="8"/>
    </row>
    <row r="92" spans="1:20" ht="15.75" customHeight="1">
      <c r="A92" s="59">
        <v>91</v>
      </c>
      <c r="B92" s="59">
        <v>85</v>
      </c>
      <c r="C92" s="60" t="s">
        <v>135</v>
      </c>
      <c r="D92" s="59" t="s">
        <v>2536</v>
      </c>
      <c r="E92" s="59" t="s">
        <v>2537</v>
      </c>
      <c r="F92" s="59"/>
      <c r="G92" s="59" t="s">
        <v>340</v>
      </c>
      <c r="H92" s="59" t="s">
        <v>348</v>
      </c>
      <c r="I92" s="59">
        <v>23</v>
      </c>
      <c r="J92" s="61">
        <v>2.3034722222222224E-2</v>
      </c>
      <c r="K92" s="61">
        <v>1.8935185185185186E-3</v>
      </c>
      <c r="L92" s="61">
        <v>6.1371527777777775E-2</v>
      </c>
      <c r="M92" s="61">
        <v>1.0810185185185185E-3</v>
      </c>
      <c r="N92" s="61">
        <v>3.6528935185185185E-2</v>
      </c>
      <c r="O92" s="61">
        <v>0.12391087962962963</v>
      </c>
      <c r="P92" s="59" t="s">
        <v>3303</v>
      </c>
      <c r="Q92" s="8">
        <f t="shared" si="1"/>
        <v>656</v>
      </c>
      <c r="R92" s="14"/>
      <c r="S92" s="8"/>
      <c r="T92" s="8"/>
    </row>
    <row r="93" spans="1:20" ht="15.75" customHeight="1">
      <c r="A93" s="59">
        <v>92</v>
      </c>
      <c r="B93" s="59">
        <v>16</v>
      </c>
      <c r="C93" s="60" t="s">
        <v>135</v>
      </c>
      <c r="D93" s="59" t="s">
        <v>3304</v>
      </c>
      <c r="E93" s="59" t="s">
        <v>3305</v>
      </c>
      <c r="F93" s="59" t="s">
        <v>3306</v>
      </c>
      <c r="G93" s="59" t="s">
        <v>340</v>
      </c>
      <c r="H93" s="59" t="s">
        <v>348</v>
      </c>
      <c r="I93" s="59">
        <v>24</v>
      </c>
      <c r="J93" s="61">
        <v>2.8461805555555556E-2</v>
      </c>
      <c r="K93" s="61">
        <v>3.2685185185185183E-3</v>
      </c>
      <c r="L93" s="61">
        <v>5.7033564814814815E-2</v>
      </c>
      <c r="M93" s="61">
        <v>1.224537037037037E-3</v>
      </c>
      <c r="N93" s="61">
        <v>3.4192129629629628E-2</v>
      </c>
      <c r="O93" s="61">
        <v>0.12418171296296296</v>
      </c>
      <c r="P93" s="59" t="s">
        <v>3307</v>
      </c>
      <c r="Q93" s="8">
        <f t="shared" si="1"/>
        <v>654</v>
      </c>
      <c r="R93" s="14"/>
      <c r="S93" s="8"/>
      <c r="T93" s="8"/>
    </row>
    <row r="94" spans="1:20" ht="15.75" customHeight="1">
      <c r="A94" s="59">
        <v>93</v>
      </c>
      <c r="B94" s="59">
        <v>102</v>
      </c>
      <c r="C94" s="60" t="s">
        <v>135</v>
      </c>
      <c r="D94" s="59" t="s">
        <v>3308</v>
      </c>
      <c r="E94" s="59" t="s">
        <v>3309</v>
      </c>
      <c r="F94" s="59"/>
      <c r="G94" s="59" t="s">
        <v>340</v>
      </c>
      <c r="H94" s="59" t="s">
        <v>348</v>
      </c>
      <c r="I94" s="59">
        <v>25</v>
      </c>
      <c r="J94" s="61">
        <v>2.4874999999999998E-2</v>
      </c>
      <c r="K94" s="61">
        <v>1.8090277777777779E-3</v>
      </c>
      <c r="L94" s="61">
        <v>5.6122685185185185E-2</v>
      </c>
      <c r="M94" s="61">
        <v>6.6319444444444444E-4</v>
      </c>
      <c r="N94" s="61">
        <v>4.0865740740740744E-2</v>
      </c>
      <c r="O94" s="61">
        <v>0.12433796296296296</v>
      </c>
      <c r="P94" s="59" t="s">
        <v>3310</v>
      </c>
      <c r="Q94" s="8">
        <f t="shared" si="1"/>
        <v>653</v>
      </c>
      <c r="R94" s="14"/>
      <c r="S94" s="8"/>
      <c r="T94" s="8"/>
    </row>
    <row r="95" spans="1:20" ht="15.75" customHeight="1">
      <c r="A95" s="59">
        <v>94</v>
      </c>
      <c r="B95" s="59">
        <v>81</v>
      </c>
      <c r="C95" s="60" t="s">
        <v>135</v>
      </c>
      <c r="D95" s="59" t="s">
        <v>1861</v>
      </c>
      <c r="E95" s="59" t="s">
        <v>1862</v>
      </c>
      <c r="F95" s="59"/>
      <c r="G95" s="59" t="s">
        <v>319</v>
      </c>
      <c r="H95" s="59" t="s">
        <v>139</v>
      </c>
      <c r="I95" s="59">
        <v>4</v>
      </c>
      <c r="J95" s="61">
        <v>2.5739583333333333E-2</v>
      </c>
      <c r="K95" s="61">
        <v>1.6296296296296297E-3</v>
      </c>
      <c r="L95" s="61">
        <v>6.138194444444444E-2</v>
      </c>
      <c r="M95" s="61">
        <v>7.0949074074074068E-4</v>
      </c>
      <c r="N95" s="61">
        <v>3.5249999999999997E-2</v>
      </c>
      <c r="O95" s="61">
        <v>0.12471180555555555</v>
      </c>
      <c r="P95" s="59" t="s">
        <v>3311</v>
      </c>
      <c r="Q95" s="8">
        <f t="shared" si="1"/>
        <v>651</v>
      </c>
      <c r="R95" s="14"/>
      <c r="S95" s="8"/>
      <c r="T95" s="8"/>
    </row>
    <row r="96" spans="1:20" ht="15.75" customHeight="1">
      <c r="A96" s="59">
        <v>95</v>
      </c>
      <c r="B96" s="59">
        <v>99</v>
      </c>
      <c r="C96" s="60" t="s">
        <v>135</v>
      </c>
      <c r="D96" s="59" t="s">
        <v>2663</v>
      </c>
      <c r="E96" s="59" t="s">
        <v>2664</v>
      </c>
      <c r="F96" s="59" t="s">
        <v>1802</v>
      </c>
      <c r="G96" s="59" t="s">
        <v>319</v>
      </c>
      <c r="H96" s="59" t="s">
        <v>242</v>
      </c>
      <c r="I96" s="59">
        <v>1</v>
      </c>
      <c r="J96" s="61">
        <v>2.8008101851851853E-2</v>
      </c>
      <c r="K96" s="61">
        <v>3.0254629629629629E-3</v>
      </c>
      <c r="L96" s="61">
        <v>6.3069444444444442E-2</v>
      </c>
      <c r="M96" s="61">
        <v>6.3657407407407413E-4</v>
      </c>
      <c r="N96" s="61">
        <v>3.311226851851852E-2</v>
      </c>
      <c r="O96" s="61">
        <v>0.12785300925925927</v>
      </c>
      <c r="P96" s="59" t="s">
        <v>3312</v>
      </c>
      <c r="Q96" s="8">
        <f t="shared" si="1"/>
        <v>635</v>
      </c>
      <c r="R96" s="14"/>
      <c r="S96" s="8"/>
      <c r="T96" s="8"/>
    </row>
    <row r="97" spans="1:20" ht="15.75" customHeight="1">
      <c r="A97" s="59">
        <v>96</v>
      </c>
      <c r="B97" s="59">
        <v>34</v>
      </c>
      <c r="C97" s="60" t="s">
        <v>135</v>
      </c>
      <c r="D97" s="59" t="s">
        <v>3313</v>
      </c>
      <c r="E97" s="59" t="s">
        <v>3314</v>
      </c>
      <c r="F97" s="59"/>
      <c r="G97" s="59" t="s">
        <v>319</v>
      </c>
      <c r="H97" s="59" t="s">
        <v>144</v>
      </c>
      <c r="I97" s="59">
        <v>1</v>
      </c>
      <c r="J97" s="61">
        <v>2.2549768518518518E-2</v>
      </c>
      <c r="K97" s="61">
        <v>1.8101851851851853E-3</v>
      </c>
      <c r="L97" s="61">
        <v>6.1988425925925926E-2</v>
      </c>
      <c r="M97" s="61">
        <v>6.6087962962962964E-4</v>
      </c>
      <c r="N97" s="61">
        <v>4.2399305555555558E-2</v>
      </c>
      <c r="O97" s="61">
        <v>0.12941087962962963</v>
      </c>
      <c r="P97" s="59" t="s">
        <v>3315</v>
      </c>
      <c r="Q97" s="8">
        <f t="shared" si="1"/>
        <v>628</v>
      </c>
      <c r="R97" s="14"/>
      <c r="S97" s="8"/>
      <c r="T97" s="8"/>
    </row>
    <row r="98" spans="1:20" ht="15.75" customHeight="1">
      <c r="A98" s="59">
        <v>97</v>
      </c>
      <c r="B98" s="59">
        <v>112</v>
      </c>
      <c r="C98" s="60" t="s">
        <v>135</v>
      </c>
      <c r="D98" s="59" t="s">
        <v>1003</v>
      </c>
      <c r="E98" s="59" t="s">
        <v>1004</v>
      </c>
      <c r="F98" s="59" t="s">
        <v>1005</v>
      </c>
      <c r="G98" s="59" t="s">
        <v>319</v>
      </c>
      <c r="H98" s="59" t="s">
        <v>163</v>
      </c>
      <c r="I98" s="59">
        <v>1</v>
      </c>
      <c r="J98" s="61">
        <v>2.538773148148148E-2</v>
      </c>
      <c r="K98" s="61">
        <v>2.3981481481481479E-3</v>
      </c>
      <c r="L98" s="61">
        <v>6.0068287037037031E-2</v>
      </c>
      <c r="M98" s="61">
        <v>6.5277777777777773E-4</v>
      </c>
      <c r="N98" s="61">
        <v>4.4885416666666664E-2</v>
      </c>
      <c r="O98" s="61">
        <v>0.13339351851851852</v>
      </c>
      <c r="P98" s="59" t="s">
        <v>3316</v>
      </c>
      <c r="Q98" s="8">
        <f t="shared" si="1"/>
        <v>609</v>
      </c>
      <c r="R98" s="14"/>
      <c r="S98" s="8"/>
      <c r="T98" s="8"/>
    </row>
    <row r="99" spans="1:20" ht="15.75" customHeight="1">
      <c r="A99" s="59">
        <v>98</v>
      </c>
      <c r="B99" s="59">
        <v>103</v>
      </c>
      <c r="C99" s="60" t="s">
        <v>135</v>
      </c>
      <c r="D99" s="59" t="s">
        <v>3317</v>
      </c>
      <c r="E99" s="59" t="s">
        <v>3318</v>
      </c>
      <c r="F99" s="59"/>
      <c r="G99" s="59" t="s">
        <v>340</v>
      </c>
      <c r="H99" s="59" t="s">
        <v>352</v>
      </c>
      <c r="I99" s="59">
        <v>12</v>
      </c>
      <c r="J99" s="61">
        <v>3.0545138888888889E-2</v>
      </c>
      <c r="K99" s="61">
        <v>1.925925925925926E-3</v>
      </c>
      <c r="L99" s="61">
        <v>5.989120370370371E-2</v>
      </c>
      <c r="M99" s="61">
        <v>9.4212962962962968E-4</v>
      </c>
      <c r="N99" s="61">
        <v>4.0107638888888894E-2</v>
      </c>
      <c r="O99" s="61">
        <v>0.13341435185185185</v>
      </c>
      <c r="P99" s="59" t="s">
        <v>3319</v>
      </c>
      <c r="Q99" s="8">
        <f t="shared" si="1"/>
        <v>609</v>
      </c>
      <c r="R99" s="14"/>
      <c r="S99" s="8"/>
      <c r="T99" s="8"/>
    </row>
    <row r="100" spans="1:20" ht="15.75" customHeight="1">
      <c r="A100" s="59">
        <v>99</v>
      </c>
      <c r="B100" s="59">
        <v>31</v>
      </c>
      <c r="C100" s="60" t="s">
        <v>135</v>
      </c>
      <c r="D100" s="59" t="s">
        <v>680</v>
      </c>
      <c r="E100" s="59" t="s">
        <v>681</v>
      </c>
      <c r="F100" s="59" t="s">
        <v>199</v>
      </c>
      <c r="G100" s="59" t="s">
        <v>319</v>
      </c>
      <c r="H100" s="59" t="s">
        <v>139</v>
      </c>
      <c r="I100" s="59">
        <v>5</v>
      </c>
      <c r="J100" s="61">
        <v>2.8753472222222225E-2</v>
      </c>
      <c r="K100" s="61">
        <v>2.3564814814814815E-3</v>
      </c>
      <c r="L100" s="61">
        <v>6.3721064814814821E-2</v>
      </c>
      <c r="M100" s="61">
        <v>7.418981481481481E-4</v>
      </c>
      <c r="N100" s="61">
        <v>3.8473379629629628E-2</v>
      </c>
      <c r="O100" s="61">
        <v>0.13404976851851852</v>
      </c>
      <c r="P100" s="59" t="s">
        <v>3320</v>
      </c>
      <c r="Q100" s="8">
        <f t="shared" si="1"/>
        <v>606</v>
      </c>
      <c r="R100" s="14"/>
      <c r="S100" s="8"/>
      <c r="T100" s="8"/>
    </row>
    <row r="101" spans="1:20" ht="15.75" customHeight="1">
      <c r="A101" s="59">
        <v>100</v>
      </c>
      <c r="B101" s="59">
        <v>15</v>
      </c>
      <c r="C101" s="60" t="s">
        <v>135</v>
      </c>
      <c r="D101" s="59" t="s">
        <v>2246</v>
      </c>
      <c r="E101" s="59" t="s">
        <v>2247</v>
      </c>
      <c r="F101" s="59" t="s">
        <v>2248</v>
      </c>
      <c r="G101" s="59" t="s">
        <v>340</v>
      </c>
      <c r="H101" s="59" t="s">
        <v>448</v>
      </c>
      <c r="I101" s="59">
        <v>3</v>
      </c>
      <c r="J101" s="61">
        <v>2.543865740740741E-2</v>
      </c>
      <c r="K101" s="61">
        <v>1.7233796296296296E-3</v>
      </c>
      <c r="L101" s="61">
        <v>5.7203703703703701E-2</v>
      </c>
      <c r="M101" s="61">
        <v>1.210648148148148E-3</v>
      </c>
      <c r="N101" s="61">
        <v>4.9998842592592588E-2</v>
      </c>
      <c r="O101" s="61">
        <v>0.13557638888888887</v>
      </c>
      <c r="P101" s="59" t="s">
        <v>3321</v>
      </c>
      <c r="Q101" s="8">
        <f t="shared" si="1"/>
        <v>599</v>
      </c>
      <c r="R101" s="14"/>
      <c r="S101" s="8"/>
      <c r="T101" s="8"/>
    </row>
    <row r="102" spans="1:20" ht="15.75" customHeight="1">
      <c r="A102" s="59">
        <v>101</v>
      </c>
      <c r="B102" s="59">
        <v>77</v>
      </c>
      <c r="C102" s="60" t="s">
        <v>135</v>
      </c>
      <c r="D102" s="59" t="s">
        <v>1203</v>
      </c>
      <c r="E102" s="59" t="s">
        <v>1204</v>
      </c>
      <c r="F102" s="59"/>
      <c r="G102" s="59" t="s">
        <v>340</v>
      </c>
      <c r="H102" s="59" t="s">
        <v>448</v>
      </c>
      <c r="I102" s="59">
        <v>4</v>
      </c>
      <c r="J102" s="61">
        <v>3.0527777777777775E-2</v>
      </c>
      <c r="K102" s="61">
        <v>2.359953703703704E-3</v>
      </c>
      <c r="L102" s="61">
        <v>5.9363425925925924E-2</v>
      </c>
      <c r="M102" s="61">
        <v>3.9351851851851852E-4</v>
      </c>
      <c r="N102" s="61">
        <v>4.6388888888888889E-2</v>
      </c>
      <c r="O102" s="61">
        <v>0.13903472222222224</v>
      </c>
      <c r="P102" s="59" t="s">
        <v>3322</v>
      </c>
      <c r="Q102" s="8">
        <f t="shared" si="1"/>
        <v>584</v>
      </c>
      <c r="R102" s="14"/>
      <c r="S102" s="8"/>
      <c r="T102" s="8"/>
    </row>
    <row r="103" spans="1:20" ht="15.75" customHeight="1">
      <c r="A103" s="59">
        <v>102</v>
      </c>
      <c r="B103" s="59">
        <v>68</v>
      </c>
      <c r="C103" s="60" t="s">
        <v>135</v>
      </c>
      <c r="D103" s="59" t="s">
        <v>327</v>
      </c>
      <c r="E103" s="59" t="s">
        <v>328</v>
      </c>
      <c r="F103" s="59"/>
      <c r="G103" s="59" t="s">
        <v>340</v>
      </c>
      <c r="H103" s="59" t="s">
        <v>348</v>
      </c>
      <c r="I103" s="59">
        <v>26</v>
      </c>
      <c r="J103" s="61">
        <v>2.3942129629629629E-2</v>
      </c>
      <c r="K103" s="61">
        <v>1.212962962962963E-3</v>
      </c>
      <c r="L103" s="61">
        <v>6.0048611111111108E-2</v>
      </c>
      <c r="M103" s="61">
        <v>5.6365740740740747E-4</v>
      </c>
      <c r="N103" s="61">
        <v>5.6028935185185182E-2</v>
      </c>
      <c r="O103" s="61">
        <v>0.14179861111111111</v>
      </c>
      <c r="P103" s="59" t="s">
        <v>3323</v>
      </c>
      <c r="Q103" s="8">
        <f t="shared" si="1"/>
        <v>573</v>
      </c>
      <c r="R103" s="14"/>
      <c r="S103" s="8"/>
      <c r="T103" s="8"/>
    </row>
    <row r="104" spans="1:20" ht="15.75" customHeight="1">
      <c r="A104" s="59"/>
      <c r="B104" s="59"/>
      <c r="C104" s="60"/>
      <c r="D104" s="59"/>
      <c r="E104" s="59"/>
      <c r="F104" s="59"/>
      <c r="G104" s="59"/>
      <c r="H104" s="59"/>
      <c r="I104" s="59"/>
      <c r="J104" s="61"/>
      <c r="K104" s="61"/>
      <c r="L104" s="61"/>
      <c r="M104" s="61"/>
      <c r="N104" s="61"/>
      <c r="O104" s="61"/>
      <c r="P104" s="59"/>
      <c r="Q104" s="8"/>
      <c r="R104" s="14"/>
      <c r="S104" s="8"/>
      <c r="T104" s="8"/>
    </row>
    <row r="105" spans="1:20" ht="15.75" customHeight="1">
      <c r="A105" s="59">
        <v>1</v>
      </c>
      <c r="B105" s="59">
        <v>242</v>
      </c>
      <c r="C105" s="60" t="s">
        <v>135</v>
      </c>
      <c r="D105" s="59" t="s">
        <v>1032</v>
      </c>
      <c r="E105" s="59" t="s">
        <v>1033</v>
      </c>
      <c r="F105" s="59" t="s">
        <v>2706</v>
      </c>
      <c r="G105" s="59" t="s">
        <v>340</v>
      </c>
      <c r="H105" s="59" t="s">
        <v>344</v>
      </c>
      <c r="I105" s="59"/>
      <c r="J105" s="61">
        <v>8.4201388888888885E-3</v>
      </c>
      <c r="K105" s="61">
        <v>5.4629629629629635E-4</v>
      </c>
      <c r="L105" s="61">
        <v>2.2254629629629628E-2</v>
      </c>
      <c r="M105" s="61">
        <v>3.8078703703703701E-4</v>
      </c>
      <c r="N105" s="61">
        <v>1.6518518518518519E-2</v>
      </c>
      <c r="O105" s="61">
        <v>4.8123842592592586E-2</v>
      </c>
      <c r="P105" s="59"/>
      <c r="Q105" s="8">
        <f>IFERROR(ROUND($O$105/O105*900,0),0)</f>
        <v>900</v>
      </c>
      <c r="R105" s="14"/>
      <c r="S105" s="8"/>
      <c r="T105" s="8"/>
    </row>
    <row r="106" spans="1:20" ht="15.75" customHeight="1">
      <c r="A106" s="59">
        <v>2</v>
      </c>
      <c r="B106" s="59">
        <v>187</v>
      </c>
      <c r="C106" s="60" t="s">
        <v>135</v>
      </c>
      <c r="D106" s="59" t="s">
        <v>701</v>
      </c>
      <c r="E106" s="59" t="s">
        <v>702</v>
      </c>
      <c r="F106" s="59" t="s">
        <v>199</v>
      </c>
      <c r="G106" s="59" t="s">
        <v>340</v>
      </c>
      <c r="H106" s="59" t="s">
        <v>344</v>
      </c>
      <c r="I106" s="59"/>
      <c r="J106" s="61">
        <v>7.5856481481481478E-3</v>
      </c>
      <c r="K106" s="61">
        <v>1.0127314814814814E-3</v>
      </c>
      <c r="L106" s="61">
        <v>2.2313657407407407E-2</v>
      </c>
      <c r="M106" s="61">
        <v>4.0162037037037038E-4</v>
      </c>
      <c r="N106" s="61">
        <v>1.7368055555555553E-2</v>
      </c>
      <c r="O106" s="61">
        <v>4.8684027777777777E-2</v>
      </c>
      <c r="P106" s="59">
        <v>48.4</v>
      </c>
      <c r="Q106" s="8">
        <f t="shared" ref="Q106:Q169" si="2">IFERROR(ROUND($O$105/O106*900,0),0)</f>
        <v>890</v>
      </c>
      <c r="R106" s="14"/>
      <c r="S106" s="8"/>
      <c r="T106" s="8"/>
    </row>
    <row r="107" spans="1:20" ht="15.75" customHeight="1">
      <c r="A107" s="59">
        <v>3</v>
      </c>
      <c r="B107" s="59">
        <v>223</v>
      </c>
      <c r="C107" s="60" t="s">
        <v>135</v>
      </c>
      <c r="D107" s="59" t="s">
        <v>3324</v>
      </c>
      <c r="E107" s="59" t="s">
        <v>3325</v>
      </c>
      <c r="F107" s="59" t="s">
        <v>138</v>
      </c>
      <c r="G107" s="59" t="s">
        <v>340</v>
      </c>
      <c r="H107" s="59" t="s">
        <v>357</v>
      </c>
      <c r="I107" s="59"/>
      <c r="J107" s="61">
        <v>9.0196759259259258E-3</v>
      </c>
      <c r="K107" s="61">
        <v>7.6736111111111113E-4</v>
      </c>
      <c r="L107" s="61">
        <v>2.3184027777777776E-2</v>
      </c>
      <c r="M107" s="61">
        <v>3.4259259259259263E-4</v>
      </c>
      <c r="N107" s="61">
        <v>1.687962962962963E-2</v>
      </c>
      <c r="O107" s="61">
        <v>5.019675925925926E-2</v>
      </c>
      <c r="P107" s="59" t="s">
        <v>3326</v>
      </c>
      <c r="Q107" s="8">
        <f t="shared" si="2"/>
        <v>863</v>
      </c>
      <c r="R107" s="14"/>
      <c r="S107" s="8"/>
      <c r="T107" s="8"/>
    </row>
    <row r="108" spans="1:20" ht="15.75" customHeight="1">
      <c r="A108" s="59">
        <v>4</v>
      </c>
      <c r="B108" s="59">
        <v>239</v>
      </c>
      <c r="C108" s="60" t="s">
        <v>135</v>
      </c>
      <c r="D108" s="59" t="s">
        <v>171</v>
      </c>
      <c r="E108" s="59" t="s">
        <v>172</v>
      </c>
      <c r="F108" s="59" t="s">
        <v>173</v>
      </c>
      <c r="G108" s="59" t="s">
        <v>340</v>
      </c>
      <c r="H108" s="59" t="s">
        <v>641</v>
      </c>
      <c r="I108" s="59">
        <v>1</v>
      </c>
      <c r="J108" s="61">
        <v>7.2037037037037035E-3</v>
      </c>
      <c r="K108" s="61">
        <v>4.861111111111111E-4</v>
      </c>
      <c r="L108" s="61">
        <v>2.5478009259259263E-2</v>
      </c>
      <c r="M108" s="61">
        <v>2.1643518518518518E-4</v>
      </c>
      <c r="N108" s="61">
        <v>1.7052083333333332E-2</v>
      </c>
      <c r="O108" s="61">
        <v>5.0439814814814812E-2</v>
      </c>
      <c r="P108" s="59" t="s">
        <v>3327</v>
      </c>
      <c r="Q108" s="8">
        <f t="shared" si="2"/>
        <v>859</v>
      </c>
      <c r="R108" s="14"/>
      <c r="S108" s="8"/>
      <c r="T108" s="8"/>
    </row>
    <row r="109" spans="1:20" ht="15.75" customHeight="1">
      <c r="A109" s="59">
        <v>5</v>
      </c>
      <c r="B109" s="59">
        <v>202</v>
      </c>
      <c r="C109" s="60" t="s">
        <v>135</v>
      </c>
      <c r="D109" s="59" t="s">
        <v>1563</v>
      </c>
      <c r="E109" s="59" t="s">
        <v>1564</v>
      </c>
      <c r="F109" s="59" t="s">
        <v>203</v>
      </c>
      <c r="G109" s="59" t="s">
        <v>340</v>
      </c>
      <c r="H109" s="59" t="s">
        <v>348</v>
      </c>
      <c r="I109" s="59">
        <v>1</v>
      </c>
      <c r="J109" s="61">
        <v>9.6828703703703712E-3</v>
      </c>
      <c r="K109" s="61">
        <v>9.756944444444444E-4</v>
      </c>
      <c r="L109" s="61">
        <v>2.3201388888888889E-2</v>
      </c>
      <c r="M109" s="61">
        <v>3.5532407407407409E-4</v>
      </c>
      <c r="N109" s="61">
        <v>1.6398148148148148E-2</v>
      </c>
      <c r="O109" s="61">
        <v>5.0615740740740739E-2</v>
      </c>
      <c r="P109" s="59" t="s">
        <v>3328</v>
      </c>
      <c r="Q109" s="8">
        <f t="shared" si="2"/>
        <v>856</v>
      </c>
      <c r="R109" s="14"/>
      <c r="S109" s="8"/>
      <c r="T109" s="8"/>
    </row>
    <row r="110" spans="1:20" ht="15.75" customHeight="1">
      <c r="A110" s="59">
        <v>6</v>
      </c>
      <c r="B110" s="59">
        <v>240</v>
      </c>
      <c r="C110" s="60" t="s">
        <v>135</v>
      </c>
      <c r="D110" s="59" t="s">
        <v>2061</v>
      </c>
      <c r="E110" s="59" t="s">
        <v>2062</v>
      </c>
      <c r="F110" s="59" t="s">
        <v>3329</v>
      </c>
      <c r="G110" s="59" t="s">
        <v>340</v>
      </c>
      <c r="H110" s="59" t="s">
        <v>641</v>
      </c>
      <c r="I110" s="59">
        <v>2</v>
      </c>
      <c r="J110" s="61">
        <v>7.270833333333334E-3</v>
      </c>
      <c r="K110" s="61">
        <v>3.6111111111111109E-4</v>
      </c>
      <c r="L110" s="61">
        <v>2.432638888888889E-2</v>
      </c>
      <c r="M110" s="61">
        <v>3.1712962962962961E-4</v>
      </c>
      <c r="N110" s="61">
        <v>1.8624999999999999E-2</v>
      </c>
      <c r="O110" s="61">
        <v>5.0902777777777776E-2</v>
      </c>
      <c r="P110" s="59" t="s">
        <v>3330</v>
      </c>
      <c r="Q110" s="8">
        <f t="shared" si="2"/>
        <v>851</v>
      </c>
      <c r="R110" s="14"/>
      <c r="S110" s="8"/>
      <c r="T110" s="8"/>
    </row>
    <row r="111" spans="1:20" ht="15.75" customHeight="1">
      <c r="A111" s="59">
        <v>7</v>
      </c>
      <c r="B111" s="59">
        <v>230</v>
      </c>
      <c r="C111" s="60" t="s">
        <v>135</v>
      </c>
      <c r="D111" s="59" t="s">
        <v>711</v>
      </c>
      <c r="E111" s="59" t="s">
        <v>712</v>
      </c>
      <c r="F111" s="59" t="s">
        <v>2085</v>
      </c>
      <c r="G111" s="59" t="s">
        <v>340</v>
      </c>
      <c r="H111" s="59" t="s">
        <v>341</v>
      </c>
      <c r="I111" s="59">
        <v>1</v>
      </c>
      <c r="J111" s="61">
        <v>9.5787037037037039E-3</v>
      </c>
      <c r="K111" s="61">
        <v>6.4467592592592593E-4</v>
      </c>
      <c r="L111" s="61">
        <v>2.1952546296296296E-2</v>
      </c>
      <c r="M111" s="61">
        <v>3.4490740740740743E-4</v>
      </c>
      <c r="N111" s="61">
        <v>1.8655092592592591E-2</v>
      </c>
      <c r="O111" s="61">
        <v>5.1178240740740739E-2</v>
      </c>
      <c r="P111" s="59" t="s">
        <v>3331</v>
      </c>
      <c r="Q111" s="8">
        <f t="shared" si="2"/>
        <v>846</v>
      </c>
      <c r="R111" s="14"/>
      <c r="S111" s="8"/>
      <c r="T111" s="8"/>
    </row>
    <row r="112" spans="1:20" ht="15.75" customHeight="1">
      <c r="A112" s="59">
        <v>8</v>
      </c>
      <c r="B112" s="59">
        <v>162</v>
      </c>
      <c r="C112" s="60" t="s">
        <v>135</v>
      </c>
      <c r="D112" s="59" t="s">
        <v>230</v>
      </c>
      <c r="E112" s="59" t="s">
        <v>231</v>
      </c>
      <c r="F112" s="59" t="s">
        <v>138</v>
      </c>
      <c r="G112" s="59" t="s">
        <v>340</v>
      </c>
      <c r="H112" s="59" t="s">
        <v>344</v>
      </c>
      <c r="I112" s="59">
        <v>1</v>
      </c>
      <c r="J112" s="61">
        <v>9.7986111111111121E-3</v>
      </c>
      <c r="K112" s="61">
        <v>5.1620370370370372E-4</v>
      </c>
      <c r="L112" s="61">
        <v>2.3115740740740742E-2</v>
      </c>
      <c r="M112" s="61">
        <v>3.0208333333333335E-4</v>
      </c>
      <c r="N112" s="61">
        <v>1.7555555555555553E-2</v>
      </c>
      <c r="O112" s="61">
        <v>5.1290509259259258E-2</v>
      </c>
      <c r="P112" s="59" t="s">
        <v>3332</v>
      </c>
      <c r="Q112" s="8">
        <f t="shared" si="2"/>
        <v>844</v>
      </c>
      <c r="R112" s="14"/>
      <c r="S112" s="8"/>
      <c r="T112" s="8"/>
    </row>
    <row r="113" spans="1:20" ht="15.75" customHeight="1">
      <c r="A113" s="59">
        <v>9</v>
      </c>
      <c r="B113" s="59">
        <v>232</v>
      </c>
      <c r="C113" s="60" t="s">
        <v>135</v>
      </c>
      <c r="D113" s="59" t="s">
        <v>739</v>
      </c>
      <c r="E113" s="59" t="s">
        <v>740</v>
      </c>
      <c r="F113" s="59"/>
      <c r="G113" s="59" t="s">
        <v>340</v>
      </c>
      <c r="H113" s="59" t="s">
        <v>344</v>
      </c>
      <c r="I113" s="59">
        <v>2</v>
      </c>
      <c r="J113" s="61">
        <v>8.6423611111111111E-3</v>
      </c>
      <c r="K113" s="61">
        <v>6.3888888888888893E-4</v>
      </c>
      <c r="L113" s="61">
        <v>2.3581018518518519E-2</v>
      </c>
      <c r="M113" s="61">
        <v>3.7268518518518521E-4</v>
      </c>
      <c r="N113" s="61">
        <v>1.840162037037037E-2</v>
      </c>
      <c r="O113" s="61">
        <v>5.1637731481481479E-2</v>
      </c>
      <c r="P113" s="59" t="s">
        <v>3333</v>
      </c>
      <c r="Q113" s="8">
        <f t="shared" si="2"/>
        <v>839</v>
      </c>
      <c r="R113" s="14"/>
      <c r="S113" s="8"/>
      <c r="T113" s="8"/>
    </row>
    <row r="114" spans="1:20" ht="15.75" customHeight="1">
      <c r="A114" s="59">
        <v>10</v>
      </c>
      <c r="B114" s="59">
        <v>215</v>
      </c>
      <c r="C114" s="60" t="s">
        <v>135</v>
      </c>
      <c r="D114" s="59" t="s">
        <v>217</v>
      </c>
      <c r="E114" s="59" t="s">
        <v>218</v>
      </c>
      <c r="F114" s="59" t="s">
        <v>219</v>
      </c>
      <c r="G114" s="59" t="s">
        <v>340</v>
      </c>
      <c r="H114" s="59" t="s">
        <v>344</v>
      </c>
      <c r="I114" s="59">
        <v>3</v>
      </c>
      <c r="J114" s="61">
        <v>9.6030092592592591E-3</v>
      </c>
      <c r="K114" s="61">
        <v>1.0451388888888889E-3</v>
      </c>
      <c r="L114" s="61">
        <v>2.3515046296296298E-2</v>
      </c>
      <c r="M114" s="61">
        <v>3.5532407407407409E-4</v>
      </c>
      <c r="N114" s="61">
        <v>1.7600694444444447E-2</v>
      </c>
      <c r="O114" s="61">
        <v>5.2121527777777781E-2</v>
      </c>
      <c r="P114" s="59" t="s">
        <v>3334</v>
      </c>
      <c r="Q114" s="8">
        <f t="shared" si="2"/>
        <v>831</v>
      </c>
      <c r="R114" s="14"/>
      <c r="S114" s="8"/>
      <c r="T114" s="8"/>
    </row>
    <row r="115" spans="1:20" ht="15.75" customHeight="1">
      <c r="A115" s="59">
        <v>11</v>
      </c>
      <c r="B115" s="59">
        <v>220</v>
      </c>
      <c r="C115" s="60" t="s">
        <v>135</v>
      </c>
      <c r="D115" s="59" t="s">
        <v>749</v>
      </c>
      <c r="E115" s="59" t="s">
        <v>750</v>
      </c>
      <c r="F115" s="59"/>
      <c r="G115" s="59" t="s">
        <v>340</v>
      </c>
      <c r="H115" s="59" t="s">
        <v>344</v>
      </c>
      <c r="I115" s="59">
        <v>4</v>
      </c>
      <c r="J115" s="61">
        <v>8.3888888888888884E-3</v>
      </c>
      <c r="K115" s="61">
        <v>8.6226851851851851E-4</v>
      </c>
      <c r="L115" s="61">
        <v>2.4181712962962964E-2</v>
      </c>
      <c r="M115" s="61">
        <v>3.8888888888888892E-4</v>
      </c>
      <c r="N115" s="61">
        <v>1.8615740740740742E-2</v>
      </c>
      <c r="O115" s="61">
        <v>5.2439814814814814E-2</v>
      </c>
      <c r="P115" s="59" t="s">
        <v>3335</v>
      </c>
      <c r="Q115" s="8">
        <f t="shared" si="2"/>
        <v>826</v>
      </c>
      <c r="R115" s="14"/>
      <c r="S115" s="8"/>
      <c r="T115" s="8"/>
    </row>
    <row r="116" spans="1:20" ht="15.75" customHeight="1">
      <c r="A116" s="59">
        <v>12</v>
      </c>
      <c r="B116" s="59">
        <v>214</v>
      </c>
      <c r="C116" s="60" t="s">
        <v>135</v>
      </c>
      <c r="D116" s="59" t="s">
        <v>756</v>
      </c>
      <c r="E116" s="59" t="s">
        <v>757</v>
      </c>
      <c r="F116" s="59"/>
      <c r="G116" s="59" t="s">
        <v>340</v>
      </c>
      <c r="H116" s="59" t="s">
        <v>357</v>
      </c>
      <c r="I116" s="59">
        <v>1</v>
      </c>
      <c r="J116" s="61">
        <v>1.136226851851852E-2</v>
      </c>
      <c r="K116" s="61">
        <v>7.0370370370370367E-4</v>
      </c>
      <c r="L116" s="61">
        <v>2.2896990740740739E-2</v>
      </c>
      <c r="M116" s="61">
        <v>3.3101851851851852E-4</v>
      </c>
      <c r="N116" s="61">
        <v>1.7555555555555553E-2</v>
      </c>
      <c r="O116" s="61">
        <v>5.2850694444444443E-2</v>
      </c>
      <c r="P116" s="59" t="s">
        <v>3336</v>
      </c>
      <c r="Q116" s="8">
        <f t="shared" si="2"/>
        <v>820</v>
      </c>
      <c r="R116" s="14"/>
      <c r="S116" s="8"/>
      <c r="T116" s="8"/>
    </row>
    <row r="117" spans="1:20" ht="15.75" customHeight="1">
      <c r="A117" s="59">
        <v>13</v>
      </c>
      <c r="B117" s="59">
        <v>205</v>
      </c>
      <c r="C117" s="60" t="s">
        <v>135</v>
      </c>
      <c r="D117" s="59" t="s">
        <v>780</v>
      </c>
      <c r="E117" s="59" t="s">
        <v>781</v>
      </c>
      <c r="F117" s="59" t="s">
        <v>782</v>
      </c>
      <c r="G117" s="59" t="s">
        <v>340</v>
      </c>
      <c r="H117" s="59" t="s">
        <v>344</v>
      </c>
      <c r="I117" s="59">
        <v>5</v>
      </c>
      <c r="J117" s="61">
        <v>7.2268518518518515E-3</v>
      </c>
      <c r="K117" s="61">
        <v>1.3229166666666667E-3</v>
      </c>
      <c r="L117" s="61">
        <v>2.5753472222222223E-2</v>
      </c>
      <c r="M117" s="61">
        <v>3.9120370370370367E-4</v>
      </c>
      <c r="N117" s="61">
        <v>1.8659722222222223E-2</v>
      </c>
      <c r="O117" s="61">
        <v>5.3356481481481484E-2</v>
      </c>
      <c r="P117" s="59" t="s">
        <v>3337</v>
      </c>
      <c r="Q117" s="8">
        <f t="shared" si="2"/>
        <v>812</v>
      </c>
      <c r="R117" s="14"/>
      <c r="S117" s="8"/>
      <c r="T117" s="8"/>
    </row>
    <row r="118" spans="1:20" ht="15.75" customHeight="1">
      <c r="A118" s="59">
        <v>14</v>
      </c>
      <c r="B118" s="59">
        <v>169</v>
      </c>
      <c r="C118" s="60" t="s">
        <v>135</v>
      </c>
      <c r="D118" s="59" t="s">
        <v>777</v>
      </c>
      <c r="E118" s="59" t="s">
        <v>778</v>
      </c>
      <c r="F118" s="59" t="s">
        <v>173</v>
      </c>
      <c r="G118" s="59" t="s">
        <v>319</v>
      </c>
      <c r="H118" s="59" t="s">
        <v>159</v>
      </c>
      <c r="I118" s="59"/>
      <c r="J118" s="61">
        <v>1.0969907407407407E-2</v>
      </c>
      <c r="K118" s="61">
        <v>6.5509259259259264E-4</v>
      </c>
      <c r="L118" s="61">
        <v>2.5275462962962965E-2</v>
      </c>
      <c r="M118" s="61">
        <v>3.5532407407407409E-4</v>
      </c>
      <c r="N118" s="61">
        <v>1.6564814814814817E-2</v>
      </c>
      <c r="O118" s="61">
        <v>5.3822916666666672E-2</v>
      </c>
      <c r="P118" s="59" t="s">
        <v>3338</v>
      </c>
      <c r="Q118" s="8">
        <f t="shared" si="2"/>
        <v>805</v>
      </c>
      <c r="R118" s="14"/>
      <c r="S118" s="8"/>
      <c r="T118" s="8"/>
    </row>
    <row r="119" spans="1:20" ht="15.75" customHeight="1">
      <c r="A119" s="59">
        <v>15</v>
      </c>
      <c r="B119" s="59">
        <v>152</v>
      </c>
      <c r="C119" s="60" t="s">
        <v>135</v>
      </c>
      <c r="D119" s="59" t="s">
        <v>768</v>
      </c>
      <c r="E119" s="59" t="s">
        <v>769</v>
      </c>
      <c r="F119" s="59" t="s">
        <v>199</v>
      </c>
      <c r="G119" s="59" t="s">
        <v>340</v>
      </c>
      <c r="H119" s="59" t="s">
        <v>357</v>
      </c>
      <c r="I119" s="59">
        <v>2</v>
      </c>
      <c r="J119" s="61">
        <v>1.0421296296296297E-2</v>
      </c>
      <c r="K119" s="61">
        <v>1.5636574074074073E-3</v>
      </c>
      <c r="L119" s="61">
        <v>2.3769675925925923E-2</v>
      </c>
      <c r="M119" s="61">
        <v>4.826388888888889E-4</v>
      </c>
      <c r="N119" s="61">
        <v>1.7931712962962962E-2</v>
      </c>
      <c r="O119" s="61">
        <v>5.4172453703703702E-2</v>
      </c>
      <c r="P119" s="59" t="s">
        <v>3339</v>
      </c>
      <c r="Q119" s="8">
        <f t="shared" si="2"/>
        <v>800</v>
      </c>
      <c r="R119" s="14"/>
      <c r="S119" s="8"/>
      <c r="T119" s="8"/>
    </row>
    <row r="120" spans="1:20" ht="15.75" customHeight="1">
      <c r="A120" s="59">
        <v>16</v>
      </c>
      <c r="B120" s="59">
        <v>181</v>
      </c>
      <c r="C120" s="60" t="s">
        <v>135</v>
      </c>
      <c r="D120" s="59" t="s">
        <v>2583</v>
      </c>
      <c r="E120" s="59" t="s">
        <v>2584</v>
      </c>
      <c r="F120" s="59" t="s">
        <v>153</v>
      </c>
      <c r="G120" s="59" t="s">
        <v>319</v>
      </c>
      <c r="H120" s="59" t="s">
        <v>154</v>
      </c>
      <c r="I120" s="59"/>
      <c r="J120" s="61">
        <v>1.1846064814814814E-2</v>
      </c>
      <c r="K120" s="61">
        <v>9.0972222222222214E-4</v>
      </c>
      <c r="L120" s="61">
        <v>2.2896990740740739E-2</v>
      </c>
      <c r="M120" s="61">
        <v>4.0162037037037038E-4</v>
      </c>
      <c r="N120" s="61">
        <v>1.8174768518518517E-2</v>
      </c>
      <c r="O120" s="61">
        <v>5.4232638888888886E-2</v>
      </c>
      <c r="P120" s="59" t="s">
        <v>3340</v>
      </c>
      <c r="Q120" s="8">
        <f t="shared" si="2"/>
        <v>799</v>
      </c>
      <c r="R120" s="14"/>
      <c r="S120" s="8"/>
      <c r="T120" s="8"/>
    </row>
    <row r="121" spans="1:20" ht="15.75" customHeight="1">
      <c r="A121" s="59">
        <v>17</v>
      </c>
      <c r="B121" s="59">
        <v>182</v>
      </c>
      <c r="C121" s="60" t="s">
        <v>135</v>
      </c>
      <c r="D121" s="59" t="s">
        <v>1574</v>
      </c>
      <c r="E121" s="59" t="s">
        <v>1575</v>
      </c>
      <c r="F121" s="59" t="s">
        <v>189</v>
      </c>
      <c r="G121" s="59" t="s">
        <v>340</v>
      </c>
      <c r="H121" s="59" t="s">
        <v>341</v>
      </c>
      <c r="I121" s="59">
        <v>2</v>
      </c>
      <c r="J121" s="61">
        <v>1.0989583333333334E-2</v>
      </c>
      <c r="K121" s="61">
        <v>1.0949074074074073E-3</v>
      </c>
      <c r="L121" s="61">
        <v>2.4333333333333335E-2</v>
      </c>
      <c r="M121" s="61">
        <v>3.5185185185185184E-4</v>
      </c>
      <c r="N121" s="61">
        <v>1.7520833333333333E-2</v>
      </c>
      <c r="O121" s="61">
        <v>5.429282407407407E-2</v>
      </c>
      <c r="P121" s="59" t="s">
        <v>3341</v>
      </c>
      <c r="Q121" s="8">
        <f t="shared" si="2"/>
        <v>798</v>
      </c>
      <c r="R121" s="14"/>
      <c r="S121" s="8"/>
      <c r="T121" s="8"/>
    </row>
    <row r="122" spans="1:20" ht="15.75" customHeight="1">
      <c r="A122" s="59">
        <v>18</v>
      </c>
      <c r="B122" s="59">
        <v>229</v>
      </c>
      <c r="C122" s="60" t="s">
        <v>135</v>
      </c>
      <c r="D122" s="59" t="s">
        <v>746</v>
      </c>
      <c r="E122" s="59" t="s">
        <v>747</v>
      </c>
      <c r="F122" s="59" t="s">
        <v>252</v>
      </c>
      <c r="G122" s="59" t="s">
        <v>340</v>
      </c>
      <c r="H122" s="59" t="s">
        <v>341</v>
      </c>
      <c r="I122" s="59">
        <v>3</v>
      </c>
      <c r="J122" s="61">
        <v>9.043981481481481E-3</v>
      </c>
      <c r="K122" s="61">
        <v>8.1597222222222227E-4</v>
      </c>
      <c r="L122" s="61">
        <v>2.4421296296296295E-2</v>
      </c>
      <c r="M122" s="61">
        <v>4.8726851851851855E-4</v>
      </c>
      <c r="N122" s="61">
        <v>1.9650462962962963E-2</v>
      </c>
      <c r="O122" s="61">
        <v>5.4421296296296294E-2</v>
      </c>
      <c r="P122" s="59" t="s">
        <v>3342</v>
      </c>
      <c r="Q122" s="8">
        <f t="shared" si="2"/>
        <v>796</v>
      </c>
      <c r="R122" s="14"/>
      <c r="S122" s="8"/>
      <c r="T122" s="8"/>
    </row>
    <row r="123" spans="1:20" ht="15.75" customHeight="1">
      <c r="A123" s="59">
        <v>19</v>
      </c>
      <c r="B123" s="59">
        <v>200</v>
      </c>
      <c r="C123" s="59"/>
      <c r="D123" s="59" t="s">
        <v>797</v>
      </c>
      <c r="E123" s="59" t="s">
        <v>798</v>
      </c>
      <c r="F123" s="59" t="s">
        <v>799</v>
      </c>
      <c r="G123" s="59" t="s">
        <v>340</v>
      </c>
      <c r="H123" s="59" t="s">
        <v>344</v>
      </c>
      <c r="I123" s="59">
        <v>6</v>
      </c>
      <c r="J123" s="61">
        <v>8.129629629629629E-3</v>
      </c>
      <c r="K123" s="61">
        <v>1.0729166666666667E-3</v>
      </c>
      <c r="L123" s="61">
        <v>2.7053240740740742E-2</v>
      </c>
      <c r="M123" s="61">
        <v>4.212962962962963E-4</v>
      </c>
      <c r="N123" s="61">
        <v>1.8302083333333333E-2</v>
      </c>
      <c r="O123" s="61">
        <v>5.4982638888888886E-2</v>
      </c>
      <c r="P123" s="59" t="s">
        <v>446</v>
      </c>
      <c r="Q123" s="8">
        <f t="shared" si="2"/>
        <v>788</v>
      </c>
      <c r="R123" s="14"/>
      <c r="S123" s="8"/>
      <c r="T123" s="8"/>
    </row>
    <row r="124" spans="1:20" ht="15.75" customHeight="1">
      <c r="A124" s="59">
        <v>20</v>
      </c>
      <c r="B124" s="59">
        <v>211</v>
      </c>
      <c r="C124" s="60" t="s">
        <v>135</v>
      </c>
      <c r="D124" s="59" t="s">
        <v>474</v>
      </c>
      <c r="E124" s="59" t="s">
        <v>475</v>
      </c>
      <c r="F124" s="59" t="s">
        <v>148</v>
      </c>
      <c r="G124" s="59" t="s">
        <v>340</v>
      </c>
      <c r="H124" s="59" t="s">
        <v>344</v>
      </c>
      <c r="I124" s="59">
        <v>7</v>
      </c>
      <c r="J124" s="61">
        <v>8.5671296296296294E-3</v>
      </c>
      <c r="K124" s="61">
        <v>7.5231481481481482E-4</v>
      </c>
      <c r="L124" s="61">
        <v>2.5962962962962962E-2</v>
      </c>
      <c r="M124" s="61">
        <v>3.5185185185185184E-4</v>
      </c>
      <c r="N124" s="61">
        <v>1.9525462962962963E-2</v>
      </c>
      <c r="O124" s="61">
        <v>5.5162037037037037E-2</v>
      </c>
      <c r="P124" s="59" t="s">
        <v>3343</v>
      </c>
      <c r="Q124" s="8">
        <f t="shared" si="2"/>
        <v>785</v>
      </c>
      <c r="R124" s="14"/>
      <c r="S124" s="8"/>
      <c r="T124" s="8"/>
    </row>
    <row r="125" spans="1:20" ht="15.75" customHeight="1">
      <c r="A125" s="59">
        <v>21</v>
      </c>
      <c r="B125" s="59">
        <v>218</v>
      </c>
      <c r="C125" s="60" t="s">
        <v>135</v>
      </c>
      <c r="D125" s="59" t="s">
        <v>784</v>
      </c>
      <c r="E125" s="59" t="s">
        <v>785</v>
      </c>
      <c r="F125" s="59"/>
      <c r="G125" s="59" t="s">
        <v>340</v>
      </c>
      <c r="H125" s="59" t="s">
        <v>348</v>
      </c>
      <c r="I125" s="59">
        <v>2</v>
      </c>
      <c r="J125" s="61">
        <v>9.9016203703703697E-3</v>
      </c>
      <c r="K125" s="61">
        <v>7.1990740740740739E-4</v>
      </c>
      <c r="L125" s="61">
        <v>2.6003472222222219E-2</v>
      </c>
      <c r="M125" s="61">
        <v>3.9236111111111107E-4</v>
      </c>
      <c r="N125" s="61">
        <v>1.9318287037037037E-2</v>
      </c>
      <c r="O125" s="61">
        <v>5.6337962962962965E-2</v>
      </c>
      <c r="P125" s="59" t="s">
        <v>3344</v>
      </c>
      <c r="Q125" s="8">
        <f t="shared" si="2"/>
        <v>769</v>
      </c>
      <c r="R125" s="14"/>
      <c r="S125" s="8"/>
      <c r="T125" s="8"/>
    </row>
    <row r="126" spans="1:20" ht="15.75" customHeight="1">
      <c r="A126" s="59">
        <v>22</v>
      </c>
      <c r="B126" s="59">
        <v>180</v>
      </c>
      <c r="C126" s="60" t="s">
        <v>135</v>
      </c>
      <c r="D126" s="59" t="s">
        <v>3345</v>
      </c>
      <c r="E126" s="59" t="s">
        <v>3346</v>
      </c>
      <c r="F126" s="59"/>
      <c r="G126" s="59" t="s">
        <v>340</v>
      </c>
      <c r="H126" s="59" t="s">
        <v>348</v>
      </c>
      <c r="I126" s="59">
        <v>3</v>
      </c>
      <c r="J126" s="61">
        <v>9.71875E-3</v>
      </c>
      <c r="K126" s="61">
        <v>8.4259259259259259E-4</v>
      </c>
      <c r="L126" s="61">
        <v>2.6818287037037036E-2</v>
      </c>
      <c r="M126" s="61">
        <v>2.8587962962962963E-4</v>
      </c>
      <c r="N126" s="61">
        <v>1.9528935185185184E-2</v>
      </c>
      <c r="O126" s="61">
        <v>5.7197916666666661E-2</v>
      </c>
      <c r="P126" s="59" t="s">
        <v>3347</v>
      </c>
      <c r="Q126" s="8">
        <f t="shared" si="2"/>
        <v>757</v>
      </c>
      <c r="R126" s="14"/>
      <c r="S126" s="8"/>
      <c r="T126" s="8"/>
    </row>
    <row r="127" spans="1:20" ht="15.75" customHeight="1">
      <c r="A127" s="59">
        <v>23</v>
      </c>
      <c r="B127" s="59">
        <v>174</v>
      </c>
      <c r="C127" s="60" t="s">
        <v>135</v>
      </c>
      <c r="D127" s="59" t="s">
        <v>2114</v>
      </c>
      <c r="E127" s="59" t="s">
        <v>2115</v>
      </c>
      <c r="F127" s="59" t="s">
        <v>138</v>
      </c>
      <c r="G127" s="59" t="s">
        <v>340</v>
      </c>
      <c r="H127" s="59" t="s">
        <v>344</v>
      </c>
      <c r="I127" s="59">
        <v>8</v>
      </c>
      <c r="J127" s="61">
        <v>9.2835648148148157E-3</v>
      </c>
      <c r="K127" s="61">
        <v>9.7337962962962959E-4</v>
      </c>
      <c r="L127" s="61">
        <v>2.6924768518518521E-2</v>
      </c>
      <c r="M127" s="61">
        <v>5.0000000000000001E-4</v>
      </c>
      <c r="N127" s="61">
        <v>2.009375E-2</v>
      </c>
      <c r="O127" s="61">
        <v>5.7776620370370367E-2</v>
      </c>
      <c r="P127" s="59" t="s">
        <v>3348</v>
      </c>
      <c r="Q127" s="8">
        <f t="shared" si="2"/>
        <v>750</v>
      </c>
      <c r="R127" s="14"/>
      <c r="S127" s="8"/>
      <c r="T127" s="8"/>
    </row>
    <row r="128" spans="1:20" ht="15.75" customHeight="1">
      <c r="A128" s="59">
        <v>24</v>
      </c>
      <c r="B128" s="59">
        <v>156</v>
      </c>
      <c r="C128" s="60" t="s">
        <v>135</v>
      </c>
      <c r="D128" s="59" t="s">
        <v>2590</v>
      </c>
      <c r="E128" s="59" t="s">
        <v>2591</v>
      </c>
      <c r="F128" s="59"/>
      <c r="G128" s="59" t="s">
        <v>340</v>
      </c>
      <c r="H128" s="59" t="s">
        <v>357</v>
      </c>
      <c r="I128" s="59">
        <v>3</v>
      </c>
      <c r="J128" s="61">
        <v>1.0685185185185186E-2</v>
      </c>
      <c r="K128" s="61">
        <v>1.5254629629629631E-3</v>
      </c>
      <c r="L128" s="61">
        <v>2.5703703703703704E-2</v>
      </c>
      <c r="M128" s="61">
        <v>4.2476851851851855E-4</v>
      </c>
      <c r="N128" s="61">
        <v>1.9495370370370371E-2</v>
      </c>
      <c r="O128" s="61">
        <v>5.7836805555555558E-2</v>
      </c>
      <c r="P128" s="59" t="s">
        <v>3349</v>
      </c>
      <c r="Q128" s="8">
        <f t="shared" si="2"/>
        <v>749</v>
      </c>
      <c r="R128" s="14"/>
      <c r="S128" s="8"/>
      <c r="T128" s="8"/>
    </row>
    <row r="129" spans="1:20" ht="15.75" customHeight="1">
      <c r="A129" s="59">
        <v>25</v>
      </c>
      <c r="B129" s="59">
        <v>234</v>
      </c>
      <c r="C129" s="60" t="s">
        <v>135</v>
      </c>
      <c r="D129" s="59" t="s">
        <v>1254</v>
      </c>
      <c r="E129" s="59" t="s">
        <v>1255</v>
      </c>
      <c r="F129" s="59"/>
      <c r="G129" s="59" t="s">
        <v>340</v>
      </c>
      <c r="H129" s="59" t="s">
        <v>348</v>
      </c>
      <c r="I129" s="59">
        <v>4</v>
      </c>
      <c r="J129" s="61">
        <v>1.0424768518518519E-2</v>
      </c>
      <c r="K129" s="61">
        <v>1.7083333333333332E-3</v>
      </c>
      <c r="L129" s="61">
        <v>2.6123842592592591E-2</v>
      </c>
      <c r="M129" s="61">
        <v>4.9768518518518521E-4</v>
      </c>
      <c r="N129" s="61">
        <v>1.9571759259259261E-2</v>
      </c>
      <c r="O129" s="61">
        <v>5.832986111111111E-2</v>
      </c>
      <c r="P129" s="59" t="s">
        <v>3350</v>
      </c>
      <c r="Q129" s="8">
        <f t="shared" si="2"/>
        <v>743</v>
      </c>
      <c r="R129" s="14"/>
      <c r="S129" s="8"/>
      <c r="T129" s="8"/>
    </row>
    <row r="130" spans="1:20" ht="15.75" customHeight="1">
      <c r="A130" s="59">
        <v>26</v>
      </c>
      <c r="B130" s="59">
        <v>243</v>
      </c>
      <c r="C130" s="60" t="s">
        <v>135</v>
      </c>
      <c r="D130" s="59" t="s">
        <v>3093</v>
      </c>
      <c r="E130" s="59" t="s">
        <v>3094</v>
      </c>
      <c r="F130" s="59" t="s">
        <v>3351</v>
      </c>
      <c r="G130" s="59" t="s">
        <v>340</v>
      </c>
      <c r="H130" s="59" t="s">
        <v>420</v>
      </c>
      <c r="I130" s="59">
        <v>1</v>
      </c>
      <c r="J130" s="61">
        <v>1.0318287037037037E-2</v>
      </c>
      <c r="K130" s="61">
        <v>1.0891203703703703E-3</v>
      </c>
      <c r="L130" s="61">
        <v>2.5957175925925925E-2</v>
      </c>
      <c r="M130" s="61">
        <v>8.7731481481481482E-4</v>
      </c>
      <c r="N130" s="61">
        <v>2.0554398148148148E-2</v>
      </c>
      <c r="O130" s="61">
        <v>5.8798611111111107E-2</v>
      </c>
      <c r="P130" s="59" t="s">
        <v>3352</v>
      </c>
      <c r="Q130" s="8">
        <f t="shared" si="2"/>
        <v>737</v>
      </c>
      <c r="R130" s="14"/>
      <c r="S130" s="8"/>
      <c r="T130" s="8"/>
    </row>
    <row r="131" spans="1:20" ht="15.75" customHeight="1">
      <c r="A131" s="59">
        <v>27</v>
      </c>
      <c r="B131" s="59">
        <v>212</v>
      </c>
      <c r="C131" s="60" t="s">
        <v>135</v>
      </c>
      <c r="D131" s="59" t="s">
        <v>3353</v>
      </c>
      <c r="E131" s="59" t="s">
        <v>3354</v>
      </c>
      <c r="F131" s="59" t="s">
        <v>3355</v>
      </c>
      <c r="G131" s="59" t="s">
        <v>340</v>
      </c>
      <c r="H131" s="59" t="s">
        <v>448</v>
      </c>
      <c r="I131" s="59">
        <v>1</v>
      </c>
      <c r="J131" s="61">
        <v>1.134375E-2</v>
      </c>
      <c r="K131" s="61">
        <v>1.6516203703703701E-3</v>
      </c>
      <c r="L131" s="61">
        <v>2.4475694444444442E-2</v>
      </c>
      <c r="M131" s="61">
        <v>8.2175925925925927E-4</v>
      </c>
      <c r="N131" s="61">
        <v>2.0619212962962964E-2</v>
      </c>
      <c r="O131" s="61">
        <v>5.891435185185185E-2</v>
      </c>
      <c r="P131" s="59" t="s">
        <v>3356</v>
      </c>
      <c r="Q131" s="8">
        <f t="shared" si="2"/>
        <v>735</v>
      </c>
      <c r="R131" s="14"/>
      <c r="S131" s="8"/>
      <c r="T131" s="8"/>
    </row>
    <row r="132" spans="1:20" ht="15.75" customHeight="1">
      <c r="A132" s="59">
        <v>28</v>
      </c>
      <c r="B132" s="59">
        <v>171</v>
      </c>
      <c r="C132" s="60" t="s">
        <v>135</v>
      </c>
      <c r="D132" s="59" t="s">
        <v>811</v>
      </c>
      <c r="E132" s="59" t="s">
        <v>812</v>
      </c>
      <c r="F132" s="59" t="s">
        <v>138</v>
      </c>
      <c r="G132" s="59" t="s">
        <v>340</v>
      </c>
      <c r="H132" s="59" t="s">
        <v>641</v>
      </c>
      <c r="I132" s="59">
        <v>3</v>
      </c>
      <c r="J132" s="61">
        <v>8.8923611111111113E-3</v>
      </c>
      <c r="K132" s="61">
        <v>1.3703703703703705E-3</v>
      </c>
      <c r="L132" s="61">
        <v>2.9202546296296296E-2</v>
      </c>
      <c r="M132" s="61">
        <v>2.8587962962962963E-4</v>
      </c>
      <c r="N132" s="61">
        <v>1.9208333333333331E-2</v>
      </c>
      <c r="O132" s="61">
        <v>5.8960648148148144E-2</v>
      </c>
      <c r="P132" s="59" t="s">
        <v>3357</v>
      </c>
      <c r="Q132" s="8">
        <f t="shared" si="2"/>
        <v>735</v>
      </c>
      <c r="R132" s="14"/>
      <c r="S132" s="8"/>
      <c r="T132" s="8"/>
    </row>
    <row r="133" spans="1:20" ht="15.75" customHeight="1">
      <c r="A133" s="59">
        <v>29</v>
      </c>
      <c r="B133" s="59">
        <v>151</v>
      </c>
      <c r="C133" s="60" t="s">
        <v>135</v>
      </c>
      <c r="D133" s="59" t="s">
        <v>2998</v>
      </c>
      <c r="E133" s="59" t="s">
        <v>2999</v>
      </c>
      <c r="F133" s="59" t="s">
        <v>158</v>
      </c>
      <c r="G133" s="59" t="s">
        <v>319</v>
      </c>
      <c r="H133" s="59" t="s">
        <v>149</v>
      </c>
      <c r="I133" s="59"/>
      <c r="J133" s="61">
        <v>1.0030092592592592E-2</v>
      </c>
      <c r="K133" s="61">
        <v>9.907407407407406E-4</v>
      </c>
      <c r="L133" s="61">
        <v>2.6501157407407404E-2</v>
      </c>
      <c r="M133" s="61">
        <v>3.7384259259259255E-4</v>
      </c>
      <c r="N133" s="61">
        <v>2.1366898148148149E-2</v>
      </c>
      <c r="O133" s="61">
        <v>5.926620370370371E-2</v>
      </c>
      <c r="P133" s="59" t="s">
        <v>3358</v>
      </c>
      <c r="Q133" s="8">
        <f t="shared" si="2"/>
        <v>731</v>
      </c>
      <c r="R133" s="14"/>
      <c r="S133" s="8"/>
      <c r="T133" s="8"/>
    </row>
    <row r="134" spans="1:20" ht="15.75" customHeight="1">
      <c r="A134" s="59">
        <v>30</v>
      </c>
      <c r="B134" s="59">
        <v>203</v>
      </c>
      <c r="C134" s="60" t="s">
        <v>135</v>
      </c>
      <c r="D134" s="59" t="s">
        <v>296</v>
      </c>
      <c r="E134" s="59" t="s">
        <v>297</v>
      </c>
      <c r="F134" s="59"/>
      <c r="G134" s="59" t="s">
        <v>340</v>
      </c>
      <c r="H134" s="59" t="s">
        <v>420</v>
      </c>
      <c r="I134" s="59">
        <v>2</v>
      </c>
      <c r="J134" s="61">
        <v>9.7928240740740736E-3</v>
      </c>
      <c r="K134" s="61">
        <v>1.6712962962962964E-3</v>
      </c>
      <c r="L134" s="61">
        <v>2.4537037037037038E-2</v>
      </c>
      <c r="M134" s="61">
        <v>3.8425925925925927E-4</v>
      </c>
      <c r="N134" s="61">
        <v>2.3071759259259261E-2</v>
      </c>
      <c r="O134" s="61">
        <v>5.9459490740740743E-2</v>
      </c>
      <c r="P134" s="59" t="s">
        <v>3359</v>
      </c>
      <c r="Q134" s="8">
        <f t="shared" si="2"/>
        <v>728</v>
      </c>
      <c r="R134" s="14"/>
      <c r="S134" s="8"/>
      <c r="T134" s="8"/>
    </row>
    <row r="135" spans="1:20" ht="15.75" customHeight="1">
      <c r="A135" s="59">
        <v>31</v>
      </c>
      <c r="B135" s="59">
        <v>241</v>
      </c>
      <c r="C135" s="60" t="s">
        <v>135</v>
      </c>
      <c r="D135" s="59" t="s">
        <v>1248</v>
      </c>
      <c r="E135" s="59" t="s">
        <v>1249</v>
      </c>
      <c r="F135" s="59" t="s">
        <v>173</v>
      </c>
      <c r="G135" s="59" t="s">
        <v>340</v>
      </c>
      <c r="H135" s="59" t="s">
        <v>348</v>
      </c>
      <c r="I135" s="59">
        <v>5</v>
      </c>
      <c r="J135" s="61">
        <v>1.178125E-2</v>
      </c>
      <c r="K135" s="61">
        <v>1.4398148148148148E-3</v>
      </c>
      <c r="L135" s="61">
        <v>2.7248842592592595E-2</v>
      </c>
      <c r="M135" s="61">
        <v>2.9976851851851849E-4</v>
      </c>
      <c r="N135" s="61">
        <v>1.8775462962962963E-2</v>
      </c>
      <c r="O135" s="61">
        <v>5.95474537037037E-2</v>
      </c>
      <c r="P135" s="59" t="s">
        <v>3360</v>
      </c>
      <c r="Q135" s="8">
        <f t="shared" si="2"/>
        <v>727</v>
      </c>
      <c r="R135" s="14"/>
      <c r="S135" s="8"/>
      <c r="T135" s="8"/>
    </row>
    <row r="136" spans="1:20" ht="15.75" customHeight="1">
      <c r="A136" s="59">
        <v>32</v>
      </c>
      <c r="B136" s="59">
        <v>188</v>
      </c>
      <c r="C136" s="59"/>
      <c r="D136" s="59" t="s">
        <v>920</v>
      </c>
      <c r="E136" s="59" t="s">
        <v>921</v>
      </c>
      <c r="F136" s="59" t="s">
        <v>203</v>
      </c>
      <c r="G136" s="59" t="s">
        <v>319</v>
      </c>
      <c r="H136" s="59" t="s">
        <v>139</v>
      </c>
      <c r="I136" s="59">
        <v>1</v>
      </c>
      <c r="J136" s="61">
        <v>1.1150462962962963E-2</v>
      </c>
      <c r="K136" s="61">
        <v>9.4444444444444437E-4</v>
      </c>
      <c r="L136" s="61">
        <v>2.6083333333333333E-2</v>
      </c>
      <c r="M136" s="61">
        <v>4.5138888888888887E-4</v>
      </c>
      <c r="N136" s="61">
        <v>2.0974537037037038E-2</v>
      </c>
      <c r="O136" s="61">
        <v>5.9606481481481483E-2</v>
      </c>
      <c r="P136" s="59" t="s">
        <v>3361</v>
      </c>
      <c r="Q136" s="8">
        <f t="shared" si="2"/>
        <v>727</v>
      </c>
      <c r="R136" s="14"/>
      <c r="S136" s="8"/>
      <c r="T136" s="8"/>
    </row>
    <row r="137" spans="1:20" ht="15.75" customHeight="1">
      <c r="A137" s="59">
        <v>33</v>
      </c>
      <c r="B137" s="59">
        <v>153</v>
      </c>
      <c r="C137" s="60" t="s">
        <v>135</v>
      </c>
      <c r="D137" s="59" t="s">
        <v>855</v>
      </c>
      <c r="E137" s="59" t="s">
        <v>856</v>
      </c>
      <c r="F137" s="59"/>
      <c r="G137" s="59" t="s">
        <v>340</v>
      </c>
      <c r="H137" s="59" t="s">
        <v>344</v>
      </c>
      <c r="I137" s="59">
        <v>9</v>
      </c>
      <c r="J137" s="61">
        <v>9.8935185185185185E-3</v>
      </c>
      <c r="K137" s="61">
        <v>1.0983796296296297E-3</v>
      </c>
      <c r="L137" s="61">
        <v>2.7854166666666666E-2</v>
      </c>
      <c r="M137" s="61">
        <v>6.2500000000000001E-4</v>
      </c>
      <c r="N137" s="61">
        <v>2.0204861111111111E-2</v>
      </c>
      <c r="O137" s="61">
        <v>5.967824074074074E-2</v>
      </c>
      <c r="P137" s="59" t="s">
        <v>3362</v>
      </c>
      <c r="Q137" s="8">
        <f t="shared" si="2"/>
        <v>726</v>
      </c>
      <c r="R137" s="14"/>
      <c r="S137" s="8"/>
      <c r="T137" s="8"/>
    </row>
    <row r="138" spans="1:20" ht="15.75" customHeight="1">
      <c r="A138" s="59">
        <v>34</v>
      </c>
      <c r="B138" s="59">
        <v>237</v>
      </c>
      <c r="C138" s="60" t="s">
        <v>135</v>
      </c>
      <c r="D138" s="59" t="s">
        <v>2142</v>
      </c>
      <c r="E138" s="59" t="s">
        <v>2143</v>
      </c>
      <c r="F138" s="59" t="s">
        <v>138</v>
      </c>
      <c r="G138" s="59" t="s">
        <v>340</v>
      </c>
      <c r="H138" s="59" t="s">
        <v>341</v>
      </c>
      <c r="I138" s="59">
        <v>4</v>
      </c>
      <c r="J138" s="61">
        <v>9.3495370370370364E-3</v>
      </c>
      <c r="K138" s="61">
        <v>1.4247685185185184E-3</v>
      </c>
      <c r="L138" s="61">
        <v>2.6991898148148147E-2</v>
      </c>
      <c r="M138" s="61">
        <v>5.6018518518518516E-4</v>
      </c>
      <c r="N138" s="61">
        <v>2.1530092592592594E-2</v>
      </c>
      <c r="O138" s="61">
        <v>5.98599537037037E-2</v>
      </c>
      <c r="P138" s="59" t="s">
        <v>3363</v>
      </c>
      <c r="Q138" s="8">
        <f t="shared" si="2"/>
        <v>724</v>
      </c>
      <c r="R138" s="14"/>
      <c r="S138" s="8"/>
      <c r="T138" s="8"/>
    </row>
    <row r="139" spans="1:20" ht="15.75" customHeight="1">
      <c r="A139" s="59">
        <v>35</v>
      </c>
      <c r="B139" s="59">
        <v>170</v>
      </c>
      <c r="C139" s="60" t="s">
        <v>135</v>
      </c>
      <c r="D139" s="59" t="s">
        <v>3364</v>
      </c>
      <c r="E139" s="59" t="s">
        <v>3365</v>
      </c>
      <c r="F139" s="59" t="s">
        <v>3366</v>
      </c>
      <c r="G139" s="59" t="s">
        <v>340</v>
      </c>
      <c r="H139" s="59" t="s">
        <v>357</v>
      </c>
      <c r="I139" s="59">
        <v>4</v>
      </c>
      <c r="J139" s="61">
        <v>1.3366898148148149E-2</v>
      </c>
      <c r="K139" s="61">
        <v>1.8206018518518519E-3</v>
      </c>
      <c r="L139" s="61">
        <v>2.3149305555555555E-2</v>
      </c>
      <c r="M139" s="61">
        <v>1.0127314814814814E-3</v>
      </c>
      <c r="N139" s="61">
        <v>2.0759259259259259E-2</v>
      </c>
      <c r="O139" s="61">
        <v>6.0111111111111115E-2</v>
      </c>
      <c r="P139" s="59" t="s">
        <v>3367</v>
      </c>
      <c r="Q139" s="8">
        <f t="shared" si="2"/>
        <v>721</v>
      </c>
      <c r="R139" s="14"/>
      <c r="S139" s="8"/>
      <c r="T139" s="8"/>
    </row>
    <row r="140" spans="1:20" ht="15.75" customHeight="1">
      <c r="A140" s="59">
        <v>36</v>
      </c>
      <c r="B140" s="59">
        <v>225</v>
      </c>
      <c r="C140" s="60" t="s">
        <v>135</v>
      </c>
      <c r="D140" s="59" t="s">
        <v>3368</v>
      </c>
      <c r="E140" s="59" t="s">
        <v>3369</v>
      </c>
      <c r="F140" s="59" t="s">
        <v>148</v>
      </c>
      <c r="G140" s="59" t="s">
        <v>340</v>
      </c>
      <c r="H140" s="59" t="s">
        <v>357</v>
      </c>
      <c r="I140" s="59">
        <v>5</v>
      </c>
      <c r="J140" s="61">
        <v>9.9282407407407409E-3</v>
      </c>
      <c r="K140" s="61">
        <v>2.1134259259259257E-3</v>
      </c>
      <c r="L140" s="61">
        <v>2.5270833333333336E-2</v>
      </c>
      <c r="M140" s="61">
        <v>8.7962962962962962E-4</v>
      </c>
      <c r="N140" s="61">
        <v>2.2141203703703705E-2</v>
      </c>
      <c r="O140" s="61">
        <v>6.0335648148148145E-2</v>
      </c>
      <c r="P140" s="59" t="s">
        <v>3370</v>
      </c>
      <c r="Q140" s="8">
        <f t="shared" si="2"/>
        <v>718</v>
      </c>
      <c r="R140" s="14"/>
      <c r="S140" s="8"/>
      <c r="T140" s="8"/>
    </row>
    <row r="141" spans="1:20" ht="15.75" customHeight="1">
      <c r="A141" s="59">
        <v>37</v>
      </c>
      <c r="B141" s="59">
        <v>176</v>
      </c>
      <c r="C141" s="60" t="s">
        <v>135</v>
      </c>
      <c r="D141" s="59" t="s">
        <v>872</v>
      </c>
      <c r="E141" s="59" t="s">
        <v>873</v>
      </c>
      <c r="F141" s="59"/>
      <c r="G141" s="59" t="s">
        <v>340</v>
      </c>
      <c r="H141" s="59" t="s">
        <v>448</v>
      </c>
      <c r="I141" s="59">
        <v>2</v>
      </c>
      <c r="J141" s="61">
        <v>1.1600694444444445E-2</v>
      </c>
      <c r="K141" s="61">
        <v>1.2256944444444446E-3</v>
      </c>
      <c r="L141" s="61">
        <v>2.7623842592592592E-2</v>
      </c>
      <c r="M141" s="61">
        <v>4.895833333333333E-4</v>
      </c>
      <c r="N141" s="61">
        <v>1.9600694444444445E-2</v>
      </c>
      <c r="O141" s="61">
        <v>6.0543981481481483E-2</v>
      </c>
      <c r="P141" s="59" t="s">
        <v>3371</v>
      </c>
      <c r="Q141" s="8">
        <f t="shared" si="2"/>
        <v>715</v>
      </c>
      <c r="R141" s="14"/>
      <c r="S141" s="8"/>
      <c r="T141" s="8"/>
    </row>
    <row r="142" spans="1:20" ht="15.75" customHeight="1">
      <c r="A142" s="59">
        <v>38</v>
      </c>
      <c r="B142" s="59">
        <v>207</v>
      </c>
      <c r="C142" s="60" t="s">
        <v>135</v>
      </c>
      <c r="D142" s="59" t="s">
        <v>905</v>
      </c>
      <c r="E142" s="59" t="s">
        <v>906</v>
      </c>
      <c r="F142" s="59" t="s">
        <v>199</v>
      </c>
      <c r="G142" s="59" t="s">
        <v>340</v>
      </c>
      <c r="H142" s="59" t="s">
        <v>352</v>
      </c>
      <c r="I142" s="59">
        <v>1</v>
      </c>
      <c r="J142" s="61">
        <v>1.1026620370370371E-2</v>
      </c>
      <c r="K142" s="61">
        <v>9.6180555555555548E-4</v>
      </c>
      <c r="L142" s="61">
        <v>2.7650462962962963E-2</v>
      </c>
      <c r="M142" s="61">
        <v>5.9490740740740739E-4</v>
      </c>
      <c r="N142" s="61">
        <v>2.0364583333333332E-2</v>
      </c>
      <c r="O142" s="61">
        <v>6.0599537037037042E-2</v>
      </c>
      <c r="P142" s="59" t="s">
        <v>3372</v>
      </c>
      <c r="Q142" s="8">
        <f t="shared" si="2"/>
        <v>715</v>
      </c>
      <c r="R142" s="14"/>
      <c r="S142" s="8"/>
      <c r="T142" s="8"/>
    </row>
    <row r="143" spans="1:20" ht="15.75" customHeight="1">
      <c r="A143" s="59">
        <v>39</v>
      </c>
      <c r="B143" s="59">
        <v>177</v>
      </c>
      <c r="C143" s="60" t="s">
        <v>135</v>
      </c>
      <c r="D143" s="59" t="s">
        <v>2125</v>
      </c>
      <c r="E143" s="59" t="s">
        <v>2126</v>
      </c>
      <c r="F143" s="59"/>
      <c r="G143" s="59" t="s">
        <v>340</v>
      </c>
      <c r="H143" s="59" t="s">
        <v>352</v>
      </c>
      <c r="I143" s="59">
        <v>2</v>
      </c>
      <c r="J143" s="61">
        <v>1.0359953703703705E-2</v>
      </c>
      <c r="K143" s="61">
        <v>1.3564814814814815E-3</v>
      </c>
      <c r="L143" s="61">
        <v>2.673611111111111E-2</v>
      </c>
      <c r="M143" s="61">
        <v>4.1087962962962964E-4</v>
      </c>
      <c r="N143" s="61">
        <v>2.1775462962962965E-2</v>
      </c>
      <c r="O143" s="61">
        <v>6.0641203703703697E-2</v>
      </c>
      <c r="P143" s="59" t="s">
        <v>3373</v>
      </c>
      <c r="Q143" s="8">
        <f t="shared" si="2"/>
        <v>714</v>
      </c>
      <c r="R143" s="14"/>
      <c r="S143" s="8"/>
      <c r="T143" s="8"/>
    </row>
    <row r="144" spans="1:20" ht="15.75" customHeight="1">
      <c r="A144" s="59">
        <v>40</v>
      </c>
      <c r="B144" s="59">
        <v>154</v>
      </c>
      <c r="C144" s="60" t="s">
        <v>135</v>
      </c>
      <c r="D144" s="59" t="s">
        <v>875</v>
      </c>
      <c r="E144" s="59" t="s">
        <v>876</v>
      </c>
      <c r="F144" s="59" t="s">
        <v>877</v>
      </c>
      <c r="G144" s="59" t="s">
        <v>340</v>
      </c>
      <c r="H144" s="59" t="s">
        <v>624</v>
      </c>
      <c r="I144" s="59">
        <v>1</v>
      </c>
      <c r="J144" s="61">
        <v>1.0950231481481481E-2</v>
      </c>
      <c r="K144" s="61">
        <v>1.2893518518518519E-3</v>
      </c>
      <c r="L144" s="61">
        <v>2.7021990740740739E-2</v>
      </c>
      <c r="M144" s="61">
        <v>6.6435185185185184E-4</v>
      </c>
      <c r="N144" s="61">
        <v>2.0746527777777777E-2</v>
      </c>
      <c r="O144" s="61">
        <v>6.0674768518518524E-2</v>
      </c>
      <c r="P144" s="59" t="s">
        <v>3374</v>
      </c>
      <c r="Q144" s="8">
        <f t="shared" si="2"/>
        <v>714</v>
      </c>
      <c r="R144" s="14"/>
      <c r="S144" s="8"/>
      <c r="T144" s="8"/>
    </row>
    <row r="145" spans="1:20" ht="15.75" customHeight="1">
      <c r="A145" s="59">
        <v>41</v>
      </c>
      <c r="B145" s="59">
        <v>224</v>
      </c>
      <c r="C145" s="60" t="s">
        <v>135</v>
      </c>
      <c r="D145" s="59" t="s">
        <v>302</v>
      </c>
      <c r="E145" s="59" t="s">
        <v>303</v>
      </c>
      <c r="F145" s="59" t="s">
        <v>138</v>
      </c>
      <c r="G145" s="59" t="s">
        <v>340</v>
      </c>
      <c r="H145" s="59" t="s">
        <v>448</v>
      </c>
      <c r="I145" s="59">
        <v>3</v>
      </c>
      <c r="J145" s="61">
        <v>9.5636574074074061E-3</v>
      </c>
      <c r="K145" s="61">
        <v>1.9074074074074076E-3</v>
      </c>
      <c r="L145" s="61">
        <v>2.7858796296296295E-2</v>
      </c>
      <c r="M145" s="61">
        <v>2.6620370370370372E-4</v>
      </c>
      <c r="N145" s="61">
        <v>2.1187499999999998E-2</v>
      </c>
      <c r="O145" s="61">
        <v>6.0785879629629627E-2</v>
      </c>
      <c r="P145" s="59" t="s">
        <v>3375</v>
      </c>
      <c r="Q145" s="8">
        <f t="shared" si="2"/>
        <v>713</v>
      </c>
      <c r="R145" s="14"/>
      <c r="S145" s="8"/>
      <c r="T145" s="8"/>
    </row>
    <row r="146" spans="1:20" ht="15.75" customHeight="1">
      <c r="A146" s="59">
        <v>42</v>
      </c>
      <c r="B146" s="59">
        <v>191</v>
      </c>
      <c r="C146" s="60" t="s">
        <v>135</v>
      </c>
      <c r="D146" s="59" t="s">
        <v>923</v>
      </c>
      <c r="E146" s="59" t="s">
        <v>924</v>
      </c>
      <c r="F146" s="59" t="s">
        <v>199</v>
      </c>
      <c r="G146" s="59" t="s">
        <v>319</v>
      </c>
      <c r="H146" s="59" t="s">
        <v>149</v>
      </c>
      <c r="I146" s="59">
        <v>1</v>
      </c>
      <c r="J146" s="61">
        <v>9.5208333333333343E-3</v>
      </c>
      <c r="K146" s="61">
        <v>1.0833333333333333E-3</v>
      </c>
      <c r="L146" s="61">
        <v>2.7530092592592592E-2</v>
      </c>
      <c r="M146" s="61">
        <v>7.8472222222222214E-4</v>
      </c>
      <c r="N146" s="61">
        <v>2.2553240740740738E-2</v>
      </c>
      <c r="O146" s="61">
        <v>6.1474537037037036E-2</v>
      </c>
      <c r="P146" s="59" t="s">
        <v>3376</v>
      </c>
      <c r="Q146" s="8">
        <f t="shared" si="2"/>
        <v>705</v>
      </c>
      <c r="R146" s="14"/>
      <c r="S146" s="8"/>
      <c r="T146" s="8"/>
    </row>
    <row r="147" spans="1:20" ht="15.75" customHeight="1">
      <c r="A147" s="59">
        <v>43</v>
      </c>
      <c r="B147" s="59">
        <v>236</v>
      </c>
      <c r="C147" s="60" t="s">
        <v>135</v>
      </c>
      <c r="D147" s="59" t="s">
        <v>3377</v>
      </c>
      <c r="E147" s="59" t="s">
        <v>3378</v>
      </c>
      <c r="F147" s="59"/>
      <c r="G147" s="59" t="s">
        <v>340</v>
      </c>
      <c r="H147" s="59" t="s">
        <v>341</v>
      </c>
      <c r="I147" s="59">
        <v>5</v>
      </c>
      <c r="J147" s="61">
        <v>1.34375E-2</v>
      </c>
      <c r="K147" s="61">
        <v>1.7164351851851854E-3</v>
      </c>
      <c r="L147" s="61">
        <v>2.822337962962963E-2</v>
      </c>
      <c r="M147" s="61">
        <v>2.1064814814814815E-4</v>
      </c>
      <c r="N147" s="61">
        <v>1.7969907407407407E-2</v>
      </c>
      <c r="O147" s="61">
        <v>6.156018518518519E-2</v>
      </c>
      <c r="P147" s="59" t="s">
        <v>3379</v>
      </c>
      <c r="Q147" s="8">
        <f t="shared" si="2"/>
        <v>704</v>
      </c>
      <c r="R147" s="14"/>
      <c r="S147" s="8"/>
      <c r="T147" s="8"/>
    </row>
    <row r="148" spans="1:20" ht="15.75" customHeight="1">
      <c r="A148" s="59">
        <v>44</v>
      </c>
      <c r="B148" s="59">
        <v>54</v>
      </c>
      <c r="C148" s="60" t="s">
        <v>135</v>
      </c>
      <c r="D148" s="59" t="s">
        <v>2608</v>
      </c>
      <c r="E148" s="59" t="s">
        <v>2609</v>
      </c>
      <c r="F148" s="59" t="s">
        <v>2379</v>
      </c>
      <c r="G148" s="59" t="s">
        <v>340</v>
      </c>
      <c r="H148" s="59" t="s">
        <v>357</v>
      </c>
      <c r="I148" s="59">
        <v>6</v>
      </c>
      <c r="J148" s="61">
        <v>1.0371527777777778E-2</v>
      </c>
      <c r="K148" s="61">
        <v>1.1516203703703703E-3</v>
      </c>
      <c r="L148" s="61">
        <v>2.7872685185185184E-2</v>
      </c>
      <c r="M148" s="61">
        <v>4.4212962962962966E-4</v>
      </c>
      <c r="N148" s="61">
        <v>2.195023148148148E-2</v>
      </c>
      <c r="O148" s="61">
        <v>6.1791666666666668E-2</v>
      </c>
      <c r="P148" s="59" t="s">
        <v>3380</v>
      </c>
      <c r="Q148" s="8">
        <f t="shared" si="2"/>
        <v>701</v>
      </c>
      <c r="R148" s="14"/>
      <c r="S148" s="8"/>
      <c r="T148" s="8"/>
    </row>
    <row r="149" spans="1:20" ht="15.75" customHeight="1">
      <c r="A149" s="59">
        <v>45</v>
      </c>
      <c r="B149" s="59">
        <v>209</v>
      </c>
      <c r="C149" s="59"/>
      <c r="D149" s="59" t="s">
        <v>3381</v>
      </c>
      <c r="E149" s="59" t="s">
        <v>3382</v>
      </c>
      <c r="F149" s="59" t="s">
        <v>199</v>
      </c>
      <c r="G149" s="59" t="s">
        <v>319</v>
      </c>
      <c r="H149" s="59" t="s">
        <v>139</v>
      </c>
      <c r="I149" s="59">
        <v>2</v>
      </c>
      <c r="J149" s="61">
        <v>1.1707175925925926E-2</v>
      </c>
      <c r="K149" s="61">
        <v>1.1030092592592593E-3</v>
      </c>
      <c r="L149" s="61">
        <v>2.7040509259259261E-2</v>
      </c>
      <c r="M149" s="61">
        <v>3.4953703703703704E-4</v>
      </c>
      <c r="N149" s="61">
        <v>2.1612268518518517E-2</v>
      </c>
      <c r="O149" s="61">
        <v>6.1815972222222217E-2</v>
      </c>
      <c r="P149" s="59" t="s">
        <v>3383</v>
      </c>
      <c r="Q149" s="8">
        <f t="shared" si="2"/>
        <v>701</v>
      </c>
      <c r="R149" s="14"/>
      <c r="S149" s="8"/>
      <c r="T149" s="8"/>
    </row>
    <row r="150" spans="1:20" ht="15.75" customHeight="1">
      <c r="A150" s="59">
        <v>46</v>
      </c>
      <c r="B150" s="59">
        <v>213</v>
      </c>
      <c r="C150" s="60" t="s">
        <v>135</v>
      </c>
      <c r="D150" s="59" t="s">
        <v>3384</v>
      </c>
      <c r="E150" s="59" t="s">
        <v>3385</v>
      </c>
      <c r="F150" s="59"/>
      <c r="G150" s="59" t="s">
        <v>340</v>
      </c>
      <c r="H150" s="59" t="s">
        <v>357</v>
      </c>
      <c r="I150" s="59">
        <v>7</v>
      </c>
      <c r="J150" s="61">
        <v>1.2912037037037036E-2</v>
      </c>
      <c r="K150" s="61">
        <v>1.3368055555555555E-3</v>
      </c>
      <c r="L150" s="61">
        <v>2.6457175925925926E-2</v>
      </c>
      <c r="M150" s="61">
        <v>7.0717592592592598E-4</v>
      </c>
      <c r="N150" s="61">
        <v>2.062962962962963E-2</v>
      </c>
      <c r="O150" s="61">
        <v>6.2046296296296301E-2</v>
      </c>
      <c r="P150" s="59" t="s">
        <v>3386</v>
      </c>
      <c r="Q150" s="8">
        <f t="shared" si="2"/>
        <v>698</v>
      </c>
      <c r="R150" s="14"/>
      <c r="S150" s="8"/>
      <c r="T150" s="8"/>
    </row>
    <row r="151" spans="1:20" ht="15.75" customHeight="1">
      <c r="A151" s="59">
        <v>47</v>
      </c>
      <c r="B151" s="59">
        <v>179</v>
      </c>
      <c r="C151" s="60" t="s">
        <v>135</v>
      </c>
      <c r="D151" s="59" t="s">
        <v>2137</v>
      </c>
      <c r="E151" s="59" t="s">
        <v>2138</v>
      </c>
      <c r="F151" s="59" t="s">
        <v>3108</v>
      </c>
      <c r="G151" s="59" t="s">
        <v>340</v>
      </c>
      <c r="H151" s="59" t="s">
        <v>348</v>
      </c>
      <c r="I151" s="59">
        <v>6</v>
      </c>
      <c r="J151" s="61">
        <v>1.4834490740740742E-2</v>
      </c>
      <c r="K151" s="61">
        <v>1.2395833333333332E-3</v>
      </c>
      <c r="L151" s="61">
        <v>2.6490740740740742E-2</v>
      </c>
      <c r="M151" s="61">
        <v>1.1469907407407407E-3</v>
      </c>
      <c r="N151" s="61">
        <v>1.8662037037037039E-2</v>
      </c>
      <c r="O151" s="61">
        <v>6.2375E-2</v>
      </c>
      <c r="P151" s="59" t="s">
        <v>3387</v>
      </c>
      <c r="Q151" s="8">
        <f t="shared" si="2"/>
        <v>694</v>
      </c>
      <c r="R151" s="14"/>
      <c r="S151" s="8"/>
      <c r="T151" s="8"/>
    </row>
    <row r="152" spans="1:20" ht="15.75" customHeight="1">
      <c r="A152" s="59">
        <v>48</v>
      </c>
      <c r="B152" s="59">
        <v>175</v>
      </c>
      <c r="C152" s="60" t="s">
        <v>135</v>
      </c>
      <c r="D152" s="59" t="s">
        <v>3388</v>
      </c>
      <c r="E152" s="59" t="s">
        <v>3389</v>
      </c>
      <c r="F152" s="59"/>
      <c r="G152" s="59" t="s">
        <v>319</v>
      </c>
      <c r="H152" s="59" t="s">
        <v>149</v>
      </c>
      <c r="I152" s="59">
        <v>2</v>
      </c>
      <c r="J152" s="61">
        <v>1.1013888888888889E-2</v>
      </c>
      <c r="K152" s="61">
        <v>1.1527777777777777E-3</v>
      </c>
      <c r="L152" s="61">
        <v>2.6997685185185184E-2</v>
      </c>
      <c r="M152" s="61">
        <v>5.1388888888888892E-4</v>
      </c>
      <c r="N152" s="61">
        <v>2.2697916666666665E-2</v>
      </c>
      <c r="O152" s="61">
        <v>6.2378472222222224E-2</v>
      </c>
      <c r="P152" s="59" t="s">
        <v>3390</v>
      </c>
      <c r="Q152" s="8">
        <f t="shared" si="2"/>
        <v>694</v>
      </c>
      <c r="R152" s="14"/>
      <c r="S152" s="8"/>
      <c r="T152" s="8"/>
    </row>
    <row r="153" spans="1:20" ht="15.75" customHeight="1">
      <c r="A153" s="59">
        <v>49</v>
      </c>
      <c r="B153" s="59">
        <v>238</v>
      </c>
      <c r="C153" s="60" t="s">
        <v>135</v>
      </c>
      <c r="D153" s="59" t="s">
        <v>1000</v>
      </c>
      <c r="E153" s="59" t="s">
        <v>1001</v>
      </c>
      <c r="F153" s="59" t="s">
        <v>148</v>
      </c>
      <c r="G153" s="59" t="s">
        <v>340</v>
      </c>
      <c r="H153" s="59" t="s">
        <v>357</v>
      </c>
      <c r="I153" s="59">
        <v>8</v>
      </c>
      <c r="J153" s="61">
        <v>1.1201388888888889E-2</v>
      </c>
      <c r="K153" s="61">
        <v>1.1006944444444443E-3</v>
      </c>
      <c r="L153" s="61">
        <v>2.8018518518518519E-2</v>
      </c>
      <c r="M153" s="61">
        <v>6.4120370370370373E-4</v>
      </c>
      <c r="N153" s="61">
        <v>2.1668981481481484E-2</v>
      </c>
      <c r="O153" s="61">
        <v>6.2634259259259265E-2</v>
      </c>
      <c r="P153" s="59" t="s">
        <v>401</v>
      </c>
      <c r="Q153" s="8">
        <f t="shared" si="2"/>
        <v>691</v>
      </c>
      <c r="R153" s="14"/>
      <c r="S153" s="8"/>
      <c r="T153" s="8"/>
    </row>
    <row r="154" spans="1:20" ht="15.75" customHeight="1">
      <c r="A154" s="59">
        <v>50</v>
      </c>
      <c r="B154" s="59">
        <v>197</v>
      </c>
      <c r="C154" s="60" t="s">
        <v>135</v>
      </c>
      <c r="D154" s="59" t="s">
        <v>2165</v>
      </c>
      <c r="E154" s="59" t="s">
        <v>2166</v>
      </c>
      <c r="F154" s="59" t="s">
        <v>148</v>
      </c>
      <c r="G154" s="59" t="s">
        <v>340</v>
      </c>
      <c r="H154" s="59" t="s">
        <v>341</v>
      </c>
      <c r="I154" s="59">
        <v>6</v>
      </c>
      <c r="J154" s="61">
        <v>1.1424768518518518E-2</v>
      </c>
      <c r="K154" s="61">
        <v>8.7268518518518522E-4</v>
      </c>
      <c r="L154" s="61">
        <v>2.8187500000000001E-2</v>
      </c>
      <c r="M154" s="61">
        <v>6.2847222222222221E-4</v>
      </c>
      <c r="N154" s="61">
        <v>2.171412037037037E-2</v>
      </c>
      <c r="O154" s="61">
        <v>6.2829861111111107E-2</v>
      </c>
      <c r="P154" s="59" t="s">
        <v>3391</v>
      </c>
      <c r="Q154" s="8">
        <f t="shared" si="2"/>
        <v>689</v>
      </c>
      <c r="R154" s="14"/>
      <c r="S154" s="8"/>
      <c r="T154" s="8"/>
    </row>
    <row r="155" spans="1:20" ht="15.75" customHeight="1">
      <c r="A155" s="59">
        <v>51</v>
      </c>
      <c r="B155" s="59">
        <v>159</v>
      </c>
      <c r="C155" s="60" t="s">
        <v>135</v>
      </c>
      <c r="D155" s="59" t="s">
        <v>970</v>
      </c>
      <c r="E155" s="59" t="s">
        <v>971</v>
      </c>
      <c r="F155" s="59"/>
      <c r="G155" s="59" t="s">
        <v>340</v>
      </c>
      <c r="H155" s="59" t="s">
        <v>352</v>
      </c>
      <c r="I155" s="59">
        <v>3</v>
      </c>
      <c r="J155" s="61">
        <v>1.2646990740740742E-2</v>
      </c>
      <c r="K155" s="61">
        <v>1.675925925925926E-3</v>
      </c>
      <c r="L155" s="61">
        <v>2.8478009259259258E-2</v>
      </c>
      <c r="M155" s="61">
        <v>2.44212962962963E-4</v>
      </c>
      <c r="N155" s="61">
        <v>1.9972222222222221E-2</v>
      </c>
      <c r="O155" s="61">
        <v>6.3019675925925916E-2</v>
      </c>
      <c r="P155" s="59" t="s">
        <v>3392</v>
      </c>
      <c r="Q155" s="8">
        <f t="shared" si="2"/>
        <v>687</v>
      </c>
      <c r="R155" s="14"/>
      <c r="S155" s="8"/>
      <c r="T155" s="8"/>
    </row>
    <row r="156" spans="1:20" ht="15.75" customHeight="1">
      <c r="A156" s="59">
        <v>52</v>
      </c>
      <c r="B156" s="59">
        <v>219</v>
      </c>
      <c r="C156" s="59"/>
      <c r="D156" s="59" t="s">
        <v>926</v>
      </c>
      <c r="E156" s="59" t="s">
        <v>927</v>
      </c>
      <c r="F156" s="59"/>
      <c r="G156" s="59" t="s">
        <v>340</v>
      </c>
      <c r="H156" s="59" t="s">
        <v>624</v>
      </c>
      <c r="I156" s="59">
        <v>2</v>
      </c>
      <c r="J156" s="61">
        <v>1.2004629629629631E-2</v>
      </c>
      <c r="K156" s="61">
        <v>2.3773148148148147E-3</v>
      </c>
      <c r="L156" s="61">
        <v>2.7112268518518518E-2</v>
      </c>
      <c r="M156" s="61">
        <v>9.6180555555555548E-4</v>
      </c>
      <c r="N156" s="61">
        <v>2.0706018518518519E-2</v>
      </c>
      <c r="O156" s="61">
        <v>6.3164351851851847E-2</v>
      </c>
      <c r="P156" s="59" t="s">
        <v>3393</v>
      </c>
      <c r="Q156" s="8">
        <f t="shared" si="2"/>
        <v>686</v>
      </c>
      <c r="R156" s="14"/>
      <c r="S156" s="8"/>
      <c r="T156" s="8"/>
    </row>
    <row r="157" spans="1:20" ht="15.75" customHeight="1">
      <c r="A157" s="59">
        <v>53</v>
      </c>
      <c r="B157" s="59">
        <v>160</v>
      </c>
      <c r="C157" s="60" t="s">
        <v>135</v>
      </c>
      <c r="D157" s="59" t="s">
        <v>902</v>
      </c>
      <c r="E157" s="59" t="s">
        <v>903</v>
      </c>
      <c r="F157" s="59"/>
      <c r="G157" s="59" t="s">
        <v>340</v>
      </c>
      <c r="H157" s="59" t="s">
        <v>420</v>
      </c>
      <c r="I157" s="59">
        <v>3</v>
      </c>
      <c r="J157" s="61">
        <v>1.258912037037037E-2</v>
      </c>
      <c r="K157" s="61">
        <v>1.2164351851851852E-3</v>
      </c>
      <c r="L157" s="61">
        <v>2.7094907407407408E-2</v>
      </c>
      <c r="M157" s="61">
        <v>5.3703703703703704E-4</v>
      </c>
      <c r="N157" s="61">
        <v>2.1930555555555554E-2</v>
      </c>
      <c r="O157" s="61">
        <v>6.3369212962962967E-2</v>
      </c>
      <c r="P157" s="59" t="s">
        <v>3394</v>
      </c>
      <c r="Q157" s="8">
        <f t="shared" si="2"/>
        <v>683</v>
      </c>
      <c r="R157" s="14"/>
      <c r="S157" s="8"/>
      <c r="T157" s="8"/>
    </row>
    <row r="158" spans="1:20" ht="15.75" customHeight="1">
      <c r="A158" s="59">
        <v>54</v>
      </c>
      <c r="B158" s="59">
        <v>163</v>
      </c>
      <c r="C158" s="60" t="s">
        <v>135</v>
      </c>
      <c r="D158" s="59" t="s">
        <v>2646</v>
      </c>
      <c r="E158" s="59" t="s">
        <v>2647</v>
      </c>
      <c r="F158" s="59" t="s">
        <v>148</v>
      </c>
      <c r="G158" s="59" t="s">
        <v>340</v>
      </c>
      <c r="H158" s="59" t="s">
        <v>341</v>
      </c>
      <c r="I158" s="59">
        <v>7</v>
      </c>
      <c r="J158" s="61">
        <v>1.0439814814814815E-2</v>
      </c>
      <c r="K158" s="61">
        <v>1.8761574074074073E-3</v>
      </c>
      <c r="L158" s="61">
        <v>2.8549768518518516E-2</v>
      </c>
      <c r="M158" s="61">
        <v>6.6435185185185184E-4</v>
      </c>
      <c r="N158" s="61">
        <v>2.2189814814814815E-2</v>
      </c>
      <c r="O158" s="61">
        <v>6.3723379629629623E-2</v>
      </c>
      <c r="P158" s="59" t="s">
        <v>3395</v>
      </c>
      <c r="Q158" s="8">
        <f t="shared" si="2"/>
        <v>680</v>
      </c>
      <c r="R158" s="14"/>
      <c r="S158" s="8"/>
      <c r="T158" s="8"/>
    </row>
    <row r="159" spans="1:20" ht="15.75" customHeight="1">
      <c r="A159" s="59">
        <v>55</v>
      </c>
      <c r="B159" s="59">
        <v>178</v>
      </c>
      <c r="C159" s="60" t="s">
        <v>135</v>
      </c>
      <c r="D159" s="59" t="s">
        <v>2631</v>
      </c>
      <c r="E159" s="59" t="s">
        <v>2632</v>
      </c>
      <c r="F159" s="59" t="s">
        <v>153</v>
      </c>
      <c r="G159" s="59" t="s">
        <v>340</v>
      </c>
      <c r="H159" s="59" t="s">
        <v>420</v>
      </c>
      <c r="I159" s="59">
        <v>4</v>
      </c>
      <c r="J159" s="61">
        <v>1.0515046296296297E-2</v>
      </c>
      <c r="K159" s="61">
        <v>1.3715277777777777E-3</v>
      </c>
      <c r="L159" s="61">
        <v>2.7892361111111111E-2</v>
      </c>
      <c r="M159" s="61">
        <v>8.7499999999999991E-4</v>
      </c>
      <c r="N159" s="61">
        <v>2.3086805555555555E-2</v>
      </c>
      <c r="O159" s="61">
        <v>6.3743055555555553E-2</v>
      </c>
      <c r="P159" s="59" t="s">
        <v>3396</v>
      </c>
      <c r="Q159" s="8">
        <f t="shared" si="2"/>
        <v>679</v>
      </c>
      <c r="R159" s="14"/>
      <c r="S159" s="8"/>
      <c r="T159" s="8"/>
    </row>
    <row r="160" spans="1:20" ht="15.75" customHeight="1">
      <c r="A160" s="59">
        <v>56</v>
      </c>
      <c r="B160" s="59">
        <v>199</v>
      </c>
      <c r="C160" s="60" t="s">
        <v>135</v>
      </c>
      <c r="D160" s="59" t="s">
        <v>952</v>
      </c>
      <c r="E160" s="59" t="s">
        <v>953</v>
      </c>
      <c r="F160" s="59"/>
      <c r="G160" s="59" t="s">
        <v>340</v>
      </c>
      <c r="H160" s="59" t="s">
        <v>352</v>
      </c>
      <c r="I160" s="59">
        <v>4</v>
      </c>
      <c r="J160" s="61">
        <v>1.1377314814814814E-2</v>
      </c>
      <c r="K160" s="61">
        <v>1.5868055555555555E-3</v>
      </c>
      <c r="L160" s="61">
        <v>2.9252314814814814E-2</v>
      </c>
      <c r="M160" s="61">
        <v>6.7129629629629625E-4</v>
      </c>
      <c r="N160" s="61">
        <v>2.1141203703703704E-2</v>
      </c>
      <c r="O160" s="61">
        <v>6.4031249999999998E-2</v>
      </c>
      <c r="P160" s="59" t="s">
        <v>3397</v>
      </c>
      <c r="Q160" s="8">
        <f t="shared" si="2"/>
        <v>676</v>
      </c>
      <c r="R160" s="14"/>
      <c r="S160" s="8"/>
      <c r="T160" s="8"/>
    </row>
    <row r="161" spans="1:20" ht="15.75" customHeight="1">
      <c r="A161" s="59">
        <v>57</v>
      </c>
      <c r="B161" s="59">
        <v>195</v>
      </c>
      <c r="C161" s="60" t="s">
        <v>135</v>
      </c>
      <c r="D161" s="59" t="s">
        <v>3398</v>
      </c>
      <c r="E161" s="59" t="s">
        <v>3399</v>
      </c>
      <c r="F161" s="59" t="s">
        <v>138</v>
      </c>
      <c r="G161" s="59" t="s">
        <v>319</v>
      </c>
      <c r="H161" s="59" t="s">
        <v>139</v>
      </c>
      <c r="I161" s="59">
        <v>3</v>
      </c>
      <c r="J161" s="61">
        <v>1.2543981481481481E-2</v>
      </c>
      <c r="K161" s="61">
        <v>8.1134259259259256E-4</v>
      </c>
      <c r="L161" s="61">
        <v>2.9740740740740741E-2</v>
      </c>
      <c r="M161" s="61">
        <v>4.6064814814814813E-4</v>
      </c>
      <c r="N161" s="61">
        <v>2.0527777777777777E-2</v>
      </c>
      <c r="O161" s="61">
        <v>6.4086805555555557E-2</v>
      </c>
      <c r="P161" s="59" t="s">
        <v>3400</v>
      </c>
      <c r="Q161" s="8">
        <f t="shared" si="2"/>
        <v>676</v>
      </c>
      <c r="R161" s="14"/>
      <c r="S161" s="8"/>
      <c r="T161" s="8"/>
    </row>
    <row r="162" spans="1:20" ht="15.75" customHeight="1">
      <c r="A162" s="59">
        <v>58</v>
      </c>
      <c r="B162" s="59">
        <v>183</v>
      </c>
      <c r="C162" s="60" t="s">
        <v>135</v>
      </c>
      <c r="D162" s="59" t="s">
        <v>929</v>
      </c>
      <c r="E162" s="59" t="s">
        <v>930</v>
      </c>
      <c r="F162" s="59" t="s">
        <v>138</v>
      </c>
      <c r="G162" s="59" t="s">
        <v>319</v>
      </c>
      <c r="H162" s="59" t="s">
        <v>163</v>
      </c>
      <c r="I162" s="59">
        <v>1</v>
      </c>
      <c r="J162" s="61">
        <v>1.0634259259259258E-2</v>
      </c>
      <c r="K162" s="61">
        <v>1.5902777777777779E-3</v>
      </c>
      <c r="L162" s="61">
        <v>2.9391203703703704E-2</v>
      </c>
      <c r="M162" s="61">
        <v>6.111111111111111E-4</v>
      </c>
      <c r="N162" s="61">
        <v>2.1931712962962965E-2</v>
      </c>
      <c r="O162" s="61">
        <v>6.416087962962963E-2</v>
      </c>
      <c r="P162" s="59" t="s">
        <v>3401</v>
      </c>
      <c r="Q162" s="8">
        <f t="shared" si="2"/>
        <v>675</v>
      </c>
      <c r="R162" s="14"/>
      <c r="S162" s="8"/>
      <c r="T162" s="8"/>
    </row>
    <row r="163" spans="1:20" ht="15.75" customHeight="1">
      <c r="A163" s="59">
        <v>59</v>
      </c>
      <c r="B163" s="59">
        <v>216</v>
      </c>
      <c r="C163" s="60" t="s">
        <v>135</v>
      </c>
      <c r="D163" s="59" t="s">
        <v>3112</v>
      </c>
      <c r="E163" s="59" t="s">
        <v>3113</v>
      </c>
      <c r="F163" s="59" t="s">
        <v>199</v>
      </c>
      <c r="G163" s="59" t="s">
        <v>319</v>
      </c>
      <c r="H163" s="59" t="s">
        <v>159</v>
      </c>
      <c r="I163" s="59">
        <v>1</v>
      </c>
      <c r="J163" s="61">
        <v>1.074074074074074E-2</v>
      </c>
      <c r="K163" s="61">
        <v>1.6099537037037037E-3</v>
      </c>
      <c r="L163" s="61">
        <v>2.8680555555555556E-2</v>
      </c>
      <c r="M163" s="61">
        <v>4.259259259259259E-4</v>
      </c>
      <c r="N163" s="61">
        <v>2.312847222222222E-2</v>
      </c>
      <c r="O163" s="61">
        <v>6.4586805555555557E-2</v>
      </c>
      <c r="P163" s="59" t="s">
        <v>3402</v>
      </c>
      <c r="Q163" s="8">
        <f t="shared" si="2"/>
        <v>671</v>
      </c>
      <c r="R163" s="14"/>
      <c r="S163" s="8"/>
      <c r="T163" s="8"/>
    </row>
    <row r="164" spans="1:20" ht="15.75" customHeight="1">
      <c r="A164" s="59">
        <v>60</v>
      </c>
      <c r="B164" s="59">
        <v>185</v>
      </c>
      <c r="C164" s="60" t="s">
        <v>135</v>
      </c>
      <c r="D164" s="59" t="s">
        <v>1287</v>
      </c>
      <c r="E164" s="59" t="s">
        <v>1288</v>
      </c>
      <c r="F164" s="59" t="s">
        <v>199</v>
      </c>
      <c r="G164" s="59" t="s">
        <v>319</v>
      </c>
      <c r="H164" s="59" t="s">
        <v>163</v>
      </c>
      <c r="I164" s="59">
        <v>2</v>
      </c>
      <c r="J164" s="61">
        <v>1.2252314814814813E-2</v>
      </c>
      <c r="K164" s="61">
        <v>1.0995370370370371E-3</v>
      </c>
      <c r="L164" s="61">
        <v>2.8725694444444446E-2</v>
      </c>
      <c r="M164" s="61">
        <v>4.1203703703703704E-4</v>
      </c>
      <c r="N164" s="61">
        <v>2.247222222222222E-2</v>
      </c>
      <c r="O164" s="61">
        <v>6.4961805555555557E-2</v>
      </c>
      <c r="P164" s="59" t="s">
        <v>3403</v>
      </c>
      <c r="Q164" s="8">
        <f t="shared" si="2"/>
        <v>667</v>
      </c>
      <c r="R164" s="14"/>
      <c r="S164" s="8"/>
      <c r="T164" s="8"/>
    </row>
    <row r="165" spans="1:20" ht="15.75" customHeight="1">
      <c r="A165" s="59">
        <v>61</v>
      </c>
      <c r="B165" s="59">
        <v>228</v>
      </c>
      <c r="C165" s="60" t="s">
        <v>135</v>
      </c>
      <c r="D165" s="59" t="s">
        <v>3404</v>
      </c>
      <c r="E165" s="59" t="s">
        <v>3405</v>
      </c>
      <c r="F165" s="59" t="s">
        <v>138</v>
      </c>
      <c r="G165" s="59" t="s">
        <v>319</v>
      </c>
      <c r="H165" s="59" t="s">
        <v>149</v>
      </c>
      <c r="I165" s="59">
        <v>3</v>
      </c>
      <c r="J165" s="61">
        <v>1.1640046296296298E-2</v>
      </c>
      <c r="K165" s="61">
        <v>1.0775462962962963E-3</v>
      </c>
      <c r="L165" s="61">
        <v>2.8497685185185181E-2</v>
      </c>
      <c r="M165" s="61">
        <v>7.9398148148148145E-4</v>
      </c>
      <c r="N165" s="61">
        <v>2.3081018518518518E-2</v>
      </c>
      <c r="O165" s="61">
        <v>6.5092592592592591E-2</v>
      </c>
      <c r="P165" s="59" t="s">
        <v>3406</v>
      </c>
      <c r="Q165" s="8">
        <f t="shared" si="2"/>
        <v>665</v>
      </c>
      <c r="R165" s="14"/>
      <c r="S165" s="8"/>
      <c r="T165" s="8"/>
    </row>
    <row r="166" spans="1:20" ht="15.75" customHeight="1">
      <c r="A166" s="59">
        <v>62</v>
      </c>
      <c r="B166" s="59">
        <v>231</v>
      </c>
      <c r="C166" s="60" t="s">
        <v>135</v>
      </c>
      <c r="D166" s="59" t="s">
        <v>973</v>
      </c>
      <c r="E166" s="59" t="s">
        <v>974</v>
      </c>
      <c r="F166" s="59" t="s">
        <v>975</v>
      </c>
      <c r="G166" s="59" t="s">
        <v>340</v>
      </c>
      <c r="H166" s="59" t="s">
        <v>357</v>
      </c>
      <c r="I166" s="59">
        <v>9</v>
      </c>
      <c r="J166" s="61">
        <v>1.2418981481481482E-2</v>
      </c>
      <c r="K166" s="61">
        <v>2.0775462962962961E-3</v>
      </c>
      <c r="L166" s="61">
        <v>2.6936342592592595E-2</v>
      </c>
      <c r="M166" s="61">
        <v>6.6550925925925924E-4</v>
      </c>
      <c r="N166" s="61">
        <v>2.3188657407407408E-2</v>
      </c>
      <c r="O166" s="61">
        <v>6.5288194444444433E-2</v>
      </c>
      <c r="P166" s="59" t="s">
        <v>3407</v>
      </c>
      <c r="Q166" s="8">
        <f t="shared" si="2"/>
        <v>663</v>
      </c>
      <c r="R166" s="14"/>
      <c r="S166" s="8"/>
      <c r="T166" s="8"/>
    </row>
    <row r="167" spans="1:20" ht="15.75" customHeight="1">
      <c r="A167" s="59">
        <v>63</v>
      </c>
      <c r="B167" s="59">
        <v>208</v>
      </c>
      <c r="C167" s="60" t="s">
        <v>135</v>
      </c>
      <c r="D167" s="59" t="s">
        <v>1281</v>
      </c>
      <c r="E167" s="59" t="s">
        <v>1282</v>
      </c>
      <c r="F167" s="59" t="s">
        <v>199</v>
      </c>
      <c r="G167" s="59" t="s">
        <v>319</v>
      </c>
      <c r="H167" s="59" t="s">
        <v>139</v>
      </c>
      <c r="I167" s="59">
        <v>4</v>
      </c>
      <c r="J167" s="61">
        <v>9.5208333333333343E-3</v>
      </c>
      <c r="K167" s="61">
        <v>1.1828703703703704E-3</v>
      </c>
      <c r="L167" s="61">
        <v>2.9971064814814815E-2</v>
      </c>
      <c r="M167" s="61">
        <v>5.1851851851851853E-4</v>
      </c>
      <c r="N167" s="61">
        <v>2.4112268518518519E-2</v>
      </c>
      <c r="O167" s="61">
        <v>6.5306712962962962E-2</v>
      </c>
      <c r="P167" s="59" t="s">
        <v>3408</v>
      </c>
      <c r="Q167" s="8">
        <f t="shared" si="2"/>
        <v>663</v>
      </c>
      <c r="R167" s="14"/>
      <c r="S167" s="8"/>
      <c r="T167" s="8"/>
    </row>
    <row r="168" spans="1:20" ht="15.75" customHeight="1">
      <c r="A168" s="59">
        <v>64</v>
      </c>
      <c r="B168" s="59">
        <v>192</v>
      </c>
      <c r="C168" s="60" t="s">
        <v>135</v>
      </c>
      <c r="D168" s="59" t="s">
        <v>2683</v>
      </c>
      <c r="E168" s="59" t="s">
        <v>2684</v>
      </c>
      <c r="F168" s="59" t="s">
        <v>199</v>
      </c>
      <c r="G168" s="59" t="s">
        <v>319</v>
      </c>
      <c r="H168" s="59" t="s">
        <v>139</v>
      </c>
      <c r="I168" s="59">
        <v>5</v>
      </c>
      <c r="J168" s="61">
        <v>1.2535879629629628E-2</v>
      </c>
      <c r="K168" s="61">
        <v>1.6828703703703704E-3</v>
      </c>
      <c r="L168" s="61">
        <v>3.0081018518518517E-2</v>
      </c>
      <c r="M168" s="61">
        <v>4.5138888888888887E-4</v>
      </c>
      <c r="N168" s="61">
        <v>2.1677083333333333E-2</v>
      </c>
      <c r="O168" s="61">
        <v>6.6429398148148147E-2</v>
      </c>
      <c r="P168" s="59" t="s">
        <v>3409</v>
      </c>
      <c r="Q168" s="8">
        <f t="shared" si="2"/>
        <v>652</v>
      </c>
      <c r="R168" s="14"/>
      <c r="S168" s="8"/>
      <c r="T168" s="8"/>
    </row>
    <row r="169" spans="1:20" ht="15.75" customHeight="1">
      <c r="A169" s="59">
        <v>65</v>
      </c>
      <c r="B169" s="59">
        <v>226</v>
      </c>
      <c r="C169" s="60" t="s">
        <v>135</v>
      </c>
      <c r="D169" s="59" t="s">
        <v>932</v>
      </c>
      <c r="E169" s="59" t="s">
        <v>933</v>
      </c>
      <c r="F169" s="59" t="s">
        <v>199</v>
      </c>
      <c r="G169" s="59" t="s">
        <v>340</v>
      </c>
      <c r="H169" s="59" t="s">
        <v>348</v>
      </c>
      <c r="I169" s="59">
        <v>7</v>
      </c>
      <c r="J169" s="61">
        <v>1.3197916666666667E-2</v>
      </c>
      <c r="K169" s="61">
        <v>1.3958333333333333E-3</v>
      </c>
      <c r="L169" s="61">
        <v>2.8967592592592593E-2</v>
      </c>
      <c r="M169" s="61">
        <v>4.9421296296296301E-4</v>
      </c>
      <c r="N169" s="61">
        <v>2.2435185185185186E-2</v>
      </c>
      <c r="O169" s="61">
        <v>6.6493055555555555E-2</v>
      </c>
      <c r="P169" s="59" t="s">
        <v>2172</v>
      </c>
      <c r="Q169" s="8">
        <f t="shared" si="2"/>
        <v>651</v>
      </c>
      <c r="R169" s="14"/>
      <c r="S169" s="8"/>
      <c r="T169" s="8"/>
    </row>
    <row r="170" spans="1:20" ht="15.75" customHeight="1">
      <c r="A170" s="59">
        <v>66</v>
      </c>
      <c r="B170" s="59">
        <v>190</v>
      </c>
      <c r="C170" s="60" t="s">
        <v>135</v>
      </c>
      <c r="D170" s="59" t="s">
        <v>3410</v>
      </c>
      <c r="E170" s="59" t="s">
        <v>3411</v>
      </c>
      <c r="F170" s="59"/>
      <c r="G170" s="59" t="s">
        <v>340</v>
      </c>
      <c r="H170" s="59" t="s">
        <v>344</v>
      </c>
      <c r="I170" s="59">
        <v>10</v>
      </c>
      <c r="J170" s="61">
        <v>1.1579861111111112E-2</v>
      </c>
      <c r="K170" s="61">
        <v>1.4108796296296298E-3</v>
      </c>
      <c r="L170" s="61">
        <v>2.8872685185185185E-2</v>
      </c>
      <c r="M170" s="61">
        <v>9.2708333333333325E-4</v>
      </c>
      <c r="N170" s="61">
        <v>2.3751157407407405E-2</v>
      </c>
      <c r="O170" s="61">
        <v>6.6543981481481482E-2</v>
      </c>
      <c r="P170" s="59" t="s">
        <v>3412</v>
      </c>
      <c r="Q170" s="8">
        <f t="shared" ref="Q170:Q189" si="3">IFERROR(ROUND($O$105/O170*900,0),0)</f>
        <v>651</v>
      </c>
      <c r="R170" s="14"/>
      <c r="S170" s="8"/>
      <c r="T170" s="8"/>
    </row>
    <row r="171" spans="1:20" ht="15.75" customHeight="1">
      <c r="A171" s="59">
        <v>67</v>
      </c>
      <c r="B171" s="59">
        <v>193</v>
      </c>
      <c r="C171" s="60" t="s">
        <v>135</v>
      </c>
      <c r="D171" s="59" t="s">
        <v>3413</v>
      </c>
      <c r="E171" s="59" t="s">
        <v>3414</v>
      </c>
      <c r="F171" s="59"/>
      <c r="G171" s="59" t="s">
        <v>340</v>
      </c>
      <c r="H171" s="59" t="s">
        <v>352</v>
      </c>
      <c r="I171" s="59">
        <v>5</v>
      </c>
      <c r="J171" s="61">
        <v>1.1314814814814816E-2</v>
      </c>
      <c r="K171" s="61">
        <v>2.0902777777777777E-3</v>
      </c>
      <c r="L171" s="61">
        <v>2.9638888888888892E-2</v>
      </c>
      <c r="M171" s="61">
        <v>1.1435185185185185E-3</v>
      </c>
      <c r="N171" s="61">
        <v>2.3305555555555555E-2</v>
      </c>
      <c r="O171" s="61">
        <v>6.7494212962962957E-2</v>
      </c>
      <c r="P171" s="59" t="s">
        <v>3415</v>
      </c>
      <c r="Q171" s="8">
        <f t="shared" si="3"/>
        <v>642</v>
      </c>
      <c r="R171" s="14"/>
      <c r="S171" s="8"/>
      <c r="T171" s="8"/>
    </row>
    <row r="172" spans="1:20" ht="15.75" customHeight="1">
      <c r="A172" s="59">
        <v>68</v>
      </c>
      <c r="B172" s="59">
        <v>161</v>
      </c>
      <c r="C172" s="60" t="s">
        <v>135</v>
      </c>
      <c r="D172" s="59" t="s">
        <v>2261</v>
      </c>
      <c r="E172" s="59" t="s">
        <v>2262</v>
      </c>
      <c r="F172" s="59" t="s">
        <v>2263</v>
      </c>
      <c r="G172" s="59" t="s">
        <v>319</v>
      </c>
      <c r="H172" s="59" t="s">
        <v>149</v>
      </c>
      <c r="I172" s="59">
        <v>4</v>
      </c>
      <c r="J172" s="61">
        <v>1.2226851851851853E-2</v>
      </c>
      <c r="K172" s="61">
        <v>1.4814814814814814E-3</v>
      </c>
      <c r="L172" s="61">
        <v>3.0215277777777778E-2</v>
      </c>
      <c r="M172" s="61">
        <v>6.3888888888888893E-4</v>
      </c>
      <c r="N172" s="61">
        <v>2.3032407407407408E-2</v>
      </c>
      <c r="O172" s="61">
        <v>6.759606481481481E-2</v>
      </c>
      <c r="P172" s="59" t="s">
        <v>3416</v>
      </c>
      <c r="Q172" s="8">
        <f t="shared" si="3"/>
        <v>641</v>
      </c>
      <c r="R172" s="14"/>
      <c r="S172" s="8"/>
      <c r="T172" s="8"/>
    </row>
    <row r="173" spans="1:20" ht="15.75" customHeight="1">
      <c r="A173" s="59">
        <v>69</v>
      </c>
      <c r="B173" s="59">
        <v>165</v>
      </c>
      <c r="C173" s="60" t="s">
        <v>135</v>
      </c>
      <c r="D173" s="59" t="s">
        <v>977</v>
      </c>
      <c r="E173" s="59" t="s">
        <v>978</v>
      </c>
      <c r="F173" s="59" t="s">
        <v>3417</v>
      </c>
      <c r="G173" s="59" t="s">
        <v>340</v>
      </c>
      <c r="H173" s="59" t="s">
        <v>348</v>
      </c>
      <c r="I173" s="59">
        <v>8</v>
      </c>
      <c r="J173" s="61">
        <v>1.3277777777777779E-2</v>
      </c>
      <c r="K173" s="61">
        <v>2.0844907407407405E-3</v>
      </c>
      <c r="L173" s="61">
        <v>2.7274305555555555E-2</v>
      </c>
      <c r="M173" s="61">
        <v>8.4837962962962959E-4</v>
      </c>
      <c r="N173" s="61">
        <v>2.4225694444444442E-2</v>
      </c>
      <c r="O173" s="61">
        <v>6.7712962962962961E-2</v>
      </c>
      <c r="P173" s="59" t="s">
        <v>3418</v>
      </c>
      <c r="Q173" s="8">
        <f t="shared" si="3"/>
        <v>640</v>
      </c>
      <c r="R173" s="14"/>
      <c r="S173" s="8"/>
      <c r="T173" s="8"/>
    </row>
    <row r="174" spans="1:20" ht="15.75" customHeight="1">
      <c r="A174" s="59">
        <v>70</v>
      </c>
      <c r="B174" s="59">
        <v>184</v>
      </c>
      <c r="C174" s="60" t="s">
        <v>135</v>
      </c>
      <c r="D174" s="59" t="s">
        <v>1311</v>
      </c>
      <c r="E174" s="59" t="s">
        <v>1312</v>
      </c>
      <c r="F174" s="59"/>
      <c r="G174" s="59" t="s">
        <v>340</v>
      </c>
      <c r="H174" s="59" t="s">
        <v>341</v>
      </c>
      <c r="I174" s="59">
        <v>8</v>
      </c>
      <c r="J174" s="61">
        <v>1.2489583333333332E-2</v>
      </c>
      <c r="K174" s="61">
        <v>1.3553240740740741E-3</v>
      </c>
      <c r="L174" s="61">
        <v>2.9297453703703707E-2</v>
      </c>
      <c r="M174" s="61">
        <v>6.064814814814815E-4</v>
      </c>
      <c r="N174" s="61">
        <v>2.4664351851851851E-2</v>
      </c>
      <c r="O174" s="61">
        <v>6.8415509259259266E-2</v>
      </c>
      <c r="P174" s="59" t="s">
        <v>3419</v>
      </c>
      <c r="Q174" s="8">
        <f t="shared" si="3"/>
        <v>633</v>
      </c>
      <c r="R174" s="14"/>
      <c r="S174" s="8"/>
      <c r="T174" s="8"/>
    </row>
    <row r="175" spans="1:20" ht="15.75" customHeight="1">
      <c r="A175" s="59">
        <v>71</v>
      </c>
      <c r="B175" s="59">
        <v>233</v>
      </c>
      <c r="C175" s="60" t="s">
        <v>135</v>
      </c>
      <c r="D175" s="59" t="s">
        <v>3420</v>
      </c>
      <c r="E175" s="59" t="s">
        <v>3421</v>
      </c>
      <c r="F175" s="59" t="s">
        <v>3422</v>
      </c>
      <c r="G175" s="59" t="s">
        <v>319</v>
      </c>
      <c r="H175" s="59" t="s">
        <v>154</v>
      </c>
      <c r="I175" s="59">
        <v>1</v>
      </c>
      <c r="J175" s="61">
        <v>1.1905092592592592E-2</v>
      </c>
      <c r="K175" s="61">
        <v>1.6192129629629629E-3</v>
      </c>
      <c r="L175" s="61">
        <v>2.9768518518518517E-2</v>
      </c>
      <c r="M175" s="61">
        <v>6.134259259259259E-4</v>
      </c>
      <c r="N175" s="61">
        <v>2.4572916666666667E-2</v>
      </c>
      <c r="O175" s="61">
        <v>6.8480324074074075E-2</v>
      </c>
      <c r="P175" s="59" t="s">
        <v>3423</v>
      </c>
      <c r="Q175" s="8">
        <f t="shared" si="3"/>
        <v>632</v>
      </c>
      <c r="R175" s="14"/>
      <c r="S175" s="8"/>
      <c r="T175" s="8"/>
    </row>
    <row r="176" spans="1:20" ht="15.75" customHeight="1">
      <c r="A176" s="59">
        <v>72</v>
      </c>
      <c r="B176" s="59">
        <v>201</v>
      </c>
      <c r="C176" s="60" t="s">
        <v>135</v>
      </c>
      <c r="D176" s="59" t="s">
        <v>2278</v>
      </c>
      <c r="E176" s="59" t="s">
        <v>2279</v>
      </c>
      <c r="F176" s="59"/>
      <c r="G176" s="59" t="s">
        <v>340</v>
      </c>
      <c r="H176" s="59" t="s">
        <v>344</v>
      </c>
      <c r="I176" s="59">
        <v>11</v>
      </c>
      <c r="J176" s="61">
        <v>1.1641203703703704E-2</v>
      </c>
      <c r="K176" s="61">
        <v>1.8541666666666665E-3</v>
      </c>
      <c r="L176" s="61">
        <v>3.3638888888888892E-2</v>
      </c>
      <c r="M176" s="61">
        <v>3.3680555555555558E-4</v>
      </c>
      <c r="N176" s="61">
        <v>2.1803240740740741E-2</v>
      </c>
      <c r="O176" s="61">
        <v>6.927662037037037E-2</v>
      </c>
      <c r="P176" s="59" t="s">
        <v>3424</v>
      </c>
      <c r="Q176" s="8">
        <f t="shared" si="3"/>
        <v>625</v>
      </c>
      <c r="R176" s="14"/>
      <c r="S176" s="8"/>
      <c r="T176" s="8"/>
    </row>
    <row r="177" spans="1:20" ht="15.75" customHeight="1">
      <c r="A177" s="59">
        <v>73</v>
      </c>
      <c r="B177" s="59">
        <v>198</v>
      </c>
      <c r="C177" s="60" t="s">
        <v>135</v>
      </c>
      <c r="D177" s="59" t="s">
        <v>993</v>
      </c>
      <c r="E177" s="59" t="s">
        <v>994</v>
      </c>
      <c r="F177" s="59" t="s">
        <v>3425</v>
      </c>
      <c r="G177" s="59" t="s">
        <v>340</v>
      </c>
      <c r="H177" s="59" t="s">
        <v>344</v>
      </c>
      <c r="I177" s="59">
        <v>12</v>
      </c>
      <c r="J177" s="61">
        <v>1.4440972222222223E-2</v>
      </c>
      <c r="K177" s="61">
        <v>1.3263888888888889E-3</v>
      </c>
      <c r="L177" s="61">
        <v>2.966550925925926E-2</v>
      </c>
      <c r="M177" s="61">
        <v>6.5393518518518513E-4</v>
      </c>
      <c r="N177" s="61">
        <v>2.3410879629629629E-2</v>
      </c>
      <c r="O177" s="61">
        <v>6.9500000000000006E-2</v>
      </c>
      <c r="P177" s="59" t="s">
        <v>3426</v>
      </c>
      <c r="Q177" s="8">
        <f t="shared" si="3"/>
        <v>623</v>
      </c>
      <c r="R177" s="14"/>
      <c r="S177" s="8"/>
      <c r="T177" s="8"/>
    </row>
    <row r="178" spans="1:20" ht="15.75" customHeight="1">
      <c r="A178" s="59">
        <v>74</v>
      </c>
      <c r="B178" s="59">
        <v>221</v>
      </c>
      <c r="C178" s="60" t="s">
        <v>135</v>
      </c>
      <c r="D178" s="59" t="s">
        <v>3427</v>
      </c>
      <c r="E178" s="59" t="s">
        <v>3428</v>
      </c>
      <c r="F178" s="59" t="s">
        <v>203</v>
      </c>
      <c r="G178" s="59" t="s">
        <v>319</v>
      </c>
      <c r="H178" s="59" t="s">
        <v>139</v>
      </c>
      <c r="I178" s="59">
        <v>6</v>
      </c>
      <c r="J178" s="61">
        <v>1.1841435185185186E-2</v>
      </c>
      <c r="K178" s="61">
        <v>1.8136574074074073E-3</v>
      </c>
      <c r="L178" s="61">
        <v>3.0203703703703701E-2</v>
      </c>
      <c r="M178" s="61">
        <v>7.5115740740740752E-4</v>
      </c>
      <c r="N178" s="61">
        <v>2.5266203703703704E-2</v>
      </c>
      <c r="O178" s="61">
        <v>6.9879629629629639E-2</v>
      </c>
      <c r="P178" s="59" t="s">
        <v>3429</v>
      </c>
      <c r="Q178" s="8">
        <f t="shared" si="3"/>
        <v>620</v>
      </c>
      <c r="S178" s="8"/>
      <c r="T178" s="8"/>
    </row>
    <row r="179" spans="1:20" ht="15.75" customHeight="1">
      <c r="A179" s="59">
        <v>75</v>
      </c>
      <c r="B179" s="59">
        <v>44</v>
      </c>
      <c r="C179" s="60" t="s">
        <v>135</v>
      </c>
      <c r="D179" s="59" t="s">
        <v>3430</v>
      </c>
      <c r="E179" s="59" t="s">
        <v>3431</v>
      </c>
      <c r="F179" s="59"/>
      <c r="G179" s="59" t="s">
        <v>340</v>
      </c>
      <c r="H179" s="59" t="s">
        <v>344</v>
      </c>
      <c r="I179" s="59">
        <v>13</v>
      </c>
      <c r="J179" s="61">
        <v>1.2719907407407407E-2</v>
      </c>
      <c r="K179" s="61">
        <v>3.4201388888888888E-3</v>
      </c>
      <c r="L179" s="61">
        <v>2.9528935185185186E-2</v>
      </c>
      <c r="M179" s="61">
        <v>5.6134259259259256E-4</v>
      </c>
      <c r="N179" s="61">
        <v>2.3788194444444445E-2</v>
      </c>
      <c r="O179" s="61">
        <v>7.0020833333333338E-2</v>
      </c>
      <c r="P179" s="59" t="s">
        <v>3432</v>
      </c>
      <c r="Q179" s="8">
        <f t="shared" si="3"/>
        <v>619</v>
      </c>
      <c r="S179" s="8"/>
      <c r="T179" s="8"/>
    </row>
    <row r="180" spans="1:20" ht="15.75" customHeight="1">
      <c r="A180" s="59">
        <v>76</v>
      </c>
      <c r="B180" s="59">
        <v>217</v>
      </c>
      <c r="C180" s="60" t="s">
        <v>135</v>
      </c>
      <c r="D180" s="59" t="s">
        <v>1308</v>
      </c>
      <c r="E180" s="59" t="s">
        <v>1309</v>
      </c>
      <c r="F180" s="59" t="s">
        <v>148</v>
      </c>
      <c r="G180" s="59" t="s">
        <v>340</v>
      </c>
      <c r="H180" s="59" t="s">
        <v>420</v>
      </c>
      <c r="I180" s="59">
        <v>5</v>
      </c>
      <c r="J180" s="61">
        <v>1.5819444444444445E-2</v>
      </c>
      <c r="K180" s="61">
        <v>1.6516203703703701E-3</v>
      </c>
      <c r="L180" s="61">
        <v>2.9616898148148149E-2</v>
      </c>
      <c r="M180" s="61">
        <v>5.8564814814814818E-4</v>
      </c>
      <c r="N180" s="61">
        <v>2.3039351851851853E-2</v>
      </c>
      <c r="O180" s="61">
        <v>7.071527777777778E-2</v>
      </c>
      <c r="P180" s="59" t="s">
        <v>2723</v>
      </c>
      <c r="Q180" s="8">
        <f t="shared" si="3"/>
        <v>612</v>
      </c>
      <c r="S180" s="8"/>
      <c r="T180" s="8"/>
    </row>
    <row r="181" spans="1:20" ht="15.75" customHeight="1">
      <c r="A181" s="59">
        <v>77</v>
      </c>
      <c r="B181" s="59">
        <v>189</v>
      </c>
      <c r="C181" s="60" t="s">
        <v>135</v>
      </c>
      <c r="D181" s="59" t="s">
        <v>2686</v>
      </c>
      <c r="E181" s="59" t="s">
        <v>2687</v>
      </c>
      <c r="F181" s="59" t="s">
        <v>2688</v>
      </c>
      <c r="G181" s="59" t="s">
        <v>319</v>
      </c>
      <c r="H181" s="59" t="s">
        <v>149</v>
      </c>
      <c r="I181" s="59">
        <v>5</v>
      </c>
      <c r="J181" s="61">
        <v>1.2028935185185184E-2</v>
      </c>
      <c r="K181" s="61">
        <v>2.2349537037037038E-3</v>
      </c>
      <c r="L181" s="61">
        <v>3.3305555555555554E-2</v>
      </c>
      <c r="M181" s="61">
        <v>1.0081018518518518E-3</v>
      </c>
      <c r="N181" s="61">
        <v>2.2277777777777778E-2</v>
      </c>
      <c r="O181" s="61">
        <v>7.0856481481481479E-2</v>
      </c>
      <c r="P181" s="59" t="s">
        <v>3433</v>
      </c>
      <c r="Q181" s="8">
        <f t="shared" si="3"/>
        <v>611</v>
      </c>
      <c r="S181" s="8"/>
      <c r="T181" s="8"/>
    </row>
    <row r="182" spans="1:20" ht="15.75" customHeight="1">
      <c r="A182" s="59">
        <v>78</v>
      </c>
      <c r="B182" s="59">
        <v>172</v>
      </c>
      <c r="C182" s="60" t="s">
        <v>135</v>
      </c>
      <c r="D182" s="59" t="s">
        <v>949</v>
      </c>
      <c r="E182" s="59" t="s">
        <v>950</v>
      </c>
      <c r="F182" s="59" t="s">
        <v>199</v>
      </c>
      <c r="G182" s="59" t="s">
        <v>340</v>
      </c>
      <c r="H182" s="59" t="s">
        <v>348</v>
      </c>
      <c r="I182" s="59">
        <v>9</v>
      </c>
      <c r="J182" s="61">
        <v>1.1646990740740741E-2</v>
      </c>
      <c r="K182" s="61">
        <v>1.2685185185185184E-3</v>
      </c>
      <c r="L182" s="61">
        <v>3.0518518518518521E-2</v>
      </c>
      <c r="M182" s="61">
        <v>1.3101851851851853E-3</v>
      </c>
      <c r="N182" s="61">
        <v>2.6305555555555558E-2</v>
      </c>
      <c r="O182" s="61">
        <v>7.1053240740740736E-2</v>
      </c>
      <c r="P182" s="59" t="s">
        <v>3434</v>
      </c>
      <c r="Q182" s="8">
        <f t="shared" si="3"/>
        <v>610</v>
      </c>
      <c r="S182" s="8"/>
      <c r="T182" s="8"/>
    </row>
    <row r="183" spans="1:20" ht="15.75" customHeight="1">
      <c r="A183" s="59">
        <v>79</v>
      </c>
      <c r="B183" s="59">
        <v>222</v>
      </c>
      <c r="C183" s="59"/>
      <c r="D183" s="59" t="s">
        <v>3435</v>
      </c>
      <c r="E183" s="59" t="s">
        <v>3436</v>
      </c>
      <c r="F183" s="59"/>
      <c r="G183" s="59" t="s">
        <v>340</v>
      </c>
      <c r="H183" s="59" t="s">
        <v>341</v>
      </c>
      <c r="I183" s="59">
        <v>9</v>
      </c>
      <c r="J183" s="61">
        <v>1.2440972222222223E-2</v>
      </c>
      <c r="K183" s="61">
        <v>1.244212962962963E-3</v>
      </c>
      <c r="L183" s="61">
        <v>3.2777777777777781E-2</v>
      </c>
      <c r="M183" s="61">
        <v>1.4594907407407406E-3</v>
      </c>
      <c r="N183" s="61">
        <v>2.5517361111111109E-2</v>
      </c>
      <c r="O183" s="61">
        <v>7.3442129629629621E-2</v>
      </c>
      <c r="P183" s="59" t="s">
        <v>3437</v>
      </c>
      <c r="Q183" s="8">
        <f t="shared" si="3"/>
        <v>590</v>
      </c>
      <c r="S183" s="8"/>
      <c r="T183" s="8"/>
    </row>
    <row r="184" spans="1:20" ht="15.75" customHeight="1">
      <c r="A184" s="59">
        <v>80</v>
      </c>
      <c r="B184" s="59">
        <v>186</v>
      </c>
      <c r="C184" s="60" t="s">
        <v>135</v>
      </c>
      <c r="D184" s="59" t="s">
        <v>3438</v>
      </c>
      <c r="E184" s="59" t="s">
        <v>3439</v>
      </c>
      <c r="F184" s="59" t="s">
        <v>1005</v>
      </c>
      <c r="G184" s="59" t="s">
        <v>340</v>
      </c>
      <c r="H184" s="59" t="s">
        <v>448</v>
      </c>
      <c r="I184" s="59">
        <v>4</v>
      </c>
      <c r="J184" s="61">
        <v>1.0738425925925926E-2</v>
      </c>
      <c r="K184" s="61">
        <v>2.2986111111111111E-3</v>
      </c>
      <c r="L184" s="61">
        <v>3.2149305555555556E-2</v>
      </c>
      <c r="M184" s="61">
        <v>8.3333333333333339E-4</v>
      </c>
      <c r="N184" s="61">
        <v>2.7620370370370372E-2</v>
      </c>
      <c r="O184" s="61">
        <v>7.364236111111111E-2</v>
      </c>
      <c r="P184" s="59" t="s">
        <v>3440</v>
      </c>
      <c r="Q184" s="8">
        <f t="shared" si="3"/>
        <v>588</v>
      </c>
      <c r="S184" s="8"/>
      <c r="T184" s="8"/>
    </row>
    <row r="185" spans="1:20" ht="15.75" customHeight="1">
      <c r="A185" s="59">
        <v>81</v>
      </c>
      <c r="B185" s="59">
        <v>164</v>
      </c>
      <c r="C185" s="60" t="s">
        <v>135</v>
      </c>
      <c r="D185" s="59" t="s">
        <v>3441</v>
      </c>
      <c r="E185" s="59" t="s">
        <v>3442</v>
      </c>
      <c r="F185" s="59"/>
      <c r="G185" s="59" t="s">
        <v>340</v>
      </c>
      <c r="H185" s="59" t="s">
        <v>357</v>
      </c>
      <c r="I185" s="59">
        <v>10</v>
      </c>
      <c r="J185" s="61">
        <v>1.1297453703703704E-2</v>
      </c>
      <c r="K185" s="61">
        <v>1.3923611111111111E-3</v>
      </c>
      <c r="L185" s="61">
        <v>3.0565972222222224E-2</v>
      </c>
      <c r="M185" s="61">
        <v>1.3854166666666667E-3</v>
      </c>
      <c r="N185" s="61">
        <v>2.9758101851851852E-2</v>
      </c>
      <c r="O185" s="61">
        <v>7.440046296296296E-2</v>
      </c>
      <c r="P185" s="59" t="s">
        <v>3443</v>
      </c>
      <c r="Q185" s="8">
        <f t="shared" si="3"/>
        <v>582</v>
      </c>
      <c r="S185" s="8"/>
      <c r="T185" s="8"/>
    </row>
    <row r="186" spans="1:20" ht="15.75" customHeight="1">
      <c r="A186" s="59">
        <v>82</v>
      </c>
      <c r="B186" s="59">
        <v>206</v>
      </c>
      <c r="C186" s="60" t="s">
        <v>135</v>
      </c>
      <c r="D186" s="59" t="s">
        <v>1014</v>
      </c>
      <c r="E186" s="59" t="s">
        <v>1015</v>
      </c>
      <c r="F186" s="59"/>
      <c r="G186" s="59" t="s">
        <v>319</v>
      </c>
      <c r="H186" s="59" t="s">
        <v>238</v>
      </c>
      <c r="I186" s="59">
        <v>1</v>
      </c>
      <c r="J186" s="61">
        <v>1.2902777777777777E-2</v>
      </c>
      <c r="K186" s="61">
        <v>1.7442129629629628E-3</v>
      </c>
      <c r="L186" s="61">
        <v>3.2386574074074075E-2</v>
      </c>
      <c r="M186" s="61">
        <v>1.2118055555555556E-3</v>
      </c>
      <c r="N186" s="61">
        <v>2.9932870370370367E-2</v>
      </c>
      <c r="O186" s="61">
        <v>7.8179398148148144E-2</v>
      </c>
      <c r="P186" s="59" t="s">
        <v>3444</v>
      </c>
      <c r="Q186" s="8">
        <f t="shared" si="3"/>
        <v>554</v>
      </c>
      <c r="S186" s="8"/>
      <c r="T186" s="8"/>
    </row>
    <row r="187" spans="1:20" ht="15.75" customHeight="1">
      <c r="A187" s="59">
        <v>83</v>
      </c>
      <c r="B187" s="59">
        <v>194</v>
      </c>
      <c r="C187" s="60" t="s">
        <v>135</v>
      </c>
      <c r="D187" s="59" t="s">
        <v>2045</v>
      </c>
      <c r="E187" s="59" t="s">
        <v>2046</v>
      </c>
      <c r="F187" s="59" t="s">
        <v>1497</v>
      </c>
      <c r="G187" s="59" t="s">
        <v>340</v>
      </c>
      <c r="H187" s="59" t="s">
        <v>624</v>
      </c>
      <c r="I187" s="59">
        <v>3</v>
      </c>
      <c r="J187" s="61">
        <v>1.7065972222222222E-2</v>
      </c>
      <c r="K187" s="61">
        <v>4.3807870370370372E-3</v>
      </c>
      <c r="L187" s="61">
        <v>3.5365740740740739E-2</v>
      </c>
      <c r="M187" s="61">
        <v>5.2777777777777784E-4</v>
      </c>
      <c r="N187" s="61">
        <v>4.0814814814814818E-2</v>
      </c>
      <c r="O187" s="61">
        <v>9.8158564814814817E-2</v>
      </c>
      <c r="P187" s="59" t="s">
        <v>3445</v>
      </c>
      <c r="Q187" s="8">
        <f t="shared" si="3"/>
        <v>441</v>
      </c>
      <c r="S187" s="8"/>
      <c r="T187" s="8"/>
    </row>
    <row r="188" spans="1:20" ht="15.75" customHeight="1">
      <c r="A188" s="59" t="s">
        <v>683</v>
      </c>
      <c r="B188" s="59">
        <v>167</v>
      </c>
      <c r="C188" s="60" t="s">
        <v>135</v>
      </c>
      <c r="D188" s="59" t="s">
        <v>299</v>
      </c>
      <c r="E188" s="59" t="s">
        <v>300</v>
      </c>
      <c r="F188" s="59" t="s">
        <v>138</v>
      </c>
      <c r="G188" s="59" t="s">
        <v>340</v>
      </c>
      <c r="H188" s="59" t="s">
        <v>420</v>
      </c>
      <c r="I188" s="59"/>
      <c r="J188" s="61">
        <v>1.1871527777777778E-2</v>
      </c>
      <c r="K188" s="61">
        <v>2.693287037037037E-3</v>
      </c>
      <c r="L188" s="59"/>
      <c r="M188" s="59"/>
      <c r="N188" s="59"/>
      <c r="O188" s="59" t="s">
        <v>686</v>
      </c>
      <c r="P188" s="59"/>
      <c r="Q188" s="8">
        <f t="shared" si="3"/>
        <v>0</v>
      </c>
      <c r="S188" s="8"/>
      <c r="T188" s="8"/>
    </row>
    <row r="189" spans="1:20" ht="15.75" customHeight="1">
      <c r="A189" s="59" t="s">
        <v>683</v>
      </c>
      <c r="B189" s="59">
        <v>227</v>
      </c>
      <c r="C189" s="60" t="s">
        <v>135</v>
      </c>
      <c r="D189" s="59" t="s">
        <v>1821</v>
      </c>
      <c r="E189" s="59" t="s">
        <v>1822</v>
      </c>
      <c r="F189" s="59"/>
      <c r="G189" s="59" t="s">
        <v>340</v>
      </c>
      <c r="H189" s="59" t="s">
        <v>348</v>
      </c>
      <c r="I189" s="59"/>
      <c r="J189" s="61">
        <v>1.146875E-2</v>
      </c>
      <c r="K189" s="61">
        <v>1.4027777777777777E-3</v>
      </c>
      <c r="L189" s="59"/>
      <c r="M189" s="59"/>
      <c r="N189" s="59"/>
      <c r="O189" s="59" t="s">
        <v>686</v>
      </c>
      <c r="P189" s="59"/>
      <c r="Q189" s="8">
        <f t="shared" si="3"/>
        <v>0</v>
      </c>
      <c r="S189" s="8"/>
      <c r="T189" s="8"/>
    </row>
    <row r="190" spans="1:20" ht="15.75" customHeight="1">
      <c r="I190" s="14"/>
      <c r="J190" s="15"/>
      <c r="K190" s="15"/>
      <c r="M190" s="14"/>
      <c r="N190" s="11"/>
      <c r="O190" s="15"/>
      <c r="Q190" s="14"/>
      <c r="S190" s="8"/>
      <c r="T190" s="8"/>
    </row>
    <row r="191" spans="1:20" ht="15.75" customHeight="1">
      <c r="I191" s="14"/>
      <c r="J191" s="15"/>
      <c r="K191" s="15"/>
      <c r="M191" s="14"/>
      <c r="N191" s="11"/>
      <c r="O191" s="15"/>
      <c r="Q191" s="14"/>
      <c r="S191" s="8"/>
      <c r="T191" s="8"/>
    </row>
    <row r="192" spans="1:20" ht="15.75" customHeight="1">
      <c r="I192" s="14"/>
      <c r="J192" s="15"/>
      <c r="K192" s="15"/>
      <c r="M192" s="14"/>
      <c r="N192" s="11"/>
      <c r="O192" s="15"/>
      <c r="Q192" s="14"/>
      <c r="S192" s="8"/>
      <c r="T192" s="8"/>
    </row>
    <row r="193" spans="9:20" ht="15.75" customHeight="1">
      <c r="I193" s="14"/>
      <c r="J193" s="15"/>
      <c r="K193" s="15"/>
      <c r="M193" s="14"/>
      <c r="N193" s="11"/>
      <c r="O193" s="15"/>
      <c r="Q193" s="14"/>
      <c r="S193" s="8"/>
      <c r="T193" s="8"/>
    </row>
    <row r="194" spans="9:20" ht="15.75" customHeight="1">
      <c r="I194" s="14"/>
      <c r="J194" s="15"/>
      <c r="K194" s="15"/>
      <c r="M194" s="14"/>
      <c r="N194" s="11"/>
      <c r="O194" s="15"/>
      <c r="Q194" s="14"/>
      <c r="S194" s="8"/>
      <c r="T194" s="8"/>
    </row>
    <row r="195" spans="9:20" ht="15.75" customHeight="1">
      <c r="I195" s="14"/>
      <c r="J195" s="15"/>
      <c r="K195" s="15"/>
      <c r="M195" s="14"/>
      <c r="N195" s="11"/>
      <c r="O195" s="15"/>
      <c r="Q195" s="14"/>
      <c r="S195" s="8"/>
      <c r="T195" s="8"/>
    </row>
    <row r="196" spans="9:20" ht="15.75" customHeight="1">
      <c r="I196" s="14"/>
      <c r="J196" s="15"/>
      <c r="K196" s="15"/>
      <c r="M196" s="14"/>
      <c r="N196" s="11"/>
      <c r="O196" s="15"/>
      <c r="Q196" s="14"/>
      <c r="S196" s="8"/>
      <c r="T196" s="8"/>
    </row>
    <row r="197" spans="9:20" ht="15.75" customHeight="1">
      <c r="I197" s="14"/>
      <c r="J197" s="15"/>
      <c r="K197" s="15"/>
      <c r="M197" s="14"/>
      <c r="N197" s="11"/>
      <c r="O197" s="15"/>
      <c r="Q197" s="14"/>
      <c r="S197" s="8"/>
      <c r="T197" s="8"/>
    </row>
    <row r="198" spans="9:20" ht="15.75" customHeight="1">
      <c r="I198" s="14"/>
      <c r="J198" s="15"/>
      <c r="K198" s="15"/>
      <c r="M198" s="14"/>
      <c r="N198" s="11"/>
      <c r="O198" s="15"/>
      <c r="Q198" s="14"/>
      <c r="S198" s="8"/>
      <c r="T198" s="8"/>
    </row>
    <row r="199" spans="9:20" ht="15.75" customHeight="1">
      <c r="I199" s="14"/>
      <c r="J199" s="15"/>
      <c r="K199" s="15"/>
      <c r="M199" s="14"/>
      <c r="N199" s="11"/>
      <c r="O199" s="15"/>
      <c r="Q199" s="14"/>
      <c r="S199" s="8"/>
      <c r="T199" s="8"/>
    </row>
    <row r="200" spans="9:20" ht="15.75" customHeight="1">
      <c r="I200" s="14"/>
      <c r="J200" s="15"/>
      <c r="K200" s="15"/>
      <c r="M200" s="14"/>
      <c r="N200" s="11"/>
      <c r="O200" s="15"/>
      <c r="Q200" s="14"/>
      <c r="S200" s="8"/>
      <c r="T200" s="8"/>
    </row>
    <row r="201" spans="9:20" ht="15.75" customHeight="1">
      <c r="I201" s="14"/>
      <c r="J201" s="15"/>
      <c r="K201" s="15"/>
      <c r="M201" s="14"/>
      <c r="N201" s="11"/>
      <c r="O201" s="15"/>
      <c r="Q201" s="14"/>
      <c r="S201" s="8"/>
      <c r="T201" s="8"/>
    </row>
    <row r="202" spans="9:20" ht="15.75" customHeight="1">
      <c r="I202" s="14"/>
      <c r="J202" s="15"/>
      <c r="K202" s="15"/>
      <c r="M202" s="14"/>
      <c r="N202" s="11"/>
      <c r="O202" s="15"/>
      <c r="Q202" s="14"/>
      <c r="S202" s="8"/>
      <c r="T202" s="8"/>
    </row>
    <row r="203" spans="9:20" ht="15.75" customHeight="1">
      <c r="I203" s="14"/>
      <c r="J203" s="15"/>
      <c r="K203" s="15"/>
      <c r="M203" s="14"/>
      <c r="N203" s="11"/>
      <c r="O203" s="15"/>
      <c r="Q203" s="14"/>
      <c r="S203" s="8"/>
      <c r="T203" s="8"/>
    </row>
    <row r="204" spans="9:20" ht="15.75" customHeight="1">
      <c r="I204" s="14"/>
      <c r="J204" s="15"/>
      <c r="K204" s="15"/>
      <c r="M204" s="14"/>
      <c r="N204" s="11"/>
      <c r="O204" s="15"/>
      <c r="Q204" s="14"/>
      <c r="S204" s="8"/>
      <c r="T204" s="8"/>
    </row>
    <row r="205" spans="9:20" ht="15.75" customHeight="1">
      <c r="I205" s="14"/>
      <c r="J205" s="15"/>
      <c r="K205" s="15"/>
      <c r="M205" s="14"/>
      <c r="N205" s="11"/>
      <c r="O205" s="15"/>
      <c r="Q205" s="14"/>
      <c r="S205" s="8"/>
      <c r="T205" s="8"/>
    </row>
    <row r="206" spans="9:20" ht="15.75" customHeight="1">
      <c r="I206" s="14"/>
      <c r="J206" s="15"/>
      <c r="K206" s="15"/>
      <c r="M206" s="14"/>
      <c r="N206" s="11"/>
      <c r="O206" s="15"/>
      <c r="Q206" s="14"/>
      <c r="S206" s="8"/>
      <c r="T206" s="8"/>
    </row>
    <row r="207" spans="9:20" ht="15.75" customHeight="1">
      <c r="I207" s="14"/>
      <c r="J207" s="15"/>
      <c r="K207" s="15"/>
      <c r="M207" s="14"/>
      <c r="N207" s="11"/>
      <c r="O207" s="15"/>
      <c r="Q207" s="14"/>
      <c r="S207" s="8"/>
      <c r="T207" s="8"/>
    </row>
    <row r="208" spans="9:20" ht="15" customHeight="1">
      <c r="I208" s="14"/>
      <c r="J208" s="15"/>
      <c r="K208" s="15"/>
      <c r="M208" s="14"/>
      <c r="N208" s="11"/>
      <c r="O208" s="15"/>
      <c r="Q208" s="14"/>
      <c r="S208" s="8"/>
      <c r="T208" s="8"/>
    </row>
    <row r="209" spans="9:20" ht="15" customHeight="1">
      <c r="I209" s="14"/>
      <c r="J209" s="15"/>
      <c r="K209" s="15"/>
      <c r="M209" s="14"/>
      <c r="N209" s="11"/>
      <c r="O209" s="15"/>
      <c r="Q209" s="14"/>
      <c r="S209" s="8"/>
      <c r="T209" s="8"/>
    </row>
    <row r="210" spans="9:20" ht="15" customHeight="1">
      <c r="I210" s="14"/>
      <c r="J210" s="15"/>
      <c r="K210" s="15"/>
      <c r="M210" s="14"/>
      <c r="N210" s="11"/>
      <c r="O210" s="15"/>
      <c r="Q210" s="14"/>
      <c r="S210" s="8"/>
      <c r="T210" s="8"/>
    </row>
    <row r="211" spans="9:20" ht="15" customHeight="1">
      <c r="I211" s="14"/>
      <c r="J211" s="15"/>
      <c r="K211" s="15"/>
      <c r="M211" s="14"/>
      <c r="N211" s="11"/>
      <c r="O211" s="15"/>
      <c r="Q211" s="14"/>
      <c r="S211" s="8"/>
      <c r="T211" s="8"/>
    </row>
    <row r="212" spans="9:20" ht="15" customHeight="1">
      <c r="I212" s="14"/>
      <c r="J212" s="15"/>
      <c r="K212" s="15"/>
      <c r="M212" s="14"/>
      <c r="N212" s="11"/>
      <c r="O212" s="15"/>
      <c r="Q212" s="14"/>
      <c r="S212" s="8"/>
      <c r="T212" s="8"/>
    </row>
    <row r="213" spans="9:20" ht="15" customHeight="1">
      <c r="I213" s="14"/>
      <c r="J213" s="15"/>
      <c r="K213" s="15"/>
      <c r="M213" s="14"/>
      <c r="N213" s="11"/>
      <c r="O213" s="15"/>
      <c r="Q213" s="14"/>
      <c r="S213" s="8"/>
      <c r="T213" s="8"/>
    </row>
    <row r="214" spans="9:20" ht="15" customHeight="1">
      <c r="I214" s="14"/>
      <c r="J214" s="15"/>
      <c r="K214" s="15"/>
      <c r="M214" s="14"/>
      <c r="N214" s="11"/>
      <c r="O214" s="15"/>
      <c r="Q214" s="14"/>
      <c r="S214" s="8"/>
      <c r="T214" s="8"/>
    </row>
    <row r="215" spans="9:20" ht="15" customHeight="1">
      <c r="I215" s="14"/>
      <c r="J215" s="15"/>
      <c r="K215" s="15"/>
      <c r="M215" s="14"/>
      <c r="N215" s="11"/>
      <c r="O215" s="15"/>
      <c r="Q215" s="14"/>
      <c r="S215" s="8"/>
      <c r="T215" s="8"/>
    </row>
    <row r="216" spans="9:20" ht="15" customHeight="1">
      <c r="I216" s="14"/>
      <c r="J216" s="15"/>
      <c r="K216" s="15"/>
      <c r="M216" s="14"/>
      <c r="N216" s="11"/>
      <c r="O216" s="15"/>
      <c r="Q216" s="14"/>
      <c r="S216" s="8"/>
      <c r="T216" s="8"/>
    </row>
    <row r="217" spans="9:20" ht="15" customHeight="1">
      <c r="I217" s="14"/>
      <c r="J217" s="15"/>
      <c r="K217" s="15"/>
      <c r="M217" s="14"/>
      <c r="N217" s="11"/>
      <c r="O217" s="15"/>
      <c r="Q217" s="14"/>
      <c r="S217" s="8"/>
      <c r="T217" s="8"/>
    </row>
    <row r="218" spans="9:20" ht="15" customHeight="1">
      <c r="I218" s="14"/>
      <c r="J218" s="15"/>
      <c r="K218" s="15"/>
      <c r="M218" s="14"/>
      <c r="N218" s="11"/>
      <c r="O218" s="15"/>
      <c r="Q218" s="14"/>
      <c r="S218" s="8"/>
      <c r="T218" s="8"/>
    </row>
    <row r="219" spans="9:20" ht="15" customHeight="1">
      <c r="I219" s="14"/>
      <c r="J219" s="15"/>
      <c r="K219" s="15"/>
      <c r="M219" s="14"/>
      <c r="N219" s="11"/>
      <c r="O219" s="15"/>
      <c r="Q219" s="14"/>
      <c r="S219" s="8"/>
      <c r="T219" s="8"/>
    </row>
    <row r="220" spans="9:20" ht="15" customHeight="1">
      <c r="I220" s="14"/>
      <c r="J220" s="15"/>
      <c r="K220" s="15"/>
      <c r="M220" s="14"/>
      <c r="N220" s="11"/>
      <c r="O220" s="15"/>
      <c r="Q220" s="14"/>
      <c r="S220" s="8"/>
      <c r="T220" s="8"/>
    </row>
    <row r="221" spans="9:20" ht="15" customHeight="1">
      <c r="I221" s="14"/>
      <c r="J221" s="15"/>
      <c r="K221" s="15"/>
      <c r="M221" s="14"/>
      <c r="N221" s="11"/>
      <c r="O221" s="15"/>
      <c r="Q221" s="14"/>
      <c r="S221" s="8"/>
      <c r="T221" s="8"/>
    </row>
    <row r="222" spans="9:20" ht="15" customHeight="1">
      <c r="I222" s="14"/>
      <c r="J222" s="15"/>
      <c r="K222" s="15"/>
      <c r="M222" s="14"/>
      <c r="N222" s="11"/>
      <c r="O222" s="15"/>
      <c r="Q222" s="14"/>
      <c r="S222" s="8"/>
      <c r="T222" s="8"/>
    </row>
    <row r="223" spans="9:20" ht="15" customHeight="1">
      <c r="I223" s="14"/>
      <c r="J223" s="15"/>
      <c r="K223" s="15"/>
      <c r="M223" s="14"/>
      <c r="N223" s="11"/>
      <c r="O223" s="15"/>
      <c r="Q223" s="14"/>
      <c r="S223" s="8"/>
      <c r="T223" s="8"/>
    </row>
    <row r="224" spans="9:20" ht="15" customHeight="1">
      <c r="I224" s="14"/>
      <c r="J224" s="15"/>
      <c r="K224" s="15"/>
      <c r="M224" s="14"/>
      <c r="N224" s="11"/>
      <c r="O224" s="15"/>
      <c r="Q224" s="14"/>
      <c r="S224" s="8"/>
      <c r="T224" s="8"/>
    </row>
    <row r="225" spans="9:20" ht="15" customHeight="1">
      <c r="I225" s="14"/>
      <c r="J225" s="15"/>
      <c r="K225" s="15"/>
      <c r="M225" s="14"/>
      <c r="N225" s="11"/>
      <c r="O225" s="15"/>
      <c r="Q225" s="14"/>
      <c r="S225" s="8"/>
      <c r="T225" s="8"/>
    </row>
    <row r="226" spans="9:20" ht="15" customHeight="1">
      <c r="I226" s="14"/>
      <c r="J226" s="15"/>
      <c r="K226" s="15"/>
      <c r="M226" s="14"/>
      <c r="N226" s="11"/>
      <c r="O226" s="15"/>
      <c r="Q226" s="14"/>
      <c r="S226" s="8"/>
      <c r="T226" s="8"/>
    </row>
    <row r="227" spans="9:20" ht="15" customHeight="1">
      <c r="I227" s="14"/>
      <c r="J227" s="15"/>
      <c r="K227" s="15"/>
      <c r="M227" s="14"/>
      <c r="N227" s="11"/>
      <c r="O227" s="15"/>
      <c r="Q227" s="14"/>
      <c r="S227" s="8"/>
      <c r="T227" s="8"/>
    </row>
    <row r="228" spans="9:20" ht="15" customHeight="1">
      <c r="I228" s="14"/>
      <c r="J228" s="15"/>
      <c r="K228" s="15"/>
      <c r="M228" s="14"/>
      <c r="N228" s="11"/>
      <c r="O228" s="15"/>
      <c r="Q228" s="14"/>
      <c r="S228" s="8"/>
      <c r="T228" s="8"/>
    </row>
    <row r="229" spans="9:20" ht="15" customHeight="1">
      <c r="I229" s="14"/>
      <c r="J229" s="15"/>
      <c r="K229" s="15"/>
      <c r="M229" s="14"/>
      <c r="N229" s="11"/>
      <c r="O229" s="15"/>
      <c r="Q229" s="14"/>
      <c r="S229" s="8"/>
      <c r="T229" s="8"/>
    </row>
    <row r="230" spans="9:20" ht="15" customHeight="1">
      <c r="I230" s="14"/>
      <c r="J230" s="15"/>
      <c r="K230" s="15"/>
      <c r="M230" s="14"/>
      <c r="N230" s="11"/>
      <c r="O230" s="15"/>
      <c r="Q230" s="14"/>
      <c r="S230" s="8"/>
      <c r="T230" s="8"/>
    </row>
    <row r="231" spans="9:20" ht="15" customHeight="1">
      <c r="I231" s="14"/>
      <c r="J231" s="15"/>
      <c r="K231" s="15"/>
      <c r="M231" s="14"/>
      <c r="N231" s="11"/>
      <c r="O231" s="15"/>
      <c r="Q231" s="14"/>
      <c r="S231" s="8"/>
      <c r="T231" s="8"/>
    </row>
    <row r="232" spans="9:20" ht="15" customHeight="1">
      <c r="I232" s="14"/>
      <c r="J232" s="15"/>
      <c r="K232" s="15"/>
      <c r="M232" s="14"/>
      <c r="N232" s="11"/>
      <c r="O232" s="15"/>
      <c r="Q232" s="14"/>
      <c r="S232" s="8"/>
      <c r="T232" s="8"/>
    </row>
    <row r="233" spans="9:20" ht="15" customHeight="1">
      <c r="I233" s="14"/>
      <c r="J233" s="15"/>
      <c r="K233" s="15"/>
      <c r="M233" s="14"/>
      <c r="N233" s="11"/>
      <c r="O233" s="15"/>
      <c r="Q233" s="14"/>
      <c r="S233" s="8"/>
      <c r="T233" s="8"/>
    </row>
    <row r="234" spans="9:20" ht="15" customHeight="1">
      <c r="I234" s="14"/>
      <c r="J234" s="15"/>
      <c r="K234" s="15"/>
      <c r="M234" s="14"/>
      <c r="N234" s="11"/>
      <c r="O234" s="15"/>
      <c r="Q234" s="14"/>
      <c r="S234" s="8"/>
      <c r="T234" s="8"/>
    </row>
    <row r="235" spans="9:20" ht="15" customHeight="1">
      <c r="I235" s="14"/>
      <c r="J235" s="15"/>
      <c r="K235" s="15"/>
      <c r="M235" s="14"/>
      <c r="N235" s="11"/>
      <c r="O235" s="15"/>
      <c r="Q235" s="14"/>
      <c r="S235" s="8"/>
      <c r="T235" s="8"/>
    </row>
    <row r="236" spans="9:20" ht="15" customHeight="1">
      <c r="I236" s="14"/>
      <c r="J236" s="15"/>
      <c r="K236" s="15"/>
      <c r="M236" s="14"/>
      <c r="N236" s="11"/>
      <c r="O236" s="15"/>
      <c r="Q236" s="14"/>
      <c r="S236" s="8"/>
      <c r="T236" s="8"/>
    </row>
  </sheetData>
  <autoFilter ref="A1:T189" xr:uid="{00000000-0001-0000-0400-000000000000}"/>
  <conditionalFormatting sqref="K1 O1">
    <cfRule type="cellIs" dxfId="11" priority="8" operator="equal">
      <formula>0</formula>
    </cfRule>
  </conditionalFormatting>
  <conditionalFormatting sqref="K132:K133 K134:L135">
    <cfRule type="cellIs" dxfId="10" priority="6" operator="equal">
      <formula>0</formula>
    </cfRule>
  </conditionalFormatting>
  <conditionalFormatting sqref="K176:L177">
    <cfRule type="cellIs" dxfId="9" priority="1" operator="equal">
      <formula>0</formula>
    </cfRule>
  </conditionalFormatting>
  <conditionalFormatting sqref="N178:N236">
    <cfRule type="cellIs" dxfId="8" priority="4" operator="equal">
      <formula>0</formula>
    </cfRule>
  </conditionalFormatting>
  <conditionalFormatting sqref="O134">
    <cfRule type="cellIs" dxfId="7" priority="7" operator="equal">
      <formula>0</formula>
    </cfRule>
  </conditionalFormatting>
  <conditionalFormatting sqref="O176:O236">
    <cfRule type="cellIs" dxfId="6" priority="2" operator="equal">
      <formula>0</formula>
    </cfRule>
  </conditionalFormatting>
  <conditionalFormatting sqref="O2:P128 K2:L130 K138:L173 O138:P173 J178:K236">
    <cfRule type="cellIs" dxfId="5" priority="3" operator="equal">
      <formula>0</formula>
    </cfRule>
  </conditionalFormatting>
  <conditionalFormatting sqref="O130:P130">
    <cfRule type="cellIs" dxfId="4" priority="5" operator="equal">
      <formula>0</formula>
    </cfRule>
  </conditionalFormatting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BFF7-F180-4C02-BACA-82C821BF968A}">
  <dimension ref="A1:S424"/>
  <sheetViews>
    <sheetView topLeftCell="B353" workbookViewId="0">
      <selection activeCell="S368" sqref="S368"/>
    </sheetView>
  </sheetViews>
  <sheetFormatPr defaultColWidth="8.85546875" defaultRowHeight="14.45"/>
  <cols>
    <col min="1" max="1" width="14.42578125" bestFit="1" customWidth="1"/>
    <col min="2" max="2" width="20" bestFit="1" customWidth="1"/>
    <col min="3" max="3" width="12.7109375" customWidth="1"/>
    <col min="4" max="5" width="36.140625" customWidth="1"/>
    <col min="6" max="6" width="40.5703125" customWidth="1"/>
    <col min="20" max="20" width="22.42578125" bestFit="1" customWidth="1"/>
  </cols>
  <sheetData>
    <row r="1" spans="1:18" ht="29.1">
      <c r="A1" s="31" t="s">
        <v>121</v>
      </c>
      <c r="B1" s="31" t="s">
        <v>122</v>
      </c>
      <c r="C1" s="31"/>
      <c r="D1" s="31" t="s">
        <v>123</v>
      </c>
      <c r="E1" s="31" t="s">
        <v>125</v>
      </c>
      <c r="F1" s="31" t="s">
        <v>333</v>
      </c>
      <c r="G1" s="31" t="s">
        <v>126</v>
      </c>
      <c r="H1" s="31" t="s">
        <v>127</v>
      </c>
      <c r="I1" s="31" t="s">
        <v>3446</v>
      </c>
      <c r="J1" s="31" t="s">
        <v>1023</v>
      </c>
      <c r="K1" s="31" t="s">
        <v>129</v>
      </c>
      <c r="L1" s="31" t="s">
        <v>335</v>
      </c>
      <c r="M1" s="31" t="s">
        <v>131</v>
      </c>
      <c r="N1" s="31" t="s">
        <v>336</v>
      </c>
      <c r="O1" s="31" t="s">
        <v>133</v>
      </c>
      <c r="P1" s="31" t="s">
        <v>134</v>
      </c>
      <c r="Q1" s="31" t="s">
        <v>3447</v>
      </c>
      <c r="R1" s="12"/>
    </row>
    <row r="2" spans="1:18" ht="29.1">
      <c r="A2" s="28">
        <v>1</v>
      </c>
      <c r="B2" s="28">
        <v>2</v>
      </c>
      <c r="C2" s="32" t="s">
        <v>135</v>
      </c>
      <c r="D2" s="28" t="s">
        <v>337</v>
      </c>
      <c r="E2" s="28" t="s">
        <v>504</v>
      </c>
      <c r="F2" s="28" t="s">
        <v>340</v>
      </c>
      <c r="G2" s="28" t="s">
        <v>341</v>
      </c>
      <c r="H2" s="28"/>
      <c r="I2" s="28" t="s">
        <v>3448</v>
      </c>
      <c r="J2" s="30">
        <v>9.9814814814814815E-2</v>
      </c>
      <c r="K2" s="30">
        <v>8.4340277777777778E-2</v>
      </c>
      <c r="L2" s="30">
        <v>0.12050925925925926</v>
      </c>
      <c r="M2" s="30">
        <v>8.3819444444444446E-2</v>
      </c>
      <c r="N2" s="30">
        <v>0.10990740740740741</v>
      </c>
      <c r="O2" s="30">
        <v>0.12337962962962963</v>
      </c>
      <c r="P2" s="28"/>
      <c r="Q2" s="30">
        <v>8.1712962962962959E-2</v>
      </c>
      <c r="R2" s="8">
        <f>IFERROR(ROUND($Q$2/Q2*1000,0),0)</f>
        <v>1000</v>
      </c>
    </row>
    <row r="3" spans="1:18" ht="29.1">
      <c r="A3" s="28">
        <v>2</v>
      </c>
      <c r="B3" s="28">
        <v>1</v>
      </c>
      <c r="C3" s="32" t="s">
        <v>135</v>
      </c>
      <c r="D3" s="28" t="s">
        <v>136</v>
      </c>
      <c r="E3" s="28" t="s">
        <v>138</v>
      </c>
      <c r="F3" s="28" t="s">
        <v>22</v>
      </c>
      <c r="G3" s="28" t="s">
        <v>352</v>
      </c>
      <c r="H3" s="28"/>
      <c r="I3" s="28" t="s">
        <v>3448</v>
      </c>
      <c r="J3" s="30">
        <v>0.10039351851851852</v>
      </c>
      <c r="K3" s="30">
        <v>8.4236111111111109E-2</v>
      </c>
      <c r="L3" s="30">
        <v>0.12194444444444444</v>
      </c>
      <c r="M3" s="30">
        <v>8.3888888888888888E-2</v>
      </c>
      <c r="N3" s="30">
        <v>0.10961805555555555</v>
      </c>
      <c r="O3" s="30">
        <v>8.3425925925925931E-2</v>
      </c>
      <c r="P3" s="28" t="s">
        <v>3449</v>
      </c>
      <c r="Q3" s="30">
        <v>8.3425925925925931E-2</v>
      </c>
      <c r="R3" s="8">
        <f t="shared" ref="R3:R66" si="0">IFERROR(ROUND($Q$2/Q3*1000,0),0)</f>
        <v>979</v>
      </c>
    </row>
    <row r="4" spans="1:18" ht="29.1">
      <c r="A4" s="28">
        <v>3</v>
      </c>
      <c r="B4" s="28">
        <v>3</v>
      </c>
      <c r="C4" s="32" t="s">
        <v>135</v>
      </c>
      <c r="D4" s="28" t="s">
        <v>1032</v>
      </c>
      <c r="E4" s="28" t="s">
        <v>504</v>
      </c>
      <c r="F4" s="28"/>
      <c r="G4" s="28" t="s">
        <v>352</v>
      </c>
      <c r="H4" s="28"/>
      <c r="I4" s="28" t="s">
        <v>3448</v>
      </c>
      <c r="J4" s="30">
        <v>9.9942129629629631E-2</v>
      </c>
      <c r="K4" s="30">
        <v>8.4120370370370373E-2</v>
      </c>
      <c r="L4" s="30">
        <v>0.12373842592592593</v>
      </c>
      <c r="M4" s="30">
        <v>8.3668981481481483E-2</v>
      </c>
      <c r="N4" s="30">
        <v>0.11005787037037038</v>
      </c>
      <c r="O4" s="30">
        <v>8.4745370370370374E-2</v>
      </c>
      <c r="P4" s="28" t="s">
        <v>3450</v>
      </c>
      <c r="Q4" s="30">
        <v>8.4745370370370374E-2</v>
      </c>
      <c r="R4" s="8">
        <f t="shared" si="0"/>
        <v>964</v>
      </c>
    </row>
    <row r="5" spans="1:18" ht="29.1">
      <c r="A5" s="28">
        <v>4</v>
      </c>
      <c r="B5" s="28">
        <v>4</v>
      </c>
      <c r="C5" s="32" t="s">
        <v>135</v>
      </c>
      <c r="D5" s="28" t="s">
        <v>3451</v>
      </c>
      <c r="E5" s="28" t="s">
        <v>3452</v>
      </c>
      <c r="F5" s="28" t="s">
        <v>340</v>
      </c>
      <c r="G5" s="28" t="s">
        <v>641</v>
      </c>
      <c r="H5" s="28">
        <v>1</v>
      </c>
      <c r="I5" s="28" t="s">
        <v>3448</v>
      </c>
      <c r="J5" s="30">
        <v>9.9953703703703697E-2</v>
      </c>
      <c r="K5" s="30">
        <v>8.4155092592592587E-2</v>
      </c>
      <c r="L5" s="30">
        <v>0.12471064814814815</v>
      </c>
      <c r="M5" s="30">
        <v>8.3668981481481483E-2</v>
      </c>
      <c r="N5" s="30">
        <v>0.10979166666666666</v>
      </c>
      <c r="O5" s="30">
        <v>8.5625000000000007E-2</v>
      </c>
      <c r="P5" s="28" t="s">
        <v>3453</v>
      </c>
      <c r="Q5" s="30">
        <v>8.5625000000000007E-2</v>
      </c>
      <c r="R5" s="8">
        <f t="shared" si="0"/>
        <v>954</v>
      </c>
    </row>
    <row r="6" spans="1:18" ht="29.1">
      <c r="A6" s="28">
        <v>5</v>
      </c>
      <c r="B6" s="28">
        <v>5</v>
      </c>
      <c r="C6" s="32" t="s">
        <v>135</v>
      </c>
      <c r="D6" s="28" t="s">
        <v>350</v>
      </c>
      <c r="E6" s="28"/>
      <c r="F6" s="28" t="s">
        <v>340</v>
      </c>
      <c r="G6" s="28" t="s">
        <v>352</v>
      </c>
      <c r="H6" s="28">
        <v>1</v>
      </c>
      <c r="I6" s="28" t="s">
        <v>3448</v>
      </c>
      <c r="J6" s="30">
        <v>0.10105324074074074</v>
      </c>
      <c r="K6" s="30">
        <v>8.4247685185185189E-2</v>
      </c>
      <c r="L6" s="30">
        <v>8.3796296296296299E-2</v>
      </c>
      <c r="M6" s="30">
        <v>8.369212962962963E-2</v>
      </c>
      <c r="N6" s="30">
        <v>0.10946759259259259</v>
      </c>
      <c r="O6" s="30">
        <v>8.7256944444444443E-2</v>
      </c>
      <c r="P6" s="28" t="s">
        <v>3454</v>
      </c>
      <c r="Q6" s="30">
        <v>8.7256944444444443E-2</v>
      </c>
      <c r="R6" s="8">
        <f t="shared" si="0"/>
        <v>936</v>
      </c>
    </row>
    <row r="7" spans="1:18" ht="29.1">
      <c r="A7" s="28">
        <v>6</v>
      </c>
      <c r="B7" s="28">
        <v>2</v>
      </c>
      <c r="C7" s="32" t="s">
        <v>135</v>
      </c>
      <c r="D7" s="28" t="s">
        <v>359</v>
      </c>
      <c r="E7" s="28" t="s">
        <v>3455</v>
      </c>
      <c r="F7" s="28" t="s">
        <v>25</v>
      </c>
      <c r="G7" s="28" t="s">
        <v>352</v>
      </c>
      <c r="H7" s="28">
        <v>2</v>
      </c>
      <c r="I7" s="28" t="s">
        <v>3448</v>
      </c>
      <c r="J7" s="30">
        <v>0.10104166666666667</v>
      </c>
      <c r="K7" s="30">
        <v>8.4050925925925932E-2</v>
      </c>
      <c r="L7" s="30">
        <v>0.12474537037037037</v>
      </c>
      <c r="M7" s="30">
        <v>8.3668981481481483E-2</v>
      </c>
      <c r="N7" s="30">
        <v>0.11063657407407407</v>
      </c>
      <c r="O7" s="30">
        <v>8.7604166666666664E-2</v>
      </c>
      <c r="P7" s="28" t="s">
        <v>3456</v>
      </c>
      <c r="Q7" s="30">
        <v>8.7604166666666664E-2</v>
      </c>
      <c r="R7" s="8">
        <f t="shared" si="0"/>
        <v>933</v>
      </c>
    </row>
    <row r="8" spans="1:18" ht="29.1">
      <c r="A8" s="28">
        <v>7</v>
      </c>
      <c r="B8" s="28">
        <v>6</v>
      </c>
      <c r="C8" s="32" t="s">
        <v>135</v>
      </c>
      <c r="D8" s="28" t="s">
        <v>362</v>
      </c>
      <c r="E8" s="28" t="s">
        <v>3457</v>
      </c>
      <c r="F8" s="28" t="s">
        <v>340</v>
      </c>
      <c r="G8" s="28" t="s">
        <v>341</v>
      </c>
      <c r="H8" s="28">
        <v>1</v>
      </c>
      <c r="I8" s="28" t="s">
        <v>3448</v>
      </c>
      <c r="J8" s="30">
        <v>0.1011574074074074</v>
      </c>
      <c r="K8" s="30">
        <v>8.4201388888888895E-2</v>
      </c>
      <c r="L8" s="30">
        <v>0.12456018518518519</v>
      </c>
      <c r="M8" s="30">
        <v>8.3819444444444446E-2</v>
      </c>
      <c r="N8" s="30">
        <v>0.11115740740740741</v>
      </c>
      <c r="O8" s="30">
        <v>8.8217592592592597E-2</v>
      </c>
      <c r="P8" s="28" t="s">
        <v>3458</v>
      </c>
      <c r="Q8" s="30">
        <v>8.8217592592592597E-2</v>
      </c>
      <c r="R8" s="8">
        <f t="shared" si="0"/>
        <v>926</v>
      </c>
    </row>
    <row r="9" spans="1:18" ht="29.1">
      <c r="A9" s="28">
        <v>8</v>
      </c>
      <c r="B9" s="28">
        <v>7</v>
      </c>
      <c r="C9" s="32" t="s">
        <v>135</v>
      </c>
      <c r="D9" s="28" t="s">
        <v>175</v>
      </c>
      <c r="E9" s="28" t="s">
        <v>153</v>
      </c>
      <c r="F9" s="28" t="s">
        <v>340</v>
      </c>
      <c r="G9" s="28" t="s">
        <v>352</v>
      </c>
      <c r="H9" s="28">
        <v>3</v>
      </c>
      <c r="I9" s="28" t="s">
        <v>3448</v>
      </c>
      <c r="J9" s="30">
        <v>9.9907407407407403E-2</v>
      </c>
      <c r="K9" s="30">
        <v>8.430555555555555E-2</v>
      </c>
      <c r="L9" s="30">
        <v>8.5370370370370374E-2</v>
      </c>
      <c r="M9" s="30">
        <v>8.3634259259259255E-2</v>
      </c>
      <c r="N9" s="30">
        <v>0.11027777777777778</v>
      </c>
      <c r="O9" s="30">
        <v>8.8506944444444444E-2</v>
      </c>
      <c r="P9" s="28" t="s">
        <v>3459</v>
      </c>
      <c r="Q9" s="30">
        <v>8.8506944444444444E-2</v>
      </c>
      <c r="R9" s="8">
        <f t="shared" si="0"/>
        <v>923</v>
      </c>
    </row>
    <row r="10" spans="1:18" ht="29.1">
      <c r="A10" s="28">
        <v>9</v>
      </c>
      <c r="B10" s="28">
        <v>8</v>
      </c>
      <c r="C10" s="32" t="s">
        <v>135</v>
      </c>
      <c r="D10" s="28" t="s">
        <v>151</v>
      </c>
      <c r="E10" s="28" t="s">
        <v>153</v>
      </c>
      <c r="F10" s="28" t="s">
        <v>340</v>
      </c>
      <c r="G10" s="28" t="s">
        <v>352</v>
      </c>
      <c r="H10" s="28">
        <v>4</v>
      </c>
      <c r="I10" s="28" t="s">
        <v>3448</v>
      </c>
      <c r="J10" s="30">
        <v>9.9942129629629631E-2</v>
      </c>
      <c r="K10" s="30">
        <v>8.4097222222222226E-2</v>
      </c>
      <c r="L10" s="30">
        <v>8.5138888888888889E-2</v>
      </c>
      <c r="M10" s="30">
        <v>8.3738425925925924E-2</v>
      </c>
      <c r="N10" s="30">
        <v>0.11315972222222222</v>
      </c>
      <c r="O10" s="30">
        <v>9.1064814814814821E-2</v>
      </c>
      <c r="P10" s="28" t="s">
        <v>3460</v>
      </c>
      <c r="Q10" s="30">
        <v>9.1064814814814821E-2</v>
      </c>
      <c r="R10" s="8">
        <f t="shared" si="0"/>
        <v>897</v>
      </c>
    </row>
    <row r="11" spans="1:18" ht="29.1">
      <c r="A11" s="28">
        <v>10</v>
      </c>
      <c r="B11" s="28">
        <v>25</v>
      </c>
      <c r="C11" s="32" t="s">
        <v>135</v>
      </c>
      <c r="D11" s="28" t="s">
        <v>395</v>
      </c>
      <c r="E11" s="28" t="s">
        <v>138</v>
      </c>
      <c r="F11" s="28" t="s">
        <v>32</v>
      </c>
      <c r="G11" s="28" t="s">
        <v>357</v>
      </c>
      <c r="H11" s="28">
        <v>1</v>
      </c>
      <c r="I11" s="28" t="s">
        <v>3448</v>
      </c>
      <c r="J11" s="30">
        <v>0.10189814814814815</v>
      </c>
      <c r="K11" s="30">
        <v>8.4664351851851852E-2</v>
      </c>
      <c r="L11" s="30">
        <v>0.1247800925925926</v>
      </c>
      <c r="M11" s="30">
        <v>8.385416666666666E-2</v>
      </c>
      <c r="N11" s="30">
        <v>0.11278935185185185</v>
      </c>
      <c r="O11" s="30">
        <v>9.1307870370370373E-2</v>
      </c>
      <c r="P11" s="28" t="s">
        <v>3461</v>
      </c>
      <c r="Q11" s="30">
        <v>9.1307870370370373E-2</v>
      </c>
      <c r="R11" s="8">
        <f t="shared" si="0"/>
        <v>895</v>
      </c>
    </row>
    <row r="12" spans="1:18" ht="29.1">
      <c r="A12" s="28">
        <v>11</v>
      </c>
      <c r="B12" s="28">
        <v>14</v>
      </c>
      <c r="C12" s="32" t="s">
        <v>135</v>
      </c>
      <c r="D12" s="28" t="s">
        <v>372</v>
      </c>
      <c r="E12" s="28"/>
      <c r="F12" s="28" t="s">
        <v>340</v>
      </c>
      <c r="G12" s="28" t="s">
        <v>352</v>
      </c>
      <c r="H12" s="28">
        <v>5</v>
      </c>
      <c r="I12" s="28" t="s">
        <v>3448</v>
      </c>
      <c r="J12" s="30">
        <v>0.10381944444444445</v>
      </c>
      <c r="K12" s="30">
        <v>8.4363425925925925E-2</v>
      </c>
      <c r="L12" s="30">
        <v>0.12408564814814815</v>
      </c>
      <c r="M12" s="30">
        <v>8.3993055555555557E-2</v>
      </c>
      <c r="N12" s="30">
        <v>0.11212962962962963</v>
      </c>
      <c r="O12" s="30">
        <v>8.4780092592592587E-2</v>
      </c>
      <c r="P12" s="28" t="s">
        <v>3462</v>
      </c>
      <c r="Q12" s="30">
        <v>8.4780092592592587E-2</v>
      </c>
      <c r="R12" s="8">
        <f t="shared" si="0"/>
        <v>964</v>
      </c>
    </row>
    <row r="13" spans="1:18" ht="29.1">
      <c r="A13" s="28">
        <v>2</v>
      </c>
      <c r="B13" s="28">
        <v>10</v>
      </c>
      <c r="C13" s="32" t="s">
        <v>135</v>
      </c>
      <c r="D13" s="28" t="s">
        <v>3463</v>
      </c>
      <c r="E13" s="28" t="s">
        <v>153</v>
      </c>
      <c r="F13" s="28" t="s">
        <v>340</v>
      </c>
      <c r="G13" s="28" t="s">
        <v>341</v>
      </c>
      <c r="H13" s="28">
        <v>2</v>
      </c>
      <c r="I13" s="28" t="s">
        <v>3448</v>
      </c>
      <c r="J13" s="30">
        <v>0.10107638888888888</v>
      </c>
      <c r="K13" s="30">
        <v>8.4328703703703697E-2</v>
      </c>
      <c r="L13" s="30">
        <v>8.5266203703703705E-2</v>
      </c>
      <c r="M13" s="30">
        <v>8.3726851851851858E-2</v>
      </c>
      <c r="N13" s="30">
        <v>0.1129050925925926</v>
      </c>
      <c r="O13" s="30">
        <v>8.5370370370370374E-2</v>
      </c>
      <c r="P13" s="28" t="s">
        <v>3464</v>
      </c>
      <c r="Q13" s="30">
        <v>8.5370370370370374E-2</v>
      </c>
      <c r="R13" s="8">
        <f t="shared" si="0"/>
        <v>957</v>
      </c>
    </row>
    <row r="14" spans="1:18" ht="29.1">
      <c r="A14" s="28">
        <v>13</v>
      </c>
      <c r="B14" s="28">
        <v>11</v>
      </c>
      <c r="C14" s="32" t="s">
        <v>135</v>
      </c>
      <c r="D14" s="28" t="s">
        <v>165</v>
      </c>
      <c r="E14" s="28" t="s">
        <v>138</v>
      </c>
      <c r="F14" s="28" t="s">
        <v>30</v>
      </c>
      <c r="G14" s="28" t="s">
        <v>341</v>
      </c>
      <c r="H14" s="28">
        <v>3</v>
      </c>
      <c r="I14" s="28" t="s">
        <v>3448</v>
      </c>
      <c r="J14" s="30">
        <v>0.10171296296296296</v>
      </c>
      <c r="K14" s="30">
        <v>8.4560185185185183E-2</v>
      </c>
      <c r="L14" s="30">
        <v>8.3530092592592586E-2</v>
      </c>
      <c r="M14" s="30">
        <v>8.4016203703703704E-2</v>
      </c>
      <c r="N14" s="30">
        <v>0.11373842592592592</v>
      </c>
      <c r="O14" s="30">
        <v>9.256944444444444E-2</v>
      </c>
      <c r="P14" s="28" t="s">
        <v>3465</v>
      </c>
      <c r="Q14" s="30">
        <v>9.256944444444444E-2</v>
      </c>
      <c r="R14" s="8">
        <f t="shared" si="0"/>
        <v>883</v>
      </c>
    </row>
    <row r="15" spans="1:18" ht="29.1">
      <c r="A15" s="28">
        <v>14</v>
      </c>
      <c r="B15" s="28">
        <v>20</v>
      </c>
      <c r="C15" s="32" t="s">
        <v>135</v>
      </c>
      <c r="D15" s="28" t="s">
        <v>2363</v>
      </c>
      <c r="E15" s="28" t="s">
        <v>173</v>
      </c>
      <c r="F15" s="28" t="s">
        <v>340</v>
      </c>
      <c r="G15" s="28" t="s">
        <v>352</v>
      </c>
      <c r="H15" s="28">
        <v>6</v>
      </c>
      <c r="I15" s="28" t="s">
        <v>3448</v>
      </c>
      <c r="J15" s="30">
        <v>0.10224537037037038</v>
      </c>
      <c r="K15" s="30">
        <v>8.4629629629629624E-2</v>
      </c>
      <c r="L15" s="30">
        <v>8.3715277777777777E-2</v>
      </c>
      <c r="M15" s="30">
        <v>8.4027777777777785E-2</v>
      </c>
      <c r="N15" s="30">
        <v>0.11315972222222222</v>
      </c>
      <c r="O15" s="30">
        <v>9.2766203703703698E-2</v>
      </c>
      <c r="P15" s="28" t="s">
        <v>3466</v>
      </c>
      <c r="Q15" s="30">
        <v>9.2766203703703698E-2</v>
      </c>
      <c r="R15" s="8">
        <f t="shared" si="0"/>
        <v>881</v>
      </c>
    </row>
    <row r="16" spans="1:18" ht="29.1">
      <c r="A16" s="28">
        <v>15</v>
      </c>
      <c r="B16" s="28">
        <v>31</v>
      </c>
      <c r="C16" s="32" t="s">
        <v>135</v>
      </c>
      <c r="D16" s="28" t="s">
        <v>1519</v>
      </c>
      <c r="E16" s="28" t="s">
        <v>3467</v>
      </c>
      <c r="F16" s="28" t="s">
        <v>319</v>
      </c>
      <c r="G16" s="28" t="s">
        <v>144</v>
      </c>
      <c r="H16" s="28"/>
      <c r="I16" s="28" t="s">
        <v>3448</v>
      </c>
      <c r="J16" s="30">
        <v>9.9976851851851858E-2</v>
      </c>
      <c r="K16" s="30">
        <v>8.4097222222222226E-2</v>
      </c>
      <c r="L16" s="30">
        <v>8.565972222222222E-2</v>
      </c>
      <c r="M16" s="30">
        <v>8.3750000000000005E-2</v>
      </c>
      <c r="N16" s="30">
        <v>0.11429398148148148</v>
      </c>
      <c r="O16" s="30">
        <v>9.2777777777777778E-2</v>
      </c>
      <c r="P16" s="28" t="s">
        <v>3468</v>
      </c>
      <c r="Q16" s="30">
        <v>9.2777777777777778E-2</v>
      </c>
      <c r="R16" s="8">
        <f t="shared" si="0"/>
        <v>881</v>
      </c>
    </row>
    <row r="17" spans="1:18" ht="29.1">
      <c r="A17" s="28">
        <v>16</v>
      </c>
      <c r="B17" s="28">
        <v>15</v>
      </c>
      <c r="C17" s="32" t="s">
        <v>135</v>
      </c>
      <c r="D17" s="28" t="s">
        <v>375</v>
      </c>
      <c r="E17" s="28" t="s">
        <v>1378</v>
      </c>
      <c r="F17" s="28" t="s">
        <v>340</v>
      </c>
      <c r="G17" s="28" t="s">
        <v>352</v>
      </c>
      <c r="H17" s="28">
        <v>7</v>
      </c>
      <c r="I17" s="28" t="s">
        <v>3448</v>
      </c>
      <c r="J17" s="30">
        <v>0.10118055555555555</v>
      </c>
      <c r="K17" s="30">
        <v>8.4270833333333336E-2</v>
      </c>
      <c r="L17" s="30">
        <v>8.4398148148148153E-2</v>
      </c>
      <c r="M17" s="30">
        <v>8.413194444444444E-2</v>
      </c>
      <c r="N17" s="30">
        <v>0.11385416666666667</v>
      </c>
      <c r="O17" s="30">
        <v>9.2835648148148153E-2</v>
      </c>
      <c r="P17" s="28" t="s">
        <v>3469</v>
      </c>
      <c r="Q17" s="30">
        <v>9.2835648148148153E-2</v>
      </c>
      <c r="R17" s="8">
        <f t="shared" si="0"/>
        <v>880</v>
      </c>
    </row>
    <row r="18" spans="1:18" ht="29.1">
      <c r="A18" s="28">
        <v>17</v>
      </c>
      <c r="B18" s="28">
        <v>16</v>
      </c>
      <c r="C18" s="32" t="s">
        <v>135</v>
      </c>
      <c r="D18" s="28" t="s">
        <v>3470</v>
      </c>
      <c r="E18" s="28" t="s">
        <v>158</v>
      </c>
      <c r="F18" s="28" t="s">
        <v>340</v>
      </c>
      <c r="G18" s="28" t="s">
        <v>352</v>
      </c>
      <c r="H18" s="28">
        <v>8</v>
      </c>
      <c r="I18" s="28" t="s">
        <v>3448</v>
      </c>
      <c r="J18" s="30">
        <v>0.10203703703703704</v>
      </c>
      <c r="K18" s="30">
        <v>8.4328703703703697E-2</v>
      </c>
      <c r="L18" s="30">
        <v>8.4629629629629624E-2</v>
      </c>
      <c r="M18" s="30">
        <v>8.368055555555555E-2</v>
      </c>
      <c r="N18" s="30">
        <v>0.11371527777777778</v>
      </c>
      <c r="O18" s="30">
        <v>9.3402777777777779E-2</v>
      </c>
      <c r="P18" s="28" t="s">
        <v>3471</v>
      </c>
      <c r="Q18" s="30">
        <v>9.3402777777777779E-2</v>
      </c>
      <c r="R18" s="8">
        <f t="shared" si="0"/>
        <v>875</v>
      </c>
    </row>
    <row r="19" spans="1:18" ht="29.1">
      <c r="A19" s="28">
        <v>18</v>
      </c>
      <c r="B19" s="28">
        <v>18</v>
      </c>
      <c r="C19" s="32" t="s">
        <v>135</v>
      </c>
      <c r="D19" s="28" t="s">
        <v>1035</v>
      </c>
      <c r="E19" s="28"/>
      <c r="F19" s="28" t="s">
        <v>340</v>
      </c>
      <c r="G19" s="28" t="s">
        <v>352</v>
      </c>
      <c r="H19" s="28">
        <v>9</v>
      </c>
      <c r="I19" s="28" t="s">
        <v>3448</v>
      </c>
      <c r="J19" s="30">
        <v>9.9375000000000005E-2</v>
      </c>
      <c r="K19" s="30">
        <v>8.4293981481481484E-2</v>
      </c>
      <c r="L19" s="30">
        <v>8.5127314814814808E-2</v>
      </c>
      <c r="M19" s="30">
        <v>8.4062499999999998E-2</v>
      </c>
      <c r="N19" s="30">
        <v>0.11568287037037037</v>
      </c>
      <c r="O19" s="30">
        <v>9.3541666666666662E-2</v>
      </c>
      <c r="P19" s="28" t="s">
        <v>3472</v>
      </c>
      <c r="Q19" s="30">
        <v>9.3541666666666662E-2</v>
      </c>
      <c r="R19" s="8">
        <f t="shared" si="0"/>
        <v>874</v>
      </c>
    </row>
    <row r="20" spans="1:18" ht="29.1">
      <c r="A20" s="28">
        <v>19</v>
      </c>
      <c r="B20" s="28">
        <v>19</v>
      </c>
      <c r="C20" s="32" t="s">
        <v>135</v>
      </c>
      <c r="D20" s="28" t="s">
        <v>184</v>
      </c>
      <c r="E20" s="28" t="s">
        <v>367</v>
      </c>
      <c r="F20" s="28" t="s">
        <v>340</v>
      </c>
      <c r="G20" s="28" t="s">
        <v>352</v>
      </c>
      <c r="H20" s="28">
        <v>10</v>
      </c>
      <c r="I20" s="28" t="s">
        <v>3448</v>
      </c>
      <c r="J20" s="30">
        <v>0.1028587962962963</v>
      </c>
      <c r="K20" s="30">
        <v>8.475694444444444E-2</v>
      </c>
      <c r="L20" s="30">
        <v>0.12466435185185185</v>
      </c>
      <c r="M20" s="30">
        <v>8.3877314814814821E-2</v>
      </c>
      <c r="N20" s="30">
        <v>0.11412037037037037</v>
      </c>
      <c r="O20" s="30">
        <v>9.3622685185185184E-2</v>
      </c>
      <c r="P20" s="28" t="s">
        <v>3473</v>
      </c>
      <c r="Q20" s="30">
        <v>9.3622685185185184E-2</v>
      </c>
      <c r="R20" s="8">
        <f t="shared" si="0"/>
        <v>873</v>
      </c>
    </row>
    <row r="21" spans="1:18" ht="29.1">
      <c r="A21" s="28">
        <v>20</v>
      </c>
      <c r="B21" s="28">
        <v>22</v>
      </c>
      <c r="C21" s="32" t="s">
        <v>135</v>
      </c>
      <c r="D21" s="28" t="s">
        <v>3474</v>
      </c>
      <c r="E21" s="28" t="s">
        <v>434</v>
      </c>
      <c r="F21" s="28" t="s">
        <v>340</v>
      </c>
      <c r="G21" s="28" t="s">
        <v>352</v>
      </c>
      <c r="H21" s="28">
        <v>11</v>
      </c>
      <c r="I21" s="28" t="s">
        <v>3448</v>
      </c>
      <c r="J21" s="30">
        <v>0.10341435185185185</v>
      </c>
      <c r="K21" s="30">
        <v>8.4236111111111109E-2</v>
      </c>
      <c r="L21" s="30">
        <v>8.4085648148148145E-2</v>
      </c>
      <c r="M21" s="30">
        <v>8.3935185185185182E-2</v>
      </c>
      <c r="N21" s="30">
        <v>0.11310185185185186</v>
      </c>
      <c r="O21" s="30">
        <v>9.3773148148148147E-2</v>
      </c>
      <c r="P21" s="28" t="s">
        <v>3475</v>
      </c>
      <c r="Q21" s="30">
        <v>9.3773148148148147E-2</v>
      </c>
      <c r="R21" s="8">
        <f t="shared" si="0"/>
        <v>871</v>
      </c>
    </row>
    <row r="22" spans="1:18" ht="29.1">
      <c r="A22" s="28">
        <v>21</v>
      </c>
      <c r="B22" s="28">
        <v>17</v>
      </c>
      <c r="C22" s="32" t="s">
        <v>135</v>
      </c>
      <c r="D22" s="28" t="s">
        <v>365</v>
      </c>
      <c r="E22" s="28" t="s">
        <v>367</v>
      </c>
      <c r="F22" s="28" t="s">
        <v>340</v>
      </c>
      <c r="G22" s="28" t="s">
        <v>357</v>
      </c>
      <c r="H22" s="28">
        <v>2</v>
      </c>
      <c r="I22" s="28" t="s">
        <v>3448</v>
      </c>
      <c r="J22" s="30">
        <v>0.10216435185185185</v>
      </c>
      <c r="K22" s="30">
        <v>8.4814814814814815E-2</v>
      </c>
      <c r="L22" s="30">
        <v>8.3935185185185182E-2</v>
      </c>
      <c r="M22" s="30">
        <v>8.4027777777777785E-2</v>
      </c>
      <c r="N22" s="30">
        <v>0.11393518518518518</v>
      </c>
      <c r="O22" s="30">
        <v>9.3877314814814816E-2</v>
      </c>
      <c r="P22" s="28" t="s">
        <v>3476</v>
      </c>
      <c r="Q22" s="30">
        <v>9.3877314814814816E-2</v>
      </c>
      <c r="R22" s="8">
        <f t="shared" si="0"/>
        <v>870</v>
      </c>
    </row>
    <row r="23" spans="1:18" ht="29.1">
      <c r="A23" s="28">
        <v>22</v>
      </c>
      <c r="B23" s="28">
        <v>168</v>
      </c>
      <c r="C23" s="32" t="s">
        <v>135</v>
      </c>
      <c r="D23" s="28" t="s">
        <v>3477</v>
      </c>
      <c r="E23" s="28"/>
      <c r="F23" s="28" t="s">
        <v>340</v>
      </c>
      <c r="G23" s="28" t="s">
        <v>352</v>
      </c>
      <c r="H23" s="28">
        <v>2</v>
      </c>
      <c r="I23" s="28" t="s">
        <v>3478</v>
      </c>
      <c r="J23" s="30">
        <v>0.1052199074074074</v>
      </c>
      <c r="K23" s="30">
        <v>8.5057870370370367E-2</v>
      </c>
      <c r="L23" s="30">
        <v>8.3761574074074072E-2</v>
      </c>
      <c r="M23" s="30">
        <v>8.3935185185185182E-2</v>
      </c>
      <c r="N23" s="30">
        <v>0.11101851851851852</v>
      </c>
      <c r="O23" s="30">
        <v>9.3993055555555552E-2</v>
      </c>
      <c r="P23" s="28" t="s">
        <v>3479</v>
      </c>
      <c r="Q23" s="30">
        <v>9.3993055555555552E-2</v>
      </c>
      <c r="R23" s="8">
        <f t="shared" si="0"/>
        <v>869</v>
      </c>
    </row>
    <row r="24" spans="1:18" ht="29.1">
      <c r="A24" s="28">
        <v>23</v>
      </c>
      <c r="B24" s="28">
        <v>24</v>
      </c>
      <c r="C24" s="32" t="s">
        <v>135</v>
      </c>
      <c r="D24" s="28" t="s">
        <v>181</v>
      </c>
      <c r="E24" s="28"/>
      <c r="F24" s="28" t="s">
        <v>340</v>
      </c>
      <c r="G24" s="28" t="s">
        <v>341</v>
      </c>
      <c r="H24" s="28">
        <v>4</v>
      </c>
      <c r="I24" s="28" t="s">
        <v>3448</v>
      </c>
      <c r="J24" s="30">
        <v>0.10299768518518519</v>
      </c>
      <c r="K24" s="30">
        <v>8.4398148148148153E-2</v>
      </c>
      <c r="L24" s="30">
        <v>8.4259259259259256E-2</v>
      </c>
      <c r="M24" s="30">
        <v>8.3750000000000005E-2</v>
      </c>
      <c r="N24" s="30">
        <v>0.11362268518518519</v>
      </c>
      <c r="O24" s="30">
        <v>9.4016203703703699E-2</v>
      </c>
      <c r="P24" s="28" t="s">
        <v>3480</v>
      </c>
      <c r="Q24" s="30">
        <v>9.4016203703703699E-2</v>
      </c>
      <c r="R24" s="8">
        <f t="shared" si="0"/>
        <v>869</v>
      </c>
    </row>
    <row r="25" spans="1:18" ht="29.1">
      <c r="A25" s="28">
        <v>24</v>
      </c>
      <c r="B25" s="28">
        <v>21</v>
      </c>
      <c r="C25" s="32" t="s">
        <v>135</v>
      </c>
      <c r="D25" s="28" t="s">
        <v>730</v>
      </c>
      <c r="E25" s="28" t="s">
        <v>3455</v>
      </c>
      <c r="F25" s="28" t="s">
        <v>55</v>
      </c>
      <c r="G25" s="28" t="s">
        <v>341</v>
      </c>
      <c r="H25" s="28">
        <v>5</v>
      </c>
      <c r="I25" s="28" t="s">
        <v>3448</v>
      </c>
      <c r="J25" s="30">
        <v>0.10197916666666666</v>
      </c>
      <c r="K25" s="30">
        <v>8.4479166666666661E-2</v>
      </c>
      <c r="L25" s="30">
        <v>8.4710648148148146E-2</v>
      </c>
      <c r="M25" s="30">
        <v>8.3773148148148152E-2</v>
      </c>
      <c r="N25" s="30">
        <v>0.11446759259259259</v>
      </c>
      <c r="O25" s="30">
        <v>9.4409722222222228E-2</v>
      </c>
      <c r="P25" s="28" t="s">
        <v>3481</v>
      </c>
      <c r="Q25" s="30">
        <v>9.4409722222222228E-2</v>
      </c>
      <c r="R25" s="8">
        <f t="shared" si="0"/>
        <v>866</v>
      </c>
    </row>
    <row r="26" spans="1:18" ht="29.1">
      <c r="A26" s="28">
        <v>25</v>
      </c>
      <c r="B26" s="28">
        <v>29</v>
      </c>
      <c r="C26" s="32" t="s">
        <v>135</v>
      </c>
      <c r="D26" s="28" t="s">
        <v>1056</v>
      </c>
      <c r="E26" s="28" t="s">
        <v>3482</v>
      </c>
      <c r="F26" s="28" t="s">
        <v>340</v>
      </c>
      <c r="G26" s="28" t="s">
        <v>341</v>
      </c>
      <c r="H26" s="28">
        <v>6</v>
      </c>
      <c r="I26" s="28" t="s">
        <v>3448</v>
      </c>
      <c r="J26" s="30">
        <v>0.10159722222222223</v>
      </c>
      <c r="K26" s="30">
        <v>8.4745370370370374E-2</v>
      </c>
      <c r="L26" s="30">
        <v>8.3425925925925931E-2</v>
      </c>
      <c r="M26" s="30">
        <v>8.414351851851852E-2</v>
      </c>
      <c r="N26" s="30">
        <v>0.11568287037037037</v>
      </c>
      <c r="O26" s="30">
        <v>9.4594907407407405E-2</v>
      </c>
      <c r="P26" s="28" t="s">
        <v>3483</v>
      </c>
      <c r="Q26" s="30">
        <v>9.4594907407407405E-2</v>
      </c>
      <c r="R26" s="8">
        <f t="shared" si="0"/>
        <v>864</v>
      </c>
    </row>
    <row r="27" spans="1:18" ht="29.1">
      <c r="A27" s="28">
        <v>26</v>
      </c>
      <c r="B27" s="28">
        <v>13</v>
      </c>
      <c r="C27" s="32" t="s">
        <v>135</v>
      </c>
      <c r="D27" s="28" t="s">
        <v>3484</v>
      </c>
      <c r="E27" s="28" t="s">
        <v>173</v>
      </c>
      <c r="F27" s="28" t="s">
        <v>340</v>
      </c>
      <c r="G27" s="28" t="s">
        <v>352</v>
      </c>
      <c r="H27" s="28">
        <v>13</v>
      </c>
      <c r="I27" s="28" t="s">
        <v>3448</v>
      </c>
      <c r="J27" s="30">
        <v>0.10126157407407407</v>
      </c>
      <c r="K27" s="30">
        <v>8.4375000000000006E-2</v>
      </c>
      <c r="L27" s="30">
        <v>8.4108796296296293E-2</v>
      </c>
      <c r="M27" s="30">
        <v>8.4027777777777785E-2</v>
      </c>
      <c r="N27" s="30">
        <v>0.11608796296296296</v>
      </c>
      <c r="O27" s="30">
        <v>9.4861111111111104E-2</v>
      </c>
      <c r="P27" s="28" t="s">
        <v>3485</v>
      </c>
      <c r="Q27" s="30">
        <v>9.4861111111111104E-2</v>
      </c>
      <c r="R27" s="8">
        <f t="shared" si="0"/>
        <v>861</v>
      </c>
    </row>
    <row r="28" spans="1:18" ht="29.1">
      <c r="A28" s="28">
        <v>27</v>
      </c>
      <c r="B28" s="28">
        <v>26</v>
      </c>
      <c r="C28" s="28"/>
      <c r="D28" s="28" t="s">
        <v>1532</v>
      </c>
      <c r="E28" s="28"/>
      <c r="F28" s="28" t="s">
        <v>340</v>
      </c>
      <c r="G28" s="28" t="s">
        <v>352</v>
      </c>
      <c r="H28" s="28">
        <v>14</v>
      </c>
      <c r="I28" s="28" t="s">
        <v>3448</v>
      </c>
      <c r="J28" s="30">
        <v>0.10239583333333334</v>
      </c>
      <c r="K28" s="30">
        <v>8.4652777777777771E-2</v>
      </c>
      <c r="L28" s="30">
        <v>8.4097222222222226E-2</v>
      </c>
      <c r="M28" s="30">
        <v>8.4085648148148145E-2</v>
      </c>
      <c r="N28" s="30">
        <v>0.11483796296296296</v>
      </c>
      <c r="O28" s="30">
        <v>9.5069444444444443E-2</v>
      </c>
      <c r="P28" s="28" t="s">
        <v>3486</v>
      </c>
      <c r="Q28" s="30">
        <v>9.5069444444444443E-2</v>
      </c>
      <c r="R28" s="8">
        <f t="shared" si="0"/>
        <v>860</v>
      </c>
    </row>
    <row r="29" spans="1:18" ht="29.1">
      <c r="A29" s="28">
        <v>28</v>
      </c>
      <c r="B29" s="28">
        <v>92</v>
      </c>
      <c r="C29" s="32" t="s">
        <v>135</v>
      </c>
      <c r="D29" s="28" t="s">
        <v>743</v>
      </c>
      <c r="E29" s="28" t="s">
        <v>252</v>
      </c>
      <c r="F29" s="28" t="s">
        <v>340</v>
      </c>
      <c r="G29" s="28" t="s">
        <v>357</v>
      </c>
      <c r="H29" s="28">
        <v>3</v>
      </c>
      <c r="I29" s="28" t="s">
        <v>3487</v>
      </c>
      <c r="J29" s="30">
        <v>0.10311342592592593</v>
      </c>
      <c r="K29" s="30">
        <v>8.4490740740740741E-2</v>
      </c>
      <c r="L29" s="30">
        <v>8.6608796296296295E-2</v>
      </c>
      <c r="M29" s="30">
        <v>8.3726851851851858E-2</v>
      </c>
      <c r="N29" s="30">
        <v>0.11271990740740741</v>
      </c>
      <c r="O29" s="30">
        <v>9.5648148148148149E-2</v>
      </c>
      <c r="P29" s="28" t="s">
        <v>3488</v>
      </c>
      <c r="Q29" s="30">
        <v>9.5648148148148149E-2</v>
      </c>
      <c r="R29" s="8">
        <f t="shared" si="0"/>
        <v>854</v>
      </c>
    </row>
    <row r="30" spans="1:18" ht="29.1">
      <c r="A30" s="28">
        <v>29</v>
      </c>
      <c r="B30" s="28">
        <v>23</v>
      </c>
      <c r="C30" s="32" t="s">
        <v>135</v>
      </c>
      <c r="D30" s="28" t="s">
        <v>2357</v>
      </c>
      <c r="E30" s="28" t="s">
        <v>3482</v>
      </c>
      <c r="F30" s="28" t="s">
        <v>340</v>
      </c>
      <c r="G30" s="28" t="s">
        <v>352</v>
      </c>
      <c r="H30" s="28">
        <v>15</v>
      </c>
      <c r="I30" s="28" t="s">
        <v>3448</v>
      </c>
      <c r="J30" s="30">
        <v>9.9872685185185189E-2</v>
      </c>
      <c r="K30" s="30">
        <v>8.4386574074074072E-2</v>
      </c>
      <c r="L30" s="30">
        <v>8.7071759259259265E-2</v>
      </c>
      <c r="M30" s="30">
        <v>8.4212962962962962E-2</v>
      </c>
      <c r="N30" s="30">
        <v>0.11521990740740741</v>
      </c>
      <c r="O30" s="30">
        <v>9.5763888888888885E-2</v>
      </c>
      <c r="P30" s="28" t="s">
        <v>3489</v>
      </c>
      <c r="Q30" s="30">
        <v>9.5763888888888885E-2</v>
      </c>
      <c r="R30" s="8">
        <f t="shared" si="0"/>
        <v>853</v>
      </c>
    </row>
    <row r="31" spans="1:18" ht="29.1">
      <c r="A31" s="28">
        <v>30</v>
      </c>
      <c r="B31" s="28">
        <v>104</v>
      </c>
      <c r="C31" s="32" t="s">
        <v>135</v>
      </c>
      <c r="D31" s="28" t="s">
        <v>422</v>
      </c>
      <c r="E31" s="28"/>
      <c r="F31" s="28" t="s">
        <v>340</v>
      </c>
      <c r="G31" s="28" t="s">
        <v>357</v>
      </c>
      <c r="H31" s="28">
        <v>4</v>
      </c>
      <c r="I31" s="28" t="s">
        <v>3487</v>
      </c>
      <c r="J31" s="30">
        <v>0.1034375</v>
      </c>
      <c r="K31" s="30">
        <v>8.4560185185185183E-2</v>
      </c>
      <c r="L31" s="30">
        <v>8.5300925925925933E-2</v>
      </c>
      <c r="M31" s="30">
        <v>8.3946759259259263E-2</v>
      </c>
      <c r="N31" s="30">
        <v>0.11361111111111111</v>
      </c>
      <c r="O31" s="30">
        <v>9.5856481481481487E-2</v>
      </c>
      <c r="P31" s="28" t="s">
        <v>3490</v>
      </c>
      <c r="Q31" s="30">
        <v>9.5856481481481487E-2</v>
      </c>
      <c r="R31" s="8">
        <f t="shared" si="0"/>
        <v>852</v>
      </c>
    </row>
    <row r="32" spans="1:18" ht="29.1">
      <c r="A32" s="28">
        <v>31</v>
      </c>
      <c r="B32" s="28">
        <v>83</v>
      </c>
      <c r="C32" s="32" t="s">
        <v>135</v>
      </c>
      <c r="D32" s="28" t="s">
        <v>381</v>
      </c>
      <c r="E32" s="28" t="s">
        <v>138</v>
      </c>
      <c r="F32" s="28" t="s">
        <v>27</v>
      </c>
      <c r="G32" s="28" t="s">
        <v>341</v>
      </c>
      <c r="H32" s="28">
        <v>7</v>
      </c>
      <c r="I32" s="28" t="s">
        <v>3487</v>
      </c>
      <c r="J32" s="30">
        <v>0.10451388888888889</v>
      </c>
      <c r="K32" s="30">
        <v>8.4525462962962969E-2</v>
      </c>
      <c r="L32" s="30">
        <v>8.4328703703703697E-2</v>
      </c>
      <c r="M32" s="30">
        <v>8.413194444444444E-2</v>
      </c>
      <c r="N32" s="30">
        <v>0.11425925925925925</v>
      </c>
      <c r="O32" s="30">
        <v>9.6759259259259253E-2</v>
      </c>
      <c r="P32" s="28" t="s">
        <v>3393</v>
      </c>
      <c r="Q32" s="30">
        <v>9.6759259259259253E-2</v>
      </c>
      <c r="R32" s="8">
        <f t="shared" si="0"/>
        <v>844</v>
      </c>
    </row>
    <row r="33" spans="1:18" ht="29.1">
      <c r="A33" s="28">
        <v>32</v>
      </c>
      <c r="B33" s="28">
        <v>131</v>
      </c>
      <c r="C33" s="32" t="s">
        <v>135</v>
      </c>
      <c r="D33" s="28" t="s">
        <v>378</v>
      </c>
      <c r="E33" s="28"/>
      <c r="F33" s="28" t="s">
        <v>340</v>
      </c>
      <c r="G33" s="28" t="s">
        <v>352</v>
      </c>
      <c r="H33" s="28">
        <v>16</v>
      </c>
      <c r="I33" s="28" t="s">
        <v>3478</v>
      </c>
      <c r="J33" s="30">
        <v>0.1047337962962963</v>
      </c>
      <c r="K33" s="30">
        <v>8.5289351851851852E-2</v>
      </c>
      <c r="L33" s="30">
        <v>8.5277777777777772E-2</v>
      </c>
      <c r="M33" s="30">
        <v>8.4062499999999998E-2</v>
      </c>
      <c r="N33" s="30">
        <v>0.11265046296296297</v>
      </c>
      <c r="O33" s="30">
        <v>9.7013888888888886E-2</v>
      </c>
      <c r="P33" s="28" t="s">
        <v>3491</v>
      </c>
      <c r="Q33" s="30">
        <v>9.7013888888888886E-2</v>
      </c>
      <c r="R33" s="8">
        <f t="shared" si="0"/>
        <v>842</v>
      </c>
    </row>
    <row r="34" spans="1:18" ht="29.1">
      <c r="A34" s="28">
        <v>33</v>
      </c>
      <c r="B34" s="28">
        <v>119</v>
      </c>
      <c r="C34" s="32" t="s">
        <v>135</v>
      </c>
      <c r="D34" s="28" t="s">
        <v>250</v>
      </c>
      <c r="E34" s="28" t="s">
        <v>252</v>
      </c>
      <c r="F34" s="28" t="s">
        <v>340</v>
      </c>
      <c r="G34" s="28" t="s">
        <v>352</v>
      </c>
      <c r="H34" s="28">
        <v>17</v>
      </c>
      <c r="I34" s="28" t="s">
        <v>3478</v>
      </c>
      <c r="J34" s="30">
        <v>0.10607638888888889</v>
      </c>
      <c r="K34" s="30">
        <v>8.4837962962962962E-2</v>
      </c>
      <c r="L34" s="30">
        <v>8.5578703703703699E-2</v>
      </c>
      <c r="M34" s="30">
        <v>8.3761574074074072E-2</v>
      </c>
      <c r="N34" s="30">
        <v>0.11208333333333333</v>
      </c>
      <c r="O34" s="30">
        <v>9.734953703703704E-2</v>
      </c>
      <c r="P34" s="28" t="s">
        <v>3492</v>
      </c>
      <c r="Q34" s="30">
        <v>9.734953703703704E-2</v>
      </c>
      <c r="R34" s="8">
        <f t="shared" si="0"/>
        <v>839</v>
      </c>
    </row>
    <row r="35" spans="1:18" ht="29.1">
      <c r="A35" s="28">
        <v>34</v>
      </c>
      <c r="B35" s="28">
        <v>181</v>
      </c>
      <c r="C35" s="32" t="s">
        <v>135</v>
      </c>
      <c r="D35" s="28" t="s">
        <v>1529</v>
      </c>
      <c r="E35" s="28"/>
      <c r="F35" s="28" t="s">
        <v>340</v>
      </c>
      <c r="G35" s="28" t="s">
        <v>352</v>
      </c>
      <c r="H35" s="28">
        <v>18</v>
      </c>
      <c r="I35" s="28" t="s">
        <v>3448</v>
      </c>
      <c r="J35" s="30">
        <v>0.10443287037037037</v>
      </c>
      <c r="K35" s="30">
        <v>8.4490740740740741E-2</v>
      </c>
      <c r="L35" s="30">
        <v>8.5358796296296294E-2</v>
      </c>
      <c r="M35" s="30">
        <v>8.4513888888888888E-2</v>
      </c>
      <c r="N35" s="30">
        <v>0.11362268518518519</v>
      </c>
      <c r="O35" s="30">
        <v>9.7418981481481481E-2</v>
      </c>
      <c r="P35" s="28" t="s">
        <v>3493</v>
      </c>
      <c r="Q35" s="30">
        <v>9.7418981481481481E-2</v>
      </c>
      <c r="R35" s="8">
        <f t="shared" si="0"/>
        <v>839</v>
      </c>
    </row>
    <row r="36" spans="1:18" ht="29.1">
      <c r="A36" s="28">
        <v>35</v>
      </c>
      <c r="B36" s="28">
        <v>30</v>
      </c>
      <c r="C36" s="32" t="s">
        <v>135</v>
      </c>
      <c r="D36" s="28" t="s">
        <v>689</v>
      </c>
      <c r="E36" s="28" t="s">
        <v>691</v>
      </c>
      <c r="F36" s="28" t="s">
        <v>340</v>
      </c>
      <c r="G36" s="28" t="s">
        <v>352</v>
      </c>
      <c r="H36" s="28">
        <v>19</v>
      </c>
      <c r="I36" s="28" t="s">
        <v>3448</v>
      </c>
      <c r="J36" s="30">
        <v>0.10373842592592593</v>
      </c>
      <c r="K36" s="30">
        <v>8.4525462962962969E-2</v>
      </c>
      <c r="L36" s="30">
        <v>8.6354166666666662E-2</v>
      </c>
      <c r="M36" s="30">
        <v>8.396990740740741E-2</v>
      </c>
      <c r="N36" s="30">
        <v>0.11412037037037037</v>
      </c>
      <c r="O36" s="30">
        <v>9.7719907407407408E-2</v>
      </c>
      <c r="P36" s="28" t="s">
        <v>3494</v>
      </c>
      <c r="Q36" s="30">
        <v>9.7719907407407408E-2</v>
      </c>
      <c r="R36" s="8">
        <f t="shared" si="0"/>
        <v>836</v>
      </c>
    </row>
    <row r="37" spans="1:18" ht="29.1">
      <c r="A37" s="28">
        <v>36</v>
      </c>
      <c r="B37" s="28">
        <v>27</v>
      </c>
      <c r="C37" s="32" t="s">
        <v>135</v>
      </c>
      <c r="D37" s="28" t="s">
        <v>3495</v>
      </c>
      <c r="E37" s="28" t="s">
        <v>1378</v>
      </c>
      <c r="F37" s="28" t="s">
        <v>340</v>
      </c>
      <c r="G37" s="28" t="s">
        <v>352</v>
      </c>
      <c r="H37" s="28">
        <v>20</v>
      </c>
      <c r="I37" s="28" t="s">
        <v>3448</v>
      </c>
      <c r="J37" s="30">
        <v>0.1037962962962963</v>
      </c>
      <c r="K37" s="30">
        <v>8.5000000000000006E-2</v>
      </c>
      <c r="L37" s="30">
        <v>8.3807870370370366E-2</v>
      </c>
      <c r="M37" s="30">
        <v>8.4398148148148153E-2</v>
      </c>
      <c r="N37" s="30">
        <v>0.11591435185185185</v>
      </c>
      <c r="O37" s="30">
        <v>9.7916666666666666E-2</v>
      </c>
      <c r="P37" s="28" t="s">
        <v>3496</v>
      </c>
      <c r="Q37" s="30">
        <v>9.7916666666666666E-2</v>
      </c>
      <c r="R37" s="8">
        <f t="shared" si="0"/>
        <v>835</v>
      </c>
    </row>
    <row r="38" spans="1:18" ht="29.1">
      <c r="A38" s="28">
        <v>37</v>
      </c>
      <c r="B38" s="28">
        <v>71</v>
      </c>
      <c r="C38" s="32" t="s">
        <v>135</v>
      </c>
      <c r="D38" s="28" t="s">
        <v>3497</v>
      </c>
      <c r="E38" s="28" t="s">
        <v>153</v>
      </c>
      <c r="F38" s="28" t="s">
        <v>340</v>
      </c>
      <c r="G38" s="28" t="s">
        <v>357</v>
      </c>
      <c r="H38" s="28">
        <v>5</v>
      </c>
      <c r="I38" s="28" t="s">
        <v>3487</v>
      </c>
      <c r="J38" s="30">
        <v>0.10356481481481482</v>
      </c>
      <c r="K38" s="30">
        <v>8.4722222222222227E-2</v>
      </c>
      <c r="L38" s="30">
        <v>8.4398148148148153E-2</v>
      </c>
      <c r="M38" s="30">
        <v>8.4097222222222226E-2</v>
      </c>
      <c r="N38" s="30">
        <v>0.1162037037037037</v>
      </c>
      <c r="O38" s="30">
        <v>9.7986111111111107E-2</v>
      </c>
      <c r="P38" s="28" t="s">
        <v>3498</v>
      </c>
      <c r="Q38" s="30">
        <v>9.7986111111111107E-2</v>
      </c>
      <c r="R38" s="8">
        <f t="shared" si="0"/>
        <v>834</v>
      </c>
    </row>
    <row r="39" spans="1:18" ht="29.1">
      <c r="A39" s="28">
        <v>38</v>
      </c>
      <c r="B39" s="28">
        <v>106</v>
      </c>
      <c r="C39" s="32" t="s">
        <v>135</v>
      </c>
      <c r="D39" s="28" t="s">
        <v>214</v>
      </c>
      <c r="E39" s="28"/>
      <c r="F39" s="28" t="s">
        <v>340</v>
      </c>
      <c r="G39" s="28" t="s">
        <v>357</v>
      </c>
      <c r="H39" s="28">
        <v>6</v>
      </c>
      <c r="I39" s="28" t="s">
        <v>3487</v>
      </c>
      <c r="J39" s="30">
        <v>0.10304398148148149</v>
      </c>
      <c r="K39" s="30">
        <v>8.4814814814814815E-2</v>
      </c>
      <c r="L39" s="30">
        <v>8.5567129629629632E-2</v>
      </c>
      <c r="M39" s="30">
        <v>8.4016203703703704E-2</v>
      </c>
      <c r="N39" s="30">
        <v>0.1162962962962963</v>
      </c>
      <c r="O39" s="30">
        <v>9.8738425925925924E-2</v>
      </c>
      <c r="P39" s="28" t="s">
        <v>3499</v>
      </c>
      <c r="Q39" s="30">
        <v>9.8738425925925924E-2</v>
      </c>
      <c r="R39" s="8">
        <f t="shared" si="0"/>
        <v>828</v>
      </c>
    </row>
    <row r="40" spans="1:18" ht="29.1">
      <c r="A40" s="28">
        <v>39</v>
      </c>
      <c r="B40" s="28">
        <v>160</v>
      </c>
      <c r="C40" s="32" t="s">
        <v>135</v>
      </c>
      <c r="D40" s="28" t="s">
        <v>2961</v>
      </c>
      <c r="E40" s="28" t="s">
        <v>138</v>
      </c>
      <c r="F40" s="28" t="s">
        <v>3500</v>
      </c>
      <c r="G40" s="28" t="s">
        <v>352</v>
      </c>
      <c r="H40" s="28">
        <v>21</v>
      </c>
      <c r="I40" s="28" t="s">
        <v>3478</v>
      </c>
      <c r="J40" s="30">
        <v>0.10637731481481481</v>
      </c>
      <c r="K40" s="30">
        <v>8.5104166666666661E-2</v>
      </c>
      <c r="L40" s="30">
        <v>8.44212962962963E-2</v>
      </c>
      <c r="M40" s="30">
        <v>8.3773148148148152E-2</v>
      </c>
      <c r="N40" s="30">
        <v>0.11405092592592593</v>
      </c>
      <c r="O40" s="30">
        <v>9.8738425925925924E-2</v>
      </c>
      <c r="P40" s="28" t="s">
        <v>3501</v>
      </c>
      <c r="Q40" s="30">
        <v>9.8738425925925924E-2</v>
      </c>
      <c r="R40" s="8">
        <f t="shared" si="0"/>
        <v>828</v>
      </c>
    </row>
    <row r="41" spans="1:18" ht="29.1">
      <c r="A41" s="28">
        <v>40</v>
      </c>
      <c r="B41" s="28">
        <v>20</v>
      </c>
      <c r="C41" s="32" t="s">
        <v>135</v>
      </c>
      <c r="D41" s="28" t="s">
        <v>425</v>
      </c>
      <c r="E41" s="28"/>
      <c r="F41" s="28" t="s">
        <v>340</v>
      </c>
      <c r="G41" s="28" t="s">
        <v>352</v>
      </c>
      <c r="H41" s="28">
        <v>22</v>
      </c>
      <c r="I41" s="28" t="s">
        <v>3478</v>
      </c>
      <c r="J41" s="30">
        <v>0.10606481481481482</v>
      </c>
      <c r="K41" s="30">
        <v>8.4710648148148146E-2</v>
      </c>
      <c r="L41" s="30">
        <v>8.5173611111111117E-2</v>
      </c>
      <c r="M41" s="30">
        <v>8.3773148148148152E-2</v>
      </c>
      <c r="N41" s="30">
        <v>0.11407407407407408</v>
      </c>
      <c r="O41" s="30">
        <v>9.8807870370370365E-2</v>
      </c>
      <c r="P41" s="28" t="s">
        <v>3502</v>
      </c>
      <c r="Q41" s="30">
        <v>9.8807870370370365E-2</v>
      </c>
      <c r="R41" s="8">
        <f t="shared" si="0"/>
        <v>827</v>
      </c>
    </row>
    <row r="42" spans="1:18" ht="29.1">
      <c r="A42" s="28">
        <v>41</v>
      </c>
      <c r="B42" s="28">
        <v>94</v>
      </c>
      <c r="C42" s="32" t="s">
        <v>135</v>
      </c>
      <c r="D42" s="28" t="s">
        <v>3503</v>
      </c>
      <c r="E42" s="28" t="s">
        <v>199</v>
      </c>
      <c r="F42" s="28" t="s">
        <v>340</v>
      </c>
      <c r="G42" s="28" t="s">
        <v>341</v>
      </c>
      <c r="H42" s="28">
        <v>8</v>
      </c>
      <c r="I42" s="28" t="s">
        <v>3487</v>
      </c>
      <c r="J42" s="30">
        <v>0.10336805555555556</v>
      </c>
      <c r="K42" s="30">
        <v>8.4050925925925932E-2</v>
      </c>
      <c r="L42" s="30">
        <v>8.5347222222222227E-2</v>
      </c>
      <c r="M42" s="30">
        <v>8.3703703703703697E-2</v>
      </c>
      <c r="N42" s="30">
        <v>0.11733796296296296</v>
      </c>
      <c r="O42" s="30">
        <v>9.8923611111111115E-2</v>
      </c>
      <c r="P42" s="28" t="s">
        <v>3504</v>
      </c>
      <c r="Q42" s="30">
        <v>9.8923611111111115E-2</v>
      </c>
      <c r="R42" s="8">
        <f t="shared" si="0"/>
        <v>826</v>
      </c>
    </row>
    <row r="43" spans="1:18" ht="29.1">
      <c r="A43" s="28">
        <v>42</v>
      </c>
      <c r="B43" s="28">
        <v>114</v>
      </c>
      <c r="C43" s="32" t="s">
        <v>135</v>
      </c>
      <c r="D43" s="28" t="s">
        <v>402</v>
      </c>
      <c r="E43" s="28" t="s">
        <v>199</v>
      </c>
      <c r="F43" s="28" t="s">
        <v>340</v>
      </c>
      <c r="G43" s="28" t="s">
        <v>352</v>
      </c>
      <c r="H43" s="28">
        <v>23</v>
      </c>
      <c r="I43" s="28" t="s">
        <v>3478</v>
      </c>
      <c r="J43" s="30">
        <v>0.10490740740740741</v>
      </c>
      <c r="K43" s="30">
        <v>8.4652777777777771E-2</v>
      </c>
      <c r="L43" s="30">
        <v>8.6979166666666663E-2</v>
      </c>
      <c r="M43" s="30">
        <v>8.4108796296296293E-2</v>
      </c>
      <c r="N43" s="30">
        <v>0.11335648148148147</v>
      </c>
      <c r="O43" s="30">
        <v>9.9016203703703703E-2</v>
      </c>
      <c r="P43" s="28" t="s">
        <v>3505</v>
      </c>
      <c r="Q43" s="30">
        <v>9.9016203703703703E-2</v>
      </c>
      <c r="R43" s="8">
        <f t="shared" si="0"/>
        <v>825</v>
      </c>
    </row>
    <row r="44" spans="1:18" ht="29.1">
      <c r="A44" s="28">
        <v>43</v>
      </c>
      <c r="B44" s="28">
        <v>180</v>
      </c>
      <c r="C44" s="32" t="s">
        <v>135</v>
      </c>
      <c r="D44" s="28" t="s">
        <v>454</v>
      </c>
      <c r="E44" s="28"/>
      <c r="F44" s="28" t="s">
        <v>340</v>
      </c>
      <c r="G44" s="28" t="s">
        <v>352</v>
      </c>
      <c r="H44" s="28">
        <v>24</v>
      </c>
      <c r="I44" s="28" t="s">
        <v>3478</v>
      </c>
      <c r="J44" s="30">
        <v>0.10459490740740741</v>
      </c>
      <c r="K44" s="30">
        <v>8.4791666666666668E-2</v>
      </c>
      <c r="L44" s="30">
        <v>8.6180555555555552E-2</v>
      </c>
      <c r="M44" s="30">
        <v>8.4074074074074079E-2</v>
      </c>
      <c r="N44" s="30">
        <v>0.11450231481481482</v>
      </c>
      <c r="O44" s="30">
        <v>9.9155092592592586E-2</v>
      </c>
      <c r="P44" s="28" t="s">
        <v>3506</v>
      </c>
      <c r="Q44" s="30">
        <v>9.9155092592592586E-2</v>
      </c>
      <c r="R44" s="8">
        <f t="shared" si="0"/>
        <v>824</v>
      </c>
    </row>
    <row r="45" spans="1:18" ht="29.1">
      <c r="A45" s="28">
        <v>44</v>
      </c>
      <c r="B45" s="28">
        <v>98</v>
      </c>
      <c r="C45" s="32" t="s">
        <v>135</v>
      </c>
      <c r="D45" s="28" t="s">
        <v>224</v>
      </c>
      <c r="E45" s="28" t="s">
        <v>138</v>
      </c>
      <c r="F45" s="28" t="s">
        <v>31</v>
      </c>
      <c r="G45" s="28" t="s">
        <v>341</v>
      </c>
      <c r="H45" s="28">
        <v>9</v>
      </c>
      <c r="I45" s="28" t="s">
        <v>3487</v>
      </c>
      <c r="J45" s="30">
        <v>0.10398148148148148</v>
      </c>
      <c r="K45" s="30">
        <v>8.4699074074074079E-2</v>
      </c>
      <c r="L45" s="30">
        <v>8.5567129629629632E-2</v>
      </c>
      <c r="M45" s="30">
        <v>8.4155092592592587E-2</v>
      </c>
      <c r="N45" s="30">
        <v>0.11587962962962962</v>
      </c>
      <c r="O45" s="30">
        <v>9.9270833333333336E-2</v>
      </c>
      <c r="P45" s="28" t="s">
        <v>3507</v>
      </c>
      <c r="Q45" s="30">
        <v>9.9270833333333336E-2</v>
      </c>
      <c r="R45" s="8">
        <f t="shared" si="0"/>
        <v>823</v>
      </c>
    </row>
    <row r="46" spans="1:18" ht="29.1">
      <c r="A46" s="28">
        <v>45</v>
      </c>
      <c r="B46" s="28">
        <v>58</v>
      </c>
      <c r="C46" s="32" t="s">
        <v>135</v>
      </c>
      <c r="D46" s="28" t="s">
        <v>2576</v>
      </c>
      <c r="E46" s="28" t="s">
        <v>138</v>
      </c>
      <c r="F46" s="28" t="s">
        <v>3508</v>
      </c>
      <c r="G46" s="28" t="s">
        <v>420</v>
      </c>
      <c r="H46" s="28">
        <v>1</v>
      </c>
      <c r="I46" s="28" t="s">
        <v>3487</v>
      </c>
      <c r="J46" s="30">
        <v>0.10550925925925926</v>
      </c>
      <c r="K46" s="30">
        <v>8.4537037037037036E-2</v>
      </c>
      <c r="L46" s="30">
        <v>8.5613425925925926E-2</v>
      </c>
      <c r="M46" s="30">
        <v>8.4085648148148145E-2</v>
      </c>
      <c r="N46" s="30">
        <v>0.11459490740740741</v>
      </c>
      <c r="O46" s="30">
        <v>9.9328703703703697E-2</v>
      </c>
      <c r="P46" s="28" t="s">
        <v>3509</v>
      </c>
      <c r="Q46" s="30">
        <v>9.9328703703703697E-2</v>
      </c>
      <c r="R46" s="8">
        <f t="shared" si="0"/>
        <v>823</v>
      </c>
    </row>
    <row r="47" spans="1:18" ht="29.1">
      <c r="A47" s="28">
        <v>46</v>
      </c>
      <c r="B47" s="28">
        <v>159</v>
      </c>
      <c r="C47" s="32" t="s">
        <v>135</v>
      </c>
      <c r="D47" s="28" t="s">
        <v>3510</v>
      </c>
      <c r="E47" s="28" t="s">
        <v>3511</v>
      </c>
      <c r="F47" s="28" t="s">
        <v>340</v>
      </c>
      <c r="G47" s="28" t="s">
        <v>352</v>
      </c>
      <c r="H47" s="28">
        <v>25</v>
      </c>
      <c r="I47" s="28" t="s">
        <v>3478</v>
      </c>
      <c r="J47" s="30">
        <v>0.10452546296296296</v>
      </c>
      <c r="K47" s="30">
        <v>8.5138888888888889E-2</v>
      </c>
      <c r="L47" s="30">
        <v>8.4641203703703705E-2</v>
      </c>
      <c r="M47" s="30">
        <v>8.4027777777777785E-2</v>
      </c>
      <c r="N47" s="30">
        <v>0.11649305555555556</v>
      </c>
      <c r="O47" s="30">
        <v>9.9814814814814815E-2</v>
      </c>
      <c r="P47" s="28" t="s">
        <v>3512</v>
      </c>
      <c r="Q47" s="30">
        <v>9.9814814814814815E-2</v>
      </c>
      <c r="R47" s="8">
        <f t="shared" si="0"/>
        <v>819</v>
      </c>
    </row>
    <row r="48" spans="1:18" ht="29.1">
      <c r="A48" s="28">
        <v>47</v>
      </c>
      <c r="B48" s="28">
        <v>32</v>
      </c>
      <c r="C48" s="32" t="s">
        <v>135</v>
      </c>
      <c r="D48" s="28" t="s">
        <v>3513</v>
      </c>
      <c r="E48" s="28" t="s">
        <v>138</v>
      </c>
      <c r="F48" s="28" t="s">
        <v>73</v>
      </c>
      <c r="G48" s="28" t="s">
        <v>149</v>
      </c>
      <c r="H48" s="28"/>
      <c r="I48" s="28" t="s">
        <v>3448</v>
      </c>
      <c r="J48" s="30">
        <v>0.10391203703703704</v>
      </c>
      <c r="K48" s="30">
        <v>8.475694444444444E-2</v>
      </c>
      <c r="L48" s="30">
        <v>8.7928240740740737E-2</v>
      </c>
      <c r="M48" s="30">
        <v>8.4155092592592587E-2</v>
      </c>
      <c r="N48" s="30">
        <v>0.11408564814814814</v>
      </c>
      <c r="O48" s="30">
        <v>9.9826388888888895E-2</v>
      </c>
      <c r="P48" s="28" t="s">
        <v>3514</v>
      </c>
      <c r="Q48" s="30">
        <v>9.9826388888888895E-2</v>
      </c>
      <c r="R48" s="8">
        <f t="shared" si="0"/>
        <v>819</v>
      </c>
    </row>
    <row r="49" spans="1:18" ht="29.1">
      <c r="A49" s="28">
        <v>48</v>
      </c>
      <c r="B49" s="28">
        <v>150</v>
      </c>
      <c r="C49" s="32" t="s">
        <v>135</v>
      </c>
      <c r="D49" s="28" t="s">
        <v>1536</v>
      </c>
      <c r="E49" s="28" t="s">
        <v>3515</v>
      </c>
      <c r="F49" s="28" t="s">
        <v>340</v>
      </c>
      <c r="G49" s="28" t="s">
        <v>352</v>
      </c>
      <c r="H49" s="28">
        <v>26</v>
      </c>
      <c r="I49" s="28" t="s">
        <v>3478</v>
      </c>
      <c r="J49" s="30">
        <v>0.10418981481481482</v>
      </c>
      <c r="K49" s="30">
        <v>8.4791666666666668E-2</v>
      </c>
      <c r="L49" s="30">
        <v>8.8310185185185186E-2</v>
      </c>
      <c r="M49" s="30">
        <v>8.385416666666666E-2</v>
      </c>
      <c r="N49" s="30">
        <v>0.11372685185185186</v>
      </c>
      <c r="O49" s="30">
        <v>9.9872685185185189E-2</v>
      </c>
      <c r="P49" s="28" t="s">
        <v>3516</v>
      </c>
      <c r="Q49" s="30">
        <v>9.9872685185185189E-2</v>
      </c>
      <c r="R49" s="8">
        <f t="shared" si="0"/>
        <v>818</v>
      </c>
    </row>
    <row r="50" spans="1:18" ht="29.1">
      <c r="A50" s="28">
        <v>49</v>
      </c>
      <c r="B50" s="28">
        <v>135</v>
      </c>
      <c r="C50" s="32" t="s">
        <v>135</v>
      </c>
      <c r="D50" s="28" t="s">
        <v>3517</v>
      </c>
      <c r="E50" s="28" t="s">
        <v>199</v>
      </c>
      <c r="F50" s="28" t="s">
        <v>340</v>
      </c>
      <c r="G50" s="28" t="s">
        <v>352</v>
      </c>
      <c r="H50" s="28">
        <v>27</v>
      </c>
      <c r="I50" s="28" t="s">
        <v>3478</v>
      </c>
      <c r="J50" s="30">
        <v>0.10730324074074074</v>
      </c>
      <c r="K50" s="30">
        <v>8.4641203703703705E-2</v>
      </c>
      <c r="L50" s="30">
        <v>8.4525462962962969E-2</v>
      </c>
      <c r="M50" s="30">
        <v>8.3773148148148152E-2</v>
      </c>
      <c r="N50" s="30">
        <v>0.11482638888888889</v>
      </c>
      <c r="O50" s="30">
        <v>0.10006944444444445</v>
      </c>
      <c r="P50" s="28" t="s">
        <v>3518</v>
      </c>
      <c r="Q50" s="30">
        <v>0.10006944444444445</v>
      </c>
      <c r="R50" s="8">
        <f t="shared" si="0"/>
        <v>817</v>
      </c>
    </row>
    <row r="51" spans="1:18" ht="29.1">
      <c r="A51" s="28">
        <v>50</v>
      </c>
      <c r="B51" s="28">
        <v>79</v>
      </c>
      <c r="C51" s="32" t="s">
        <v>135</v>
      </c>
      <c r="D51" s="28" t="s">
        <v>240</v>
      </c>
      <c r="E51" s="28" t="s">
        <v>138</v>
      </c>
      <c r="F51" s="28" t="s">
        <v>34</v>
      </c>
      <c r="G51" s="28" t="s">
        <v>420</v>
      </c>
      <c r="H51" s="28">
        <v>2</v>
      </c>
      <c r="I51" s="28" t="s">
        <v>3487</v>
      </c>
      <c r="J51" s="30">
        <v>0.1017824074074074</v>
      </c>
      <c r="K51" s="30">
        <v>8.5023148148148153E-2</v>
      </c>
      <c r="L51" s="30">
        <v>8.5972222222222228E-2</v>
      </c>
      <c r="M51" s="30">
        <v>8.396990740740741E-2</v>
      </c>
      <c r="N51" s="30">
        <v>0.11837962962962963</v>
      </c>
      <c r="O51" s="30">
        <v>0.10012731481481481</v>
      </c>
      <c r="P51" s="28" t="s">
        <v>3519</v>
      </c>
      <c r="Q51" s="30">
        <v>0.10012731481481481</v>
      </c>
      <c r="R51" s="8">
        <f t="shared" si="0"/>
        <v>816</v>
      </c>
    </row>
    <row r="52" spans="1:18" ht="29.1">
      <c r="A52" s="28">
        <v>51</v>
      </c>
      <c r="B52" s="28">
        <v>178</v>
      </c>
      <c r="C52" s="32" t="s">
        <v>135</v>
      </c>
      <c r="D52" s="28" t="s">
        <v>217</v>
      </c>
      <c r="E52" s="28" t="s">
        <v>219</v>
      </c>
      <c r="F52" s="28" t="s">
        <v>340</v>
      </c>
      <c r="G52" s="28" t="s">
        <v>352</v>
      </c>
      <c r="H52" s="28">
        <v>28</v>
      </c>
      <c r="I52" s="28" t="s">
        <v>3478</v>
      </c>
      <c r="J52" s="30">
        <v>0.10369212962962963</v>
      </c>
      <c r="K52" s="30">
        <v>8.4918981481481484E-2</v>
      </c>
      <c r="L52" s="30">
        <v>8.5925925925925919E-2</v>
      </c>
      <c r="M52" s="30">
        <v>8.3796296296296299E-2</v>
      </c>
      <c r="N52" s="30">
        <v>0.11699074074074074</v>
      </c>
      <c r="O52" s="30">
        <v>0.10032407407407408</v>
      </c>
      <c r="P52" s="28" t="s">
        <v>3520</v>
      </c>
      <c r="Q52" s="30">
        <v>0.10032407407407408</v>
      </c>
      <c r="R52" s="8">
        <f t="shared" si="0"/>
        <v>814</v>
      </c>
    </row>
    <row r="53" spans="1:18" ht="29.1">
      <c r="A53" s="28">
        <v>52</v>
      </c>
      <c r="B53" s="28">
        <v>191</v>
      </c>
      <c r="C53" s="32" t="s">
        <v>135</v>
      </c>
      <c r="D53" s="28" t="s">
        <v>230</v>
      </c>
      <c r="E53" s="28"/>
      <c r="F53" s="28" t="s">
        <v>28</v>
      </c>
      <c r="G53" s="28" t="s">
        <v>352</v>
      </c>
      <c r="H53" s="28">
        <v>29</v>
      </c>
      <c r="I53" s="28" t="s">
        <v>3478</v>
      </c>
      <c r="J53" s="28"/>
      <c r="K53" s="28"/>
      <c r="L53" s="30">
        <v>8.4085648148148145E-2</v>
      </c>
      <c r="M53" s="30">
        <v>8.3726851851851858E-2</v>
      </c>
      <c r="N53" s="30">
        <v>0.11767361111111112</v>
      </c>
      <c r="O53" s="30">
        <v>0.10055555555555555</v>
      </c>
      <c r="P53" s="28" t="s">
        <v>3521</v>
      </c>
      <c r="Q53" s="30">
        <v>0.10055555555555555</v>
      </c>
      <c r="R53" s="8">
        <f t="shared" si="0"/>
        <v>813</v>
      </c>
    </row>
    <row r="54" spans="1:18" ht="29.1">
      <c r="A54" s="28">
        <v>53</v>
      </c>
      <c r="B54" s="28">
        <v>171</v>
      </c>
      <c r="C54" s="32" t="s">
        <v>135</v>
      </c>
      <c r="D54" s="28" t="s">
        <v>1225</v>
      </c>
      <c r="E54" s="28"/>
      <c r="F54" s="28" t="s">
        <v>340</v>
      </c>
      <c r="G54" s="28" t="s">
        <v>352</v>
      </c>
      <c r="H54" s="28">
        <v>30</v>
      </c>
      <c r="I54" s="28" t="s">
        <v>3478</v>
      </c>
      <c r="J54" s="30">
        <v>0.10460648148148148</v>
      </c>
      <c r="K54" s="30">
        <v>8.4513888888888888E-2</v>
      </c>
      <c r="L54" s="30">
        <v>8.6527777777777773E-2</v>
      </c>
      <c r="M54" s="30">
        <v>8.4317129629629631E-2</v>
      </c>
      <c r="N54" s="30">
        <v>0.11562500000000001</v>
      </c>
      <c r="O54" s="30">
        <v>0.10059027777777778</v>
      </c>
      <c r="P54" s="28" t="s">
        <v>3522</v>
      </c>
      <c r="Q54" s="30">
        <v>0.10059027777777778</v>
      </c>
      <c r="R54" s="8">
        <f t="shared" si="0"/>
        <v>812</v>
      </c>
    </row>
    <row r="55" spans="1:18" ht="29.1">
      <c r="A55" s="28">
        <v>54</v>
      </c>
      <c r="B55" s="28">
        <v>74</v>
      </c>
      <c r="C55" s="32" t="s">
        <v>135</v>
      </c>
      <c r="D55" s="28" t="s">
        <v>762</v>
      </c>
      <c r="E55" s="28" t="s">
        <v>138</v>
      </c>
      <c r="F55" s="28" t="s">
        <v>36</v>
      </c>
      <c r="G55" s="28" t="s">
        <v>341</v>
      </c>
      <c r="H55" s="28">
        <v>10</v>
      </c>
      <c r="I55" s="28" t="s">
        <v>3448</v>
      </c>
      <c r="J55" s="30">
        <v>0.10356481481481482</v>
      </c>
      <c r="K55" s="30">
        <v>8.4768518518518521E-2</v>
      </c>
      <c r="L55" s="30">
        <v>8.8842592592592598E-2</v>
      </c>
      <c r="M55" s="30">
        <v>8.3877314814814821E-2</v>
      </c>
      <c r="N55" s="30">
        <v>0.1146412037037037</v>
      </c>
      <c r="O55" s="30">
        <v>0.10070601851851851</v>
      </c>
      <c r="P55" s="28" t="s">
        <v>3523</v>
      </c>
      <c r="Q55" s="30">
        <v>0.10070601851851851</v>
      </c>
      <c r="R55" s="8">
        <f t="shared" si="0"/>
        <v>811</v>
      </c>
    </row>
    <row r="56" spans="1:18" ht="29.1">
      <c r="A56" s="28">
        <v>55</v>
      </c>
      <c r="B56" s="28">
        <v>78</v>
      </c>
      <c r="C56" s="32" t="s">
        <v>135</v>
      </c>
      <c r="D56" s="28" t="s">
        <v>3524</v>
      </c>
      <c r="E56" s="28" t="s">
        <v>199</v>
      </c>
      <c r="F56" s="28" t="s">
        <v>340</v>
      </c>
      <c r="G56" s="28" t="s">
        <v>448</v>
      </c>
      <c r="H56" s="28">
        <v>1</v>
      </c>
      <c r="I56" s="28" t="s">
        <v>3487</v>
      </c>
      <c r="J56" s="30">
        <v>0.10261574074074074</v>
      </c>
      <c r="K56" s="30">
        <v>8.4247685185185189E-2</v>
      </c>
      <c r="L56" s="30">
        <v>8.637731481481481E-2</v>
      </c>
      <c r="M56" s="30">
        <v>8.368055555555555E-2</v>
      </c>
      <c r="N56" s="30">
        <v>0.1189236111111111</v>
      </c>
      <c r="O56" s="30">
        <v>0.10071759259259259</v>
      </c>
      <c r="P56" s="28" t="s">
        <v>3525</v>
      </c>
      <c r="Q56" s="30">
        <v>0.10071759259259259</v>
      </c>
      <c r="R56" s="8">
        <f t="shared" si="0"/>
        <v>811</v>
      </c>
    </row>
    <row r="57" spans="1:18" ht="29.1">
      <c r="A57" s="28">
        <v>56</v>
      </c>
      <c r="B57" s="28">
        <v>116</v>
      </c>
      <c r="C57" s="32" t="s">
        <v>135</v>
      </c>
      <c r="D57" s="28" t="s">
        <v>3526</v>
      </c>
      <c r="E57" s="28" t="s">
        <v>138</v>
      </c>
      <c r="F57" s="28" t="s">
        <v>76</v>
      </c>
      <c r="G57" s="28" t="s">
        <v>352</v>
      </c>
      <c r="H57" s="28">
        <v>31</v>
      </c>
      <c r="I57" s="28" t="s">
        <v>3478</v>
      </c>
      <c r="J57" s="30">
        <v>0.10614583333333333</v>
      </c>
      <c r="K57" s="30">
        <v>8.5312499999999999E-2</v>
      </c>
      <c r="L57" s="30">
        <v>8.4467592592592594E-2</v>
      </c>
      <c r="M57" s="30">
        <v>8.4085648148148145E-2</v>
      </c>
      <c r="N57" s="30">
        <v>0.11587962962962962</v>
      </c>
      <c r="O57" s="30">
        <v>0.10090277777777777</v>
      </c>
      <c r="P57" s="28" t="s">
        <v>3527</v>
      </c>
      <c r="Q57" s="30">
        <v>0.10090277777777777</v>
      </c>
      <c r="R57" s="8">
        <f t="shared" si="0"/>
        <v>810</v>
      </c>
    </row>
    <row r="58" spans="1:18" ht="29.1">
      <c r="A58" s="28">
        <v>57</v>
      </c>
      <c r="B58" s="28">
        <v>174</v>
      </c>
      <c r="C58" s="32" t="s">
        <v>135</v>
      </c>
      <c r="D58" s="28" t="s">
        <v>3528</v>
      </c>
      <c r="E58" s="28" t="s">
        <v>3511</v>
      </c>
      <c r="F58" s="28" t="s">
        <v>340</v>
      </c>
      <c r="G58" s="28" t="s">
        <v>352</v>
      </c>
      <c r="H58" s="28">
        <v>32</v>
      </c>
      <c r="I58" s="28" t="s">
        <v>3478</v>
      </c>
      <c r="J58" s="30">
        <v>0.10228009259259259</v>
      </c>
      <c r="K58" s="30">
        <v>8.4340277777777778E-2</v>
      </c>
      <c r="L58" s="30">
        <v>8.7627314814814811E-2</v>
      </c>
      <c r="M58" s="30">
        <v>8.3946759259259263E-2</v>
      </c>
      <c r="N58" s="30">
        <v>0.11785879629629629</v>
      </c>
      <c r="O58" s="30">
        <v>0.10105324074074074</v>
      </c>
      <c r="P58" s="28" t="s">
        <v>3529</v>
      </c>
      <c r="Q58" s="30">
        <v>0.10105324074074074</v>
      </c>
      <c r="R58" s="8">
        <f t="shared" si="0"/>
        <v>809</v>
      </c>
    </row>
    <row r="59" spans="1:18" ht="29.1">
      <c r="A59" s="28">
        <v>58</v>
      </c>
      <c r="B59" s="28">
        <v>66</v>
      </c>
      <c r="C59" s="32" t="s">
        <v>135</v>
      </c>
      <c r="D59" s="28" t="s">
        <v>436</v>
      </c>
      <c r="E59" s="28" t="s">
        <v>173</v>
      </c>
      <c r="F59" s="28" t="s">
        <v>340</v>
      </c>
      <c r="G59" s="28" t="s">
        <v>341</v>
      </c>
      <c r="H59" s="28">
        <v>11</v>
      </c>
      <c r="I59" s="28" t="s">
        <v>3487</v>
      </c>
      <c r="J59" s="30">
        <v>0.10504629629629629</v>
      </c>
      <c r="K59" s="30">
        <v>8.44212962962963E-2</v>
      </c>
      <c r="L59" s="30">
        <v>8.774305555555556E-2</v>
      </c>
      <c r="M59" s="30">
        <v>8.3645833333333336E-2</v>
      </c>
      <c r="N59" s="30">
        <v>0.11575231481481481</v>
      </c>
      <c r="O59" s="30">
        <v>0.10162037037037037</v>
      </c>
      <c r="P59" s="28" t="s">
        <v>3530</v>
      </c>
      <c r="Q59" s="30">
        <v>0.10162037037037037</v>
      </c>
      <c r="R59" s="8">
        <f t="shared" si="0"/>
        <v>804</v>
      </c>
    </row>
    <row r="60" spans="1:18" ht="29.1">
      <c r="A60" s="28">
        <v>59</v>
      </c>
      <c r="B60" s="28">
        <v>130</v>
      </c>
      <c r="C60" s="32" t="s">
        <v>135</v>
      </c>
      <c r="D60" s="28" t="s">
        <v>413</v>
      </c>
      <c r="E60" s="28" t="s">
        <v>3531</v>
      </c>
      <c r="F60" s="28" t="s">
        <v>340</v>
      </c>
      <c r="G60" s="28" t="s">
        <v>352</v>
      </c>
      <c r="H60" s="28">
        <v>33</v>
      </c>
      <c r="I60" s="28" t="s">
        <v>3478</v>
      </c>
      <c r="J60" s="30">
        <v>0.10438657407407408</v>
      </c>
      <c r="K60" s="30">
        <v>8.4652777777777771E-2</v>
      </c>
      <c r="L60" s="30">
        <v>8.6412037037037037E-2</v>
      </c>
      <c r="M60" s="30">
        <v>8.3738425925925924E-2</v>
      </c>
      <c r="N60" s="30">
        <v>0.11755787037037037</v>
      </c>
      <c r="O60" s="30">
        <v>0.10174768518518519</v>
      </c>
      <c r="P60" s="28" t="s">
        <v>3532</v>
      </c>
      <c r="Q60" s="30">
        <v>0.10174768518518519</v>
      </c>
      <c r="R60" s="8">
        <f t="shared" si="0"/>
        <v>803</v>
      </c>
    </row>
    <row r="61" spans="1:18" ht="29.1">
      <c r="A61" s="28">
        <v>60</v>
      </c>
      <c r="B61" s="28">
        <v>105</v>
      </c>
      <c r="C61" s="32" t="s">
        <v>135</v>
      </c>
      <c r="D61" s="28" t="s">
        <v>236</v>
      </c>
      <c r="E61" s="28"/>
      <c r="F61" s="28" t="s">
        <v>340</v>
      </c>
      <c r="G61" s="28" t="s">
        <v>420</v>
      </c>
      <c r="H61" s="28">
        <v>3</v>
      </c>
      <c r="I61" s="28" t="s">
        <v>3487</v>
      </c>
      <c r="J61" s="30">
        <v>0.10465277777777778</v>
      </c>
      <c r="K61" s="30">
        <v>8.5185185185185183E-2</v>
      </c>
      <c r="L61" s="30">
        <v>8.6574074074074067E-2</v>
      </c>
      <c r="M61" s="30">
        <v>8.4432870370370366E-2</v>
      </c>
      <c r="N61" s="30">
        <v>0.11597222222222223</v>
      </c>
      <c r="O61" s="30">
        <v>0.10181712962962963</v>
      </c>
      <c r="P61" s="28" t="s">
        <v>3533</v>
      </c>
      <c r="Q61" s="30">
        <v>0.10181712962962963</v>
      </c>
      <c r="R61" s="8">
        <f t="shared" si="0"/>
        <v>803</v>
      </c>
    </row>
    <row r="62" spans="1:18" ht="29.1">
      <c r="A62" s="28">
        <v>61</v>
      </c>
      <c r="B62" s="28">
        <v>26</v>
      </c>
      <c r="C62" s="32" t="s">
        <v>135</v>
      </c>
      <c r="D62" s="28" t="s">
        <v>399</v>
      </c>
      <c r="E62" s="28" t="s">
        <v>310</v>
      </c>
      <c r="F62" s="28" t="s">
        <v>340</v>
      </c>
      <c r="G62" s="28" t="s">
        <v>352</v>
      </c>
      <c r="H62" s="28">
        <v>34</v>
      </c>
      <c r="I62" s="28" t="s">
        <v>3478</v>
      </c>
      <c r="J62" s="30">
        <v>0.10568287037037037</v>
      </c>
      <c r="K62" s="30">
        <v>8.5428240740740735E-2</v>
      </c>
      <c r="L62" s="30">
        <v>8.6469907407407412E-2</v>
      </c>
      <c r="M62" s="30">
        <v>8.413194444444444E-2</v>
      </c>
      <c r="N62" s="30">
        <v>0.11530092592592593</v>
      </c>
      <c r="O62" s="30">
        <v>0.10212962962962963</v>
      </c>
      <c r="P62" s="28" t="s">
        <v>3534</v>
      </c>
      <c r="Q62" s="30">
        <v>0.10212962962962963</v>
      </c>
      <c r="R62" s="8">
        <f t="shared" si="0"/>
        <v>800</v>
      </c>
    </row>
    <row r="63" spans="1:18" ht="29.1">
      <c r="A63" s="28">
        <v>62</v>
      </c>
      <c r="B63" s="28">
        <v>53</v>
      </c>
      <c r="C63" s="32" t="s">
        <v>135</v>
      </c>
      <c r="D63" s="28" t="s">
        <v>3535</v>
      </c>
      <c r="E63" s="28"/>
      <c r="F63" s="28" t="s">
        <v>319</v>
      </c>
      <c r="G63" s="28" t="s">
        <v>159</v>
      </c>
      <c r="H63" s="28"/>
      <c r="I63" s="28" t="s">
        <v>3448</v>
      </c>
      <c r="J63" s="30">
        <v>0.10623842592592593</v>
      </c>
      <c r="K63" s="30">
        <v>8.4907407407407404E-2</v>
      </c>
      <c r="L63" s="30">
        <v>8.6967592592592596E-2</v>
      </c>
      <c r="M63" s="30">
        <v>8.4027777777777785E-2</v>
      </c>
      <c r="N63" s="30">
        <v>0.11502314814814815</v>
      </c>
      <c r="O63" s="30">
        <v>0.10216435185185185</v>
      </c>
      <c r="P63" s="28" t="s">
        <v>3536</v>
      </c>
      <c r="Q63" s="30">
        <v>0.10216435185185185</v>
      </c>
      <c r="R63" s="8">
        <f t="shared" si="0"/>
        <v>800</v>
      </c>
    </row>
    <row r="64" spans="1:18" ht="29.1">
      <c r="A64" s="28">
        <v>63</v>
      </c>
      <c r="B64" s="28">
        <v>175</v>
      </c>
      <c r="C64" s="32" t="s">
        <v>135</v>
      </c>
      <c r="D64" s="28" t="s">
        <v>221</v>
      </c>
      <c r="E64" s="28" t="s">
        <v>199</v>
      </c>
      <c r="F64" s="28" t="s">
        <v>340</v>
      </c>
      <c r="G64" s="28" t="s">
        <v>352</v>
      </c>
      <c r="H64" s="28">
        <v>35</v>
      </c>
      <c r="I64" s="28" t="s">
        <v>3478</v>
      </c>
      <c r="J64" s="30">
        <v>0.1050925925925926</v>
      </c>
      <c r="K64" s="30">
        <v>8.4467592592592594E-2</v>
      </c>
      <c r="L64" s="30">
        <v>8.4803240740740735E-2</v>
      </c>
      <c r="M64" s="30">
        <v>8.3784722222222219E-2</v>
      </c>
      <c r="N64" s="30">
        <v>0.11918981481481482</v>
      </c>
      <c r="O64" s="30">
        <v>0.10234953703703703</v>
      </c>
      <c r="P64" s="28" t="s">
        <v>3537</v>
      </c>
      <c r="Q64" s="30">
        <v>0.10234953703703703</v>
      </c>
      <c r="R64" s="8">
        <f t="shared" si="0"/>
        <v>798</v>
      </c>
    </row>
    <row r="65" spans="1:18" ht="29.1">
      <c r="A65" s="28">
        <v>64</v>
      </c>
      <c r="B65" s="28">
        <v>147</v>
      </c>
      <c r="C65" s="32" t="s">
        <v>135</v>
      </c>
      <c r="D65" s="28" t="s">
        <v>1574</v>
      </c>
      <c r="E65" s="28" t="s">
        <v>1378</v>
      </c>
      <c r="F65" s="28" t="s">
        <v>340</v>
      </c>
      <c r="G65" s="28" t="s">
        <v>352</v>
      </c>
      <c r="H65" s="28">
        <v>36</v>
      </c>
      <c r="I65" s="28" t="s">
        <v>3478</v>
      </c>
      <c r="J65" s="30">
        <v>0.10755787037037037</v>
      </c>
      <c r="K65" s="30">
        <v>8.4722222222222227E-2</v>
      </c>
      <c r="L65" s="30">
        <v>8.774305555555556E-2</v>
      </c>
      <c r="M65" s="30">
        <v>8.4328703703703697E-2</v>
      </c>
      <c r="N65" s="30">
        <v>0.11368055555555556</v>
      </c>
      <c r="O65" s="30">
        <v>0.10302083333333334</v>
      </c>
      <c r="P65" s="28" t="s">
        <v>3538</v>
      </c>
      <c r="Q65" s="30">
        <v>0.10302083333333334</v>
      </c>
      <c r="R65" s="8">
        <f t="shared" si="0"/>
        <v>793</v>
      </c>
    </row>
    <row r="66" spans="1:18" ht="29.1">
      <c r="A66" s="28">
        <v>65</v>
      </c>
      <c r="B66" s="28">
        <v>22</v>
      </c>
      <c r="C66" s="32" t="s">
        <v>135</v>
      </c>
      <c r="D66" s="28" t="s">
        <v>3539</v>
      </c>
      <c r="E66" s="28" t="s">
        <v>3455</v>
      </c>
      <c r="F66" s="28" t="s">
        <v>57</v>
      </c>
      <c r="G66" s="28" t="s">
        <v>352</v>
      </c>
      <c r="H66" s="28">
        <v>37</v>
      </c>
      <c r="I66" s="28" t="s">
        <v>3478</v>
      </c>
      <c r="J66" s="30">
        <v>0.10516203703703704</v>
      </c>
      <c r="K66" s="30">
        <v>8.44212962962963E-2</v>
      </c>
      <c r="L66" s="30">
        <v>8.5868055555555559E-2</v>
      </c>
      <c r="M66" s="30">
        <v>8.3993055555555557E-2</v>
      </c>
      <c r="N66" s="30">
        <v>0.11869212962962963</v>
      </c>
      <c r="O66" s="30">
        <v>0.10313657407407407</v>
      </c>
      <c r="P66" s="28" t="s">
        <v>3540</v>
      </c>
      <c r="Q66" s="30">
        <v>0.10313657407407407</v>
      </c>
      <c r="R66" s="8">
        <f t="shared" si="0"/>
        <v>792</v>
      </c>
    </row>
    <row r="67" spans="1:18" ht="29.1">
      <c r="A67" s="28">
        <v>66</v>
      </c>
      <c r="B67" s="28">
        <v>33</v>
      </c>
      <c r="C67" s="32" t="s">
        <v>135</v>
      </c>
      <c r="D67" s="28" t="s">
        <v>2583</v>
      </c>
      <c r="E67" s="28" t="s">
        <v>153</v>
      </c>
      <c r="F67" s="28" t="s">
        <v>319</v>
      </c>
      <c r="G67" s="28" t="s">
        <v>159</v>
      </c>
      <c r="H67" s="28">
        <v>1</v>
      </c>
      <c r="I67" s="28" t="s">
        <v>3448</v>
      </c>
      <c r="J67" s="30">
        <v>0.10751157407407408</v>
      </c>
      <c r="K67" s="30">
        <v>8.4722222222222227E-2</v>
      </c>
      <c r="L67" s="30">
        <v>8.5833333333333331E-2</v>
      </c>
      <c r="M67" s="30">
        <v>8.3842592592592594E-2</v>
      </c>
      <c r="N67" s="30">
        <v>0.11623842592592593</v>
      </c>
      <c r="O67" s="30">
        <v>0.10315972222222222</v>
      </c>
      <c r="P67" s="28" t="s">
        <v>1605</v>
      </c>
      <c r="Q67" s="30">
        <v>0.10315972222222222</v>
      </c>
      <c r="R67" s="8">
        <f t="shared" ref="R67:R130" si="1">IFERROR(ROUND($Q$2/Q67*1000,0),0)</f>
        <v>792</v>
      </c>
    </row>
    <row r="68" spans="1:18" ht="29.1">
      <c r="A68" s="28">
        <v>67</v>
      </c>
      <c r="B68" s="28">
        <v>61</v>
      </c>
      <c r="C68" s="32" t="s">
        <v>135</v>
      </c>
      <c r="D68" s="28" t="s">
        <v>2421</v>
      </c>
      <c r="E68" s="28" t="s">
        <v>153</v>
      </c>
      <c r="F68" s="28" t="s">
        <v>340</v>
      </c>
      <c r="G68" s="28" t="s">
        <v>420</v>
      </c>
      <c r="H68" s="28">
        <v>4</v>
      </c>
      <c r="I68" s="28" t="s">
        <v>3487</v>
      </c>
      <c r="J68" s="30">
        <v>0.10368055555555555</v>
      </c>
      <c r="K68" s="30">
        <v>8.5162037037037036E-2</v>
      </c>
      <c r="L68" s="30">
        <v>8.8773148148148143E-2</v>
      </c>
      <c r="M68" s="30">
        <v>8.4062499999999998E-2</v>
      </c>
      <c r="N68" s="30">
        <v>0.11670138888888888</v>
      </c>
      <c r="O68" s="30">
        <v>0.10339120370370371</v>
      </c>
      <c r="P68" s="28" t="s">
        <v>3541</v>
      </c>
      <c r="Q68" s="30">
        <v>0.10339120370370371</v>
      </c>
      <c r="R68" s="8">
        <f t="shared" si="1"/>
        <v>790</v>
      </c>
    </row>
    <row r="69" spans="1:18" ht="29.1">
      <c r="A69" s="28">
        <v>68</v>
      </c>
      <c r="B69" s="28">
        <v>62</v>
      </c>
      <c r="C69" s="32" t="s">
        <v>135</v>
      </c>
      <c r="D69" s="28" t="s">
        <v>1123</v>
      </c>
      <c r="E69" s="28" t="s">
        <v>1125</v>
      </c>
      <c r="F69" s="28" t="s">
        <v>340</v>
      </c>
      <c r="G69" s="28" t="s">
        <v>641</v>
      </c>
      <c r="H69" s="28">
        <v>2</v>
      </c>
      <c r="I69" s="28" t="s">
        <v>3487</v>
      </c>
      <c r="J69" s="30">
        <v>0.10311342592592593</v>
      </c>
      <c r="K69" s="30">
        <v>8.4270833333333336E-2</v>
      </c>
      <c r="L69" s="30">
        <v>9.0543981481481475E-2</v>
      </c>
      <c r="M69" s="30">
        <v>8.3981481481481476E-2</v>
      </c>
      <c r="N69" s="30">
        <v>0.11649305555555556</v>
      </c>
      <c r="O69" s="30">
        <v>0.10340277777777777</v>
      </c>
      <c r="P69" s="28" t="s">
        <v>3542</v>
      </c>
      <c r="Q69" s="30">
        <v>0.10340277777777777</v>
      </c>
      <c r="R69" s="8">
        <f t="shared" si="1"/>
        <v>790</v>
      </c>
    </row>
    <row r="70" spans="1:18" ht="29.1">
      <c r="A70" s="28">
        <v>69</v>
      </c>
      <c r="B70" s="28">
        <v>88</v>
      </c>
      <c r="C70" s="32" t="s">
        <v>135</v>
      </c>
      <c r="D70" s="28" t="s">
        <v>483</v>
      </c>
      <c r="E70" s="28"/>
      <c r="F70" s="28" t="s">
        <v>340</v>
      </c>
      <c r="G70" s="28" t="s">
        <v>341</v>
      </c>
      <c r="H70" s="28">
        <v>2</v>
      </c>
      <c r="I70" s="28" t="s">
        <v>3487</v>
      </c>
      <c r="J70" s="30">
        <v>0.10513888888888889</v>
      </c>
      <c r="K70" s="30">
        <v>8.5115740740740742E-2</v>
      </c>
      <c r="L70" s="30">
        <v>8.8229166666666664E-2</v>
      </c>
      <c r="M70" s="30">
        <v>8.4016203703703704E-2</v>
      </c>
      <c r="N70" s="30">
        <v>0.11614583333333334</v>
      </c>
      <c r="O70" s="30">
        <v>0.10365740740740741</v>
      </c>
      <c r="P70" s="28" t="s">
        <v>3543</v>
      </c>
      <c r="Q70" s="30">
        <v>0.10365740740740741</v>
      </c>
      <c r="R70" s="8">
        <f t="shared" si="1"/>
        <v>788</v>
      </c>
    </row>
    <row r="71" spans="1:18" ht="29.1">
      <c r="A71" s="28">
        <v>70</v>
      </c>
      <c r="B71" s="28">
        <v>156</v>
      </c>
      <c r="C71" s="32" t="s">
        <v>135</v>
      </c>
      <c r="D71" s="28" t="s">
        <v>684</v>
      </c>
      <c r="E71" s="28" t="s">
        <v>199</v>
      </c>
      <c r="F71" s="28" t="s">
        <v>340</v>
      </c>
      <c r="G71" s="28" t="s">
        <v>352</v>
      </c>
      <c r="H71" s="28">
        <v>38</v>
      </c>
      <c r="I71" s="28" t="s">
        <v>3478</v>
      </c>
      <c r="J71" s="30">
        <v>0.10451388888888889</v>
      </c>
      <c r="K71" s="30">
        <v>8.5231481481481478E-2</v>
      </c>
      <c r="L71" s="30">
        <v>8.7488425925925928E-2</v>
      </c>
      <c r="M71" s="30">
        <v>8.4120370370370373E-2</v>
      </c>
      <c r="N71" s="30">
        <v>0.1174074074074074</v>
      </c>
      <c r="O71" s="30">
        <v>0.10376157407407408</v>
      </c>
      <c r="P71" s="28" t="s">
        <v>3544</v>
      </c>
      <c r="Q71" s="30">
        <v>0.10376157407407408</v>
      </c>
      <c r="R71" s="8">
        <f t="shared" si="1"/>
        <v>788</v>
      </c>
    </row>
    <row r="72" spans="1:18" ht="29.1">
      <c r="A72" s="28">
        <v>71</v>
      </c>
      <c r="B72" s="28">
        <v>76</v>
      </c>
      <c r="C72" s="32" t="s">
        <v>135</v>
      </c>
      <c r="D72" s="28" t="s">
        <v>201</v>
      </c>
      <c r="E72" s="28" t="s">
        <v>203</v>
      </c>
      <c r="F72" s="28" t="s">
        <v>340</v>
      </c>
      <c r="G72" s="28" t="s">
        <v>341</v>
      </c>
      <c r="H72" s="28">
        <v>13</v>
      </c>
      <c r="I72" s="28" t="s">
        <v>3487</v>
      </c>
      <c r="J72" s="30">
        <v>0.10597222222222222</v>
      </c>
      <c r="K72" s="30">
        <v>8.5104166666666661E-2</v>
      </c>
      <c r="L72" s="30">
        <v>8.9837962962962967E-2</v>
      </c>
      <c r="M72" s="30">
        <v>8.4097222222222226E-2</v>
      </c>
      <c r="N72" s="30">
        <v>0.1137962962962963</v>
      </c>
      <c r="O72" s="30">
        <v>0.10380787037037037</v>
      </c>
      <c r="P72" s="28" t="s">
        <v>3545</v>
      </c>
      <c r="Q72" s="30">
        <v>0.10380787037037037</v>
      </c>
      <c r="R72" s="8">
        <f t="shared" si="1"/>
        <v>787</v>
      </c>
    </row>
    <row r="73" spans="1:18" ht="29.1">
      <c r="A73" s="28">
        <v>72</v>
      </c>
      <c r="B73" s="28">
        <v>59</v>
      </c>
      <c r="C73" s="32" t="s">
        <v>135</v>
      </c>
      <c r="D73" s="28" t="s">
        <v>496</v>
      </c>
      <c r="E73" s="28" t="s">
        <v>259</v>
      </c>
      <c r="F73" s="28" t="s">
        <v>340</v>
      </c>
      <c r="G73" s="28" t="s">
        <v>448</v>
      </c>
      <c r="H73" s="28">
        <v>2</v>
      </c>
      <c r="I73" s="28" t="s">
        <v>3487</v>
      </c>
      <c r="J73" s="30">
        <v>0.10488425925925926</v>
      </c>
      <c r="K73" s="30">
        <v>8.4976851851851845E-2</v>
      </c>
      <c r="L73" s="30">
        <v>8.971064814814815E-2</v>
      </c>
      <c r="M73" s="30">
        <v>8.3888888888888888E-2</v>
      </c>
      <c r="N73" s="30">
        <v>0.11556712962962963</v>
      </c>
      <c r="O73" s="30">
        <v>0.10402777777777777</v>
      </c>
      <c r="P73" s="28" t="s">
        <v>3546</v>
      </c>
      <c r="Q73" s="30">
        <v>0.10402777777777777</v>
      </c>
      <c r="R73" s="8">
        <f t="shared" si="1"/>
        <v>785</v>
      </c>
    </row>
    <row r="74" spans="1:18" ht="29.1">
      <c r="A74" s="28">
        <v>73</v>
      </c>
      <c r="B74" s="28">
        <v>69</v>
      </c>
      <c r="C74" s="32" t="s">
        <v>135</v>
      </c>
      <c r="D74" s="28" t="s">
        <v>2431</v>
      </c>
      <c r="E74" s="28" t="s">
        <v>2433</v>
      </c>
      <c r="F74" s="28" t="s">
        <v>340</v>
      </c>
      <c r="G74" s="28" t="s">
        <v>341</v>
      </c>
      <c r="H74" s="28">
        <v>14</v>
      </c>
      <c r="I74" s="28" t="s">
        <v>3487</v>
      </c>
      <c r="J74" s="30">
        <v>0.10526620370370371</v>
      </c>
      <c r="K74" s="30">
        <v>8.4965277777777778E-2</v>
      </c>
      <c r="L74" s="30">
        <v>8.7037037037037038E-2</v>
      </c>
      <c r="M74" s="30">
        <v>8.4722222222222227E-2</v>
      </c>
      <c r="N74" s="30">
        <v>0.11709490740740741</v>
      </c>
      <c r="O74" s="30">
        <v>0.10409722222222222</v>
      </c>
      <c r="P74" s="28" t="s">
        <v>3547</v>
      </c>
      <c r="Q74" s="30">
        <v>0.10409722222222222</v>
      </c>
      <c r="R74" s="8">
        <f t="shared" si="1"/>
        <v>785</v>
      </c>
    </row>
    <row r="75" spans="1:18" ht="29.1">
      <c r="A75" s="28">
        <v>74</v>
      </c>
      <c r="B75" s="28">
        <v>111</v>
      </c>
      <c r="C75" s="32" t="s">
        <v>135</v>
      </c>
      <c r="D75" s="28" t="s">
        <v>759</v>
      </c>
      <c r="E75" s="28" t="s">
        <v>367</v>
      </c>
      <c r="F75" s="28" t="s">
        <v>340</v>
      </c>
      <c r="G75" s="28" t="s">
        <v>341</v>
      </c>
      <c r="H75" s="28">
        <v>15</v>
      </c>
      <c r="I75" s="28" t="s">
        <v>3487</v>
      </c>
      <c r="J75" s="30">
        <v>0.10625</v>
      </c>
      <c r="K75" s="30">
        <v>8.4907407407407404E-2</v>
      </c>
      <c r="L75" s="30">
        <v>8.6041666666666669E-2</v>
      </c>
      <c r="M75" s="30">
        <v>8.4398148148148153E-2</v>
      </c>
      <c r="N75" s="30">
        <v>0.11758101851851852</v>
      </c>
      <c r="O75" s="30">
        <v>0.10416666666666667</v>
      </c>
      <c r="P75" s="28" t="s">
        <v>2692</v>
      </c>
      <c r="Q75" s="30">
        <v>0.10416666666666667</v>
      </c>
      <c r="R75" s="8">
        <f t="shared" si="1"/>
        <v>784</v>
      </c>
    </row>
    <row r="76" spans="1:18" ht="29.1">
      <c r="A76" s="28">
        <v>75</v>
      </c>
      <c r="B76" s="28">
        <v>55</v>
      </c>
      <c r="C76" s="32" t="s">
        <v>135</v>
      </c>
      <c r="D76" s="28" t="s">
        <v>261</v>
      </c>
      <c r="E76" s="28" t="s">
        <v>199</v>
      </c>
      <c r="F76" s="28" t="s">
        <v>340</v>
      </c>
      <c r="G76" s="28" t="s">
        <v>357</v>
      </c>
      <c r="H76" s="28">
        <v>7</v>
      </c>
      <c r="I76" s="28" t="s">
        <v>3487</v>
      </c>
      <c r="J76" s="30">
        <v>0.10331018518518519</v>
      </c>
      <c r="K76" s="30">
        <v>8.5277777777777772E-2</v>
      </c>
      <c r="L76" s="30">
        <v>8.8703703703703701E-2</v>
      </c>
      <c r="M76" s="30">
        <v>8.4236111111111109E-2</v>
      </c>
      <c r="N76" s="30">
        <v>0.11767361111111112</v>
      </c>
      <c r="O76" s="30">
        <v>0.10420138888888889</v>
      </c>
      <c r="P76" s="28" t="s">
        <v>3548</v>
      </c>
      <c r="Q76" s="30">
        <v>0.10420138888888889</v>
      </c>
      <c r="R76" s="8">
        <f t="shared" si="1"/>
        <v>784</v>
      </c>
    </row>
    <row r="77" spans="1:18" ht="29.1">
      <c r="A77" s="28">
        <v>76</v>
      </c>
      <c r="B77" s="28">
        <v>148</v>
      </c>
      <c r="C77" s="28"/>
      <c r="D77" s="28" t="s">
        <v>406</v>
      </c>
      <c r="E77" s="28"/>
      <c r="F77" s="28" t="s">
        <v>340</v>
      </c>
      <c r="G77" s="28" t="s">
        <v>352</v>
      </c>
      <c r="H77" s="28">
        <v>39</v>
      </c>
      <c r="I77" s="28" t="s">
        <v>3478</v>
      </c>
      <c r="J77" s="30">
        <v>0.10670138888888889</v>
      </c>
      <c r="K77" s="30">
        <v>8.5370370370370374E-2</v>
      </c>
      <c r="L77" s="30">
        <v>8.4456018518518514E-2</v>
      </c>
      <c r="M77" s="30">
        <v>9.1099537037037034E-2</v>
      </c>
      <c r="N77" s="30">
        <v>0.11177083333333333</v>
      </c>
      <c r="O77" s="30">
        <v>0.10438657407407408</v>
      </c>
      <c r="P77" s="28" t="s">
        <v>3549</v>
      </c>
      <c r="Q77" s="30">
        <v>0.10438657407407408</v>
      </c>
      <c r="R77" s="8">
        <f t="shared" si="1"/>
        <v>783</v>
      </c>
    </row>
    <row r="78" spans="1:18" ht="29.1">
      <c r="A78" s="28">
        <v>77</v>
      </c>
      <c r="B78" s="28">
        <v>165</v>
      </c>
      <c r="C78" s="32" t="s">
        <v>135</v>
      </c>
      <c r="D78" s="28" t="s">
        <v>233</v>
      </c>
      <c r="E78" s="28" t="s">
        <v>199</v>
      </c>
      <c r="F78" s="28" t="s">
        <v>340</v>
      </c>
      <c r="G78" s="28" t="s">
        <v>352</v>
      </c>
      <c r="H78" s="28">
        <v>40</v>
      </c>
      <c r="I78" s="28" t="s">
        <v>3478</v>
      </c>
      <c r="J78" s="30">
        <v>0.10450231481481481</v>
      </c>
      <c r="K78" s="30">
        <v>8.5069444444444448E-2</v>
      </c>
      <c r="L78" s="30">
        <v>8.7523148148148142E-2</v>
      </c>
      <c r="M78" s="30">
        <v>8.3865740740740741E-2</v>
      </c>
      <c r="N78" s="30">
        <v>0.11840277777777777</v>
      </c>
      <c r="O78" s="30">
        <v>0.10447916666666666</v>
      </c>
      <c r="P78" s="28" t="s">
        <v>3550</v>
      </c>
      <c r="Q78" s="30">
        <v>0.10447916666666666</v>
      </c>
      <c r="R78" s="8">
        <f t="shared" si="1"/>
        <v>782</v>
      </c>
    </row>
    <row r="79" spans="1:18" ht="29.1">
      <c r="A79" s="28">
        <v>78</v>
      </c>
      <c r="B79" s="28">
        <v>132</v>
      </c>
      <c r="C79" s="32" t="s">
        <v>135</v>
      </c>
      <c r="D79" s="28" t="s">
        <v>752</v>
      </c>
      <c r="E79" s="28"/>
      <c r="F79" s="28" t="s">
        <v>340</v>
      </c>
      <c r="G79" s="28" t="s">
        <v>352</v>
      </c>
      <c r="H79" s="28">
        <v>41</v>
      </c>
      <c r="I79" s="28" t="s">
        <v>3478</v>
      </c>
      <c r="J79" s="30">
        <v>0.1041087962962963</v>
      </c>
      <c r="K79" s="30">
        <v>8.5277777777777772E-2</v>
      </c>
      <c r="L79" s="30">
        <v>8.6099537037037044E-2</v>
      </c>
      <c r="M79" s="30">
        <v>8.4108796296296293E-2</v>
      </c>
      <c r="N79" s="30">
        <v>0.11988425925925926</v>
      </c>
      <c r="O79" s="30">
        <v>0.10449074074074075</v>
      </c>
      <c r="P79" s="28" t="s">
        <v>3551</v>
      </c>
      <c r="Q79" s="30">
        <v>0.10449074074074075</v>
      </c>
      <c r="R79" s="8">
        <f t="shared" si="1"/>
        <v>782</v>
      </c>
    </row>
    <row r="80" spans="1:18" ht="29.1">
      <c r="A80" s="28">
        <v>79</v>
      </c>
      <c r="B80" s="28">
        <v>29</v>
      </c>
      <c r="C80" s="32" t="s">
        <v>135</v>
      </c>
      <c r="D80" s="28" t="s">
        <v>3552</v>
      </c>
      <c r="E80" s="28" t="s">
        <v>138</v>
      </c>
      <c r="F80" s="28" t="s">
        <v>80</v>
      </c>
      <c r="G80" s="28" t="s">
        <v>352</v>
      </c>
      <c r="H80" s="28">
        <v>42</v>
      </c>
      <c r="I80" s="28" t="s">
        <v>3478</v>
      </c>
      <c r="J80" s="30">
        <v>0.10760416666666667</v>
      </c>
      <c r="K80" s="30">
        <v>8.5520833333333338E-2</v>
      </c>
      <c r="L80" s="30">
        <v>8.5717592592592595E-2</v>
      </c>
      <c r="M80" s="30">
        <v>8.4178240740740734E-2</v>
      </c>
      <c r="N80" s="30">
        <v>0.11651620370370371</v>
      </c>
      <c r="O80" s="30">
        <v>0.10452546296296296</v>
      </c>
      <c r="P80" s="28" t="s">
        <v>463</v>
      </c>
      <c r="Q80" s="30">
        <v>0.10452546296296296</v>
      </c>
      <c r="R80" s="8">
        <f t="shared" si="1"/>
        <v>782</v>
      </c>
    </row>
    <row r="81" spans="1:18" ht="29.1">
      <c r="A81" s="28">
        <v>80</v>
      </c>
      <c r="B81" s="28">
        <v>23</v>
      </c>
      <c r="C81" s="32" t="s">
        <v>135</v>
      </c>
      <c r="D81" s="28" t="s">
        <v>3553</v>
      </c>
      <c r="E81" s="28"/>
      <c r="F81" s="28" t="s">
        <v>340</v>
      </c>
      <c r="G81" s="28" t="s">
        <v>352</v>
      </c>
      <c r="H81" s="28">
        <v>43</v>
      </c>
      <c r="I81" s="28" t="s">
        <v>3478</v>
      </c>
      <c r="J81" s="30">
        <v>0.10736111111111112</v>
      </c>
      <c r="K81" s="30">
        <v>8.520833333333333E-2</v>
      </c>
      <c r="L81" s="30">
        <v>8.8425925925925922E-2</v>
      </c>
      <c r="M81" s="30">
        <v>8.4074074074074079E-2</v>
      </c>
      <c r="N81" s="30">
        <v>0.11479166666666667</v>
      </c>
      <c r="O81" s="30">
        <v>0.10486111111111111</v>
      </c>
      <c r="P81" s="28" t="s">
        <v>3554</v>
      </c>
      <c r="Q81" s="30">
        <v>0.10486111111111111</v>
      </c>
      <c r="R81" s="8">
        <f t="shared" si="1"/>
        <v>779</v>
      </c>
    </row>
    <row r="82" spans="1:18" ht="29.1">
      <c r="A82" s="28">
        <v>81</v>
      </c>
      <c r="B82" s="28">
        <v>139</v>
      </c>
      <c r="C82" s="32" t="s">
        <v>135</v>
      </c>
      <c r="D82" s="28" t="s">
        <v>1617</v>
      </c>
      <c r="E82" s="28" t="s">
        <v>1378</v>
      </c>
      <c r="F82" s="28" t="s">
        <v>340</v>
      </c>
      <c r="G82" s="28" t="s">
        <v>352</v>
      </c>
      <c r="H82" s="28">
        <v>44</v>
      </c>
      <c r="I82" s="28" t="s">
        <v>3478</v>
      </c>
      <c r="J82" s="30">
        <v>0.10486111111111111</v>
      </c>
      <c r="K82" s="30">
        <v>8.5127314814814808E-2</v>
      </c>
      <c r="L82" s="30">
        <v>9.0208333333333335E-2</v>
      </c>
      <c r="M82" s="30">
        <v>8.4155092592592587E-2</v>
      </c>
      <c r="N82" s="30">
        <v>0.1155324074074074</v>
      </c>
      <c r="O82" s="30">
        <v>0.10489583333333333</v>
      </c>
      <c r="P82" s="28" t="s">
        <v>3555</v>
      </c>
      <c r="Q82" s="30">
        <v>0.10489583333333333</v>
      </c>
      <c r="R82" s="8">
        <f t="shared" si="1"/>
        <v>779</v>
      </c>
    </row>
    <row r="83" spans="1:18" ht="29.1">
      <c r="A83" s="28">
        <v>82</v>
      </c>
      <c r="B83" s="28">
        <v>158</v>
      </c>
      <c r="C83" s="32" t="s">
        <v>135</v>
      </c>
      <c r="D83" s="28" t="s">
        <v>3556</v>
      </c>
      <c r="E83" s="28" t="s">
        <v>173</v>
      </c>
      <c r="F83" s="28" t="s">
        <v>340</v>
      </c>
      <c r="G83" s="28" t="s">
        <v>352</v>
      </c>
      <c r="H83" s="28">
        <v>45</v>
      </c>
      <c r="I83" s="28" t="s">
        <v>3487</v>
      </c>
      <c r="J83" s="30">
        <v>0.10355324074074074</v>
      </c>
      <c r="K83" s="30">
        <v>8.4803240740740735E-2</v>
      </c>
      <c r="L83" s="30">
        <v>8.9965277777777783E-2</v>
      </c>
      <c r="M83" s="30">
        <v>8.3773148148148152E-2</v>
      </c>
      <c r="N83" s="30">
        <v>0.11828703703703704</v>
      </c>
      <c r="O83" s="30">
        <v>0.10538194444444444</v>
      </c>
      <c r="P83" s="28" t="s">
        <v>3557</v>
      </c>
      <c r="Q83" s="30">
        <v>0.10538194444444444</v>
      </c>
      <c r="R83" s="8">
        <f t="shared" si="1"/>
        <v>775</v>
      </c>
    </row>
    <row r="84" spans="1:18" ht="29.1">
      <c r="A84" s="28">
        <v>83</v>
      </c>
      <c r="B84" s="28">
        <v>134</v>
      </c>
      <c r="C84" s="32" t="s">
        <v>135</v>
      </c>
      <c r="D84" s="28" t="s">
        <v>244</v>
      </c>
      <c r="E84" s="28" t="s">
        <v>158</v>
      </c>
      <c r="F84" s="28" t="s">
        <v>340</v>
      </c>
      <c r="G84" s="28" t="s">
        <v>352</v>
      </c>
      <c r="H84" s="28">
        <v>46</v>
      </c>
      <c r="I84" s="28" t="s">
        <v>3478</v>
      </c>
      <c r="J84" s="30">
        <v>0.10622685185185185</v>
      </c>
      <c r="K84" s="30">
        <v>8.4652777777777771E-2</v>
      </c>
      <c r="L84" s="30">
        <v>9.0358796296296298E-2</v>
      </c>
      <c r="M84" s="30">
        <v>8.4039351851851851E-2</v>
      </c>
      <c r="N84" s="30">
        <v>0.11554398148148148</v>
      </c>
      <c r="O84" s="30">
        <v>0.10583333333333333</v>
      </c>
      <c r="P84" s="28" t="s">
        <v>3558</v>
      </c>
      <c r="Q84" s="30">
        <v>0.10583333333333333</v>
      </c>
      <c r="R84" s="8">
        <f t="shared" si="1"/>
        <v>772</v>
      </c>
    </row>
    <row r="85" spans="1:18" ht="29.1">
      <c r="A85" s="28">
        <v>84</v>
      </c>
      <c r="B85" s="28">
        <v>173</v>
      </c>
      <c r="C85" s="32" t="s">
        <v>135</v>
      </c>
      <c r="D85" s="28" t="s">
        <v>290</v>
      </c>
      <c r="E85" s="28"/>
      <c r="F85" s="28" t="s">
        <v>340</v>
      </c>
      <c r="G85" s="28" t="s">
        <v>352</v>
      </c>
      <c r="H85" s="28">
        <v>47</v>
      </c>
      <c r="I85" s="28" t="s">
        <v>3478</v>
      </c>
      <c r="J85" s="30">
        <v>0.10574074074074075</v>
      </c>
      <c r="K85" s="30">
        <v>8.4710648148148146E-2</v>
      </c>
      <c r="L85" s="30">
        <v>8.8495370370370377E-2</v>
      </c>
      <c r="M85" s="30">
        <v>8.4456018518518514E-2</v>
      </c>
      <c r="N85" s="30">
        <v>0.11738425925925926</v>
      </c>
      <c r="O85" s="30">
        <v>0.10590277777777778</v>
      </c>
      <c r="P85" s="28" t="s">
        <v>3559</v>
      </c>
      <c r="Q85" s="30">
        <v>0.10590277777777778</v>
      </c>
      <c r="R85" s="8">
        <f t="shared" si="1"/>
        <v>772</v>
      </c>
    </row>
    <row r="86" spans="1:18" ht="29.1">
      <c r="A86" s="28">
        <v>85</v>
      </c>
      <c r="B86" s="28">
        <v>34</v>
      </c>
      <c r="C86" s="32" t="s">
        <v>3560</v>
      </c>
      <c r="D86" s="28" t="s">
        <v>3561</v>
      </c>
      <c r="E86" s="28" t="s">
        <v>3562</v>
      </c>
      <c r="F86" s="28" t="s">
        <v>319</v>
      </c>
      <c r="G86" s="28" t="s">
        <v>159</v>
      </c>
      <c r="H86" s="28">
        <v>2</v>
      </c>
      <c r="I86" s="28" t="s">
        <v>3448</v>
      </c>
      <c r="J86" s="30">
        <v>0.10461805555555556</v>
      </c>
      <c r="K86" s="30">
        <v>8.4826388888888896E-2</v>
      </c>
      <c r="L86" s="30">
        <v>8.8969907407407414E-2</v>
      </c>
      <c r="M86" s="30">
        <v>8.3865740740740741E-2</v>
      </c>
      <c r="N86" s="30">
        <v>0.11862268518518519</v>
      </c>
      <c r="O86" s="30">
        <v>0.10590277777777778</v>
      </c>
      <c r="P86" s="28" t="s">
        <v>2253</v>
      </c>
      <c r="Q86" s="30">
        <v>0.10590277777777778</v>
      </c>
      <c r="R86" s="8">
        <f t="shared" si="1"/>
        <v>772</v>
      </c>
    </row>
    <row r="87" spans="1:18" ht="29.1">
      <c r="A87" s="28">
        <v>86</v>
      </c>
      <c r="B87" s="28">
        <v>63</v>
      </c>
      <c r="C87" s="32" t="s">
        <v>135</v>
      </c>
      <c r="D87" s="28" t="s">
        <v>3563</v>
      </c>
      <c r="E87" s="28" t="s">
        <v>583</v>
      </c>
      <c r="F87" s="28" t="s">
        <v>340</v>
      </c>
      <c r="G87" s="28" t="s">
        <v>341</v>
      </c>
      <c r="H87" s="28">
        <v>16</v>
      </c>
      <c r="I87" s="28" t="s">
        <v>3487</v>
      </c>
      <c r="J87" s="30">
        <v>0.10664351851851851</v>
      </c>
      <c r="K87" s="30">
        <v>8.5000000000000006E-2</v>
      </c>
      <c r="L87" s="30">
        <v>8.8692129629629635E-2</v>
      </c>
      <c r="M87" s="30">
        <v>8.4016203703703704E-2</v>
      </c>
      <c r="N87" s="30">
        <v>0.11663194444444444</v>
      </c>
      <c r="O87" s="30">
        <v>0.10597222222222222</v>
      </c>
      <c r="P87" s="28" t="s">
        <v>2415</v>
      </c>
      <c r="Q87" s="30">
        <v>0.10597222222222222</v>
      </c>
      <c r="R87" s="8">
        <f t="shared" si="1"/>
        <v>771</v>
      </c>
    </row>
    <row r="88" spans="1:18" ht="29.1">
      <c r="A88" s="28">
        <v>87</v>
      </c>
      <c r="B88" s="28">
        <v>133</v>
      </c>
      <c r="C88" s="32" t="s">
        <v>135</v>
      </c>
      <c r="D88" s="28" t="s">
        <v>2470</v>
      </c>
      <c r="E88" s="28"/>
      <c r="F88" s="28" t="s">
        <v>340</v>
      </c>
      <c r="G88" s="28" t="s">
        <v>352</v>
      </c>
      <c r="H88" s="28">
        <v>48</v>
      </c>
      <c r="I88" s="28" t="s">
        <v>3478</v>
      </c>
      <c r="J88" s="30">
        <v>0.10725694444444445</v>
      </c>
      <c r="K88" s="30">
        <v>8.4791666666666668E-2</v>
      </c>
      <c r="L88" s="30">
        <v>8.6712962962962964E-2</v>
      </c>
      <c r="M88" s="30">
        <v>8.4479166666666661E-2</v>
      </c>
      <c r="N88" s="30">
        <v>0.11776620370370371</v>
      </c>
      <c r="O88" s="30">
        <v>0.10599537037037036</v>
      </c>
      <c r="P88" s="28" t="s">
        <v>3564</v>
      </c>
      <c r="Q88" s="30">
        <v>0.10599537037037036</v>
      </c>
      <c r="R88" s="8">
        <f t="shared" si="1"/>
        <v>771</v>
      </c>
    </row>
    <row r="89" spans="1:18" ht="29.1">
      <c r="A89" s="28">
        <v>88</v>
      </c>
      <c r="B89" s="28">
        <v>136</v>
      </c>
      <c r="C89" s="32" t="s">
        <v>135</v>
      </c>
      <c r="D89" s="28" t="s">
        <v>2989</v>
      </c>
      <c r="E89" s="28" t="s">
        <v>2426</v>
      </c>
      <c r="F89" s="28" t="s">
        <v>340</v>
      </c>
      <c r="G89" s="28" t="s">
        <v>352</v>
      </c>
      <c r="H89" s="28">
        <v>49</v>
      </c>
      <c r="I89" s="28" t="s">
        <v>3478</v>
      </c>
      <c r="J89" s="30">
        <v>0.10420138888888889</v>
      </c>
      <c r="K89" s="30">
        <v>8.487268518518519E-2</v>
      </c>
      <c r="L89" s="30">
        <v>9.0300925925925923E-2</v>
      </c>
      <c r="M89" s="30">
        <v>8.4062499999999998E-2</v>
      </c>
      <c r="N89" s="30">
        <v>0.1175925925925926</v>
      </c>
      <c r="O89" s="30">
        <v>0.10601851851851851</v>
      </c>
      <c r="P89" s="28" t="s">
        <v>3565</v>
      </c>
      <c r="Q89" s="30">
        <v>0.10601851851851851</v>
      </c>
      <c r="R89" s="8">
        <f t="shared" si="1"/>
        <v>771</v>
      </c>
    </row>
    <row r="90" spans="1:18" ht="29.1">
      <c r="A90" s="28">
        <v>89</v>
      </c>
      <c r="B90" s="28">
        <v>85</v>
      </c>
      <c r="C90" s="32" t="s">
        <v>135</v>
      </c>
      <c r="D90" s="28" t="s">
        <v>274</v>
      </c>
      <c r="E90" s="28" t="s">
        <v>138</v>
      </c>
      <c r="F90" s="28" t="s">
        <v>35</v>
      </c>
      <c r="G90" s="28" t="s">
        <v>420</v>
      </c>
      <c r="H90" s="28">
        <v>5</v>
      </c>
      <c r="I90" s="28" t="s">
        <v>3487</v>
      </c>
      <c r="J90" s="28"/>
      <c r="K90" s="28"/>
      <c r="L90" s="28"/>
      <c r="M90" s="30">
        <v>8.414351851851852E-2</v>
      </c>
      <c r="N90" s="30">
        <v>0.11810185185185185</v>
      </c>
      <c r="O90" s="30">
        <v>0.10609953703703703</v>
      </c>
      <c r="P90" s="28" t="s">
        <v>3566</v>
      </c>
      <c r="Q90" s="30">
        <v>0.10609953703703703</v>
      </c>
      <c r="R90" s="8">
        <f t="shared" si="1"/>
        <v>770</v>
      </c>
    </row>
    <row r="91" spans="1:18" ht="29.1">
      <c r="A91" s="28">
        <v>90</v>
      </c>
      <c r="B91" s="28">
        <v>188</v>
      </c>
      <c r="C91" s="32" t="s">
        <v>135</v>
      </c>
      <c r="D91" s="28" t="s">
        <v>1130</v>
      </c>
      <c r="E91" s="28"/>
      <c r="F91" s="28" t="s">
        <v>340</v>
      </c>
      <c r="G91" s="28" t="s">
        <v>341</v>
      </c>
      <c r="H91" s="28">
        <v>17</v>
      </c>
      <c r="I91" s="28" t="s">
        <v>3487</v>
      </c>
      <c r="J91" s="30">
        <v>0.10607638888888889</v>
      </c>
      <c r="K91" s="30">
        <v>8.5219907407407411E-2</v>
      </c>
      <c r="L91" s="30">
        <v>8.8460648148148149E-2</v>
      </c>
      <c r="M91" s="30">
        <v>8.430555555555555E-2</v>
      </c>
      <c r="N91" s="30">
        <v>0.11776620370370371</v>
      </c>
      <c r="O91" s="30">
        <v>0.1068287037037037</v>
      </c>
      <c r="P91" s="28" t="s">
        <v>3567</v>
      </c>
      <c r="Q91" s="30">
        <v>0.1068287037037037</v>
      </c>
      <c r="R91" s="8">
        <f t="shared" si="1"/>
        <v>765</v>
      </c>
    </row>
    <row r="92" spans="1:18" ht="29.1">
      <c r="A92" s="28">
        <v>91</v>
      </c>
      <c r="B92" s="28">
        <v>162</v>
      </c>
      <c r="C92" s="32" t="s">
        <v>135</v>
      </c>
      <c r="D92" s="28" t="s">
        <v>489</v>
      </c>
      <c r="E92" s="28" t="s">
        <v>491</v>
      </c>
      <c r="F92" s="28" t="s">
        <v>340</v>
      </c>
      <c r="G92" s="28" t="s">
        <v>352</v>
      </c>
      <c r="H92" s="28">
        <v>50</v>
      </c>
      <c r="I92" s="28" t="s">
        <v>3478</v>
      </c>
      <c r="J92" s="30">
        <v>0.10309027777777778</v>
      </c>
      <c r="K92" s="30">
        <v>8.4907407407407404E-2</v>
      </c>
      <c r="L92" s="30">
        <v>9.0856481481481483E-2</v>
      </c>
      <c r="M92" s="30">
        <v>8.4050925925925932E-2</v>
      </c>
      <c r="N92" s="30">
        <v>0.11886574074074074</v>
      </c>
      <c r="O92" s="30">
        <v>0.10689814814814814</v>
      </c>
      <c r="P92" s="28" t="s">
        <v>3568</v>
      </c>
      <c r="Q92" s="30">
        <v>0.10689814814814814</v>
      </c>
      <c r="R92" s="8">
        <f t="shared" si="1"/>
        <v>764</v>
      </c>
    </row>
    <row r="93" spans="1:18" ht="29.1">
      <c r="A93" s="28">
        <v>92</v>
      </c>
      <c r="B93" s="28">
        <v>161</v>
      </c>
      <c r="C93" s="32" t="s">
        <v>135</v>
      </c>
      <c r="D93" s="28" t="s">
        <v>3569</v>
      </c>
      <c r="E93" s="28" t="s">
        <v>1378</v>
      </c>
      <c r="F93" s="28" t="s">
        <v>340</v>
      </c>
      <c r="G93" s="28" t="s">
        <v>352</v>
      </c>
      <c r="H93" s="28">
        <v>51</v>
      </c>
      <c r="I93" s="28" t="s">
        <v>3478</v>
      </c>
      <c r="J93" s="30">
        <v>0.1044675925925926</v>
      </c>
      <c r="K93" s="30">
        <v>8.4988425925925926E-2</v>
      </c>
      <c r="L93" s="30">
        <v>8.9780092592592592E-2</v>
      </c>
      <c r="M93" s="30">
        <v>8.4085648148148145E-2</v>
      </c>
      <c r="N93" s="30">
        <v>0.11894675925925927</v>
      </c>
      <c r="O93" s="30">
        <v>0.10725694444444445</v>
      </c>
      <c r="P93" s="28" t="s">
        <v>3570</v>
      </c>
      <c r="Q93" s="30">
        <v>0.10725694444444445</v>
      </c>
      <c r="R93" s="8">
        <f t="shared" si="1"/>
        <v>762</v>
      </c>
    </row>
    <row r="94" spans="1:18" ht="29.1">
      <c r="A94" s="28">
        <v>93</v>
      </c>
      <c r="B94" s="28">
        <v>141</v>
      </c>
      <c r="C94" s="32" t="s">
        <v>135</v>
      </c>
      <c r="D94" s="28" t="s">
        <v>844</v>
      </c>
      <c r="E94" s="28" t="s">
        <v>846</v>
      </c>
      <c r="F94" s="28" t="s">
        <v>340</v>
      </c>
      <c r="G94" s="28" t="s">
        <v>352</v>
      </c>
      <c r="H94" s="28">
        <v>52</v>
      </c>
      <c r="I94" s="28" t="s">
        <v>3478</v>
      </c>
      <c r="J94" s="30">
        <v>0.11</v>
      </c>
      <c r="K94" s="30">
        <v>8.565972222222222E-2</v>
      </c>
      <c r="L94" s="30">
        <v>8.5613425925925926E-2</v>
      </c>
      <c r="M94" s="30">
        <v>8.4317129629629631E-2</v>
      </c>
      <c r="N94" s="30">
        <v>0.11686342592592593</v>
      </c>
      <c r="O94" s="30">
        <v>0.1074537037037037</v>
      </c>
      <c r="P94" s="28" t="s">
        <v>3571</v>
      </c>
      <c r="Q94" s="30">
        <v>0.1074537037037037</v>
      </c>
      <c r="R94" s="8">
        <f t="shared" si="1"/>
        <v>760</v>
      </c>
    </row>
    <row r="95" spans="1:18" ht="29.1">
      <c r="A95" s="28">
        <v>94</v>
      </c>
      <c r="B95" s="28">
        <v>154</v>
      </c>
      <c r="C95" s="32" t="s">
        <v>135</v>
      </c>
      <c r="D95" s="28" t="s">
        <v>2142</v>
      </c>
      <c r="E95" s="28" t="s">
        <v>434</v>
      </c>
      <c r="F95" s="28" t="s">
        <v>340</v>
      </c>
      <c r="G95" s="28" t="s">
        <v>352</v>
      </c>
      <c r="H95" s="28">
        <v>53</v>
      </c>
      <c r="I95" s="28" t="s">
        <v>3478</v>
      </c>
      <c r="J95" s="30">
        <v>0.10322916666666666</v>
      </c>
      <c r="K95" s="30">
        <v>8.5254629629629625E-2</v>
      </c>
      <c r="L95" s="30">
        <v>8.9374999999999996E-2</v>
      </c>
      <c r="M95" s="30">
        <v>8.4479166666666661E-2</v>
      </c>
      <c r="N95" s="30">
        <v>0.12023148148148148</v>
      </c>
      <c r="O95" s="30">
        <v>0.10758101851851852</v>
      </c>
      <c r="P95" s="28" t="s">
        <v>3572</v>
      </c>
      <c r="Q95" s="30">
        <v>0.10758101851851852</v>
      </c>
      <c r="R95" s="8">
        <f t="shared" si="1"/>
        <v>760</v>
      </c>
    </row>
    <row r="96" spans="1:18" ht="29.1">
      <c r="A96" s="28">
        <v>95</v>
      </c>
      <c r="B96" s="28">
        <v>187</v>
      </c>
      <c r="C96" s="32" t="s">
        <v>135</v>
      </c>
      <c r="D96" s="28" t="s">
        <v>2462</v>
      </c>
      <c r="E96" s="28"/>
      <c r="F96" s="28" t="s">
        <v>340</v>
      </c>
      <c r="G96" s="28" t="s">
        <v>352</v>
      </c>
      <c r="H96" s="28">
        <v>54</v>
      </c>
      <c r="I96" s="28" t="s">
        <v>3478</v>
      </c>
      <c r="J96" s="30">
        <v>0.10508101851851852</v>
      </c>
      <c r="K96" s="30">
        <v>8.5289351851851852E-2</v>
      </c>
      <c r="L96" s="30">
        <v>8.9166666666666672E-2</v>
      </c>
      <c r="M96" s="30">
        <v>8.4155092592592587E-2</v>
      </c>
      <c r="N96" s="30">
        <v>0.11923611111111111</v>
      </c>
      <c r="O96" s="30">
        <v>0.10791666666666666</v>
      </c>
      <c r="P96" s="28" t="s">
        <v>3573</v>
      </c>
      <c r="Q96" s="30">
        <v>0.10791666666666666</v>
      </c>
      <c r="R96" s="8">
        <f t="shared" si="1"/>
        <v>757</v>
      </c>
    </row>
    <row r="97" spans="1:18" ht="29.1">
      <c r="A97" s="28">
        <v>96</v>
      </c>
      <c r="B97" s="28">
        <v>27</v>
      </c>
      <c r="C97" s="32" t="s">
        <v>135</v>
      </c>
      <c r="D97" s="28" t="s">
        <v>3574</v>
      </c>
      <c r="E97" s="28" t="s">
        <v>199</v>
      </c>
      <c r="F97" s="28" t="s">
        <v>340</v>
      </c>
      <c r="G97" s="28" t="s">
        <v>352</v>
      </c>
      <c r="H97" s="28">
        <v>55</v>
      </c>
      <c r="I97" s="28" t="s">
        <v>3478</v>
      </c>
      <c r="J97" s="30">
        <v>0.10648148148148148</v>
      </c>
      <c r="K97" s="30">
        <v>8.4664351851851852E-2</v>
      </c>
      <c r="L97" s="30">
        <v>8.971064814814815E-2</v>
      </c>
      <c r="M97" s="30">
        <v>8.3993055555555557E-2</v>
      </c>
      <c r="N97" s="30">
        <v>0.11858796296296296</v>
      </c>
      <c r="O97" s="30">
        <v>0.10844907407407407</v>
      </c>
      <c r="P97" s="28" t="s">
        <v>3575</v>
      </c>
      <c r="Q97" s="30">
        <v>0.10844907407407407</v>
      </c>
      <c r="R97" s="8">
        <f t="shared" si="1"/>
        <v>753</v>
      </c>
    </row>
    <row r="98" spans="1:18" ht="29.1">
      <c r="A98" s="28">
        <v>97</v>
      </c>
      <c r="B98" s="28">
        <v>65</v>
      </c>
      <c r="C98" s="32" t="s">
        <v>140</v>
      </c>
      <c r="D98" s="28" t="s">
        <v>506</v>
      </c>
      <c r="E98" s="28" t="s">
        <v>3576</v>
      </c>
      <c r="F98" s="28" t="s">
        <v>340</v>
      </c>
      <c r="G98" s="28" t="s">
        <v>341</v>
      </c>
      <c r="H98" s="28">
        <v>18</v>
      </c>
      <c r="I98" s="28" t="s">
        <v>3487</v>
      </c>
      <c r="J98" s="30">
        <v>0.1091550925925926</v>
      </c>
      <c r="K98" s="30">
        <v>8.4722222222222227E-2</v>
      </c>
      <c r="L98" s="30">
        <v>8.8287037037037039E-2</v>
      </c>
      <c r="M98" s="30">
        <v>8.4375000000000006E-2</v>
      </c>
      <c r="N98" s="30">
        <v>0.1169675925925926</v>
      </c>
      <c r="O98" s="30">
        <v>0.10850694444444445</v>
      </c>
      <c r="P98" s="28" t="s">
        <v>3577</v>
      </c>
      <c r="Q98" s="30">
        <v>0.10850694444444445</v>
      </c>
      <c r="R98" s="8">
        <f t="shared" si="1"/>
        <v>753</v>
      </c>
    </row>
    <row r="99" spans="1:18" ht="29.1">
      <c r="A99" s="28">
        <v>98</v>
      </c>
      <c r="B99" s="28">
        <v>25</v>
      </c>
      <c r="C99" s="32" t="s">
        <v>135</v>
      </c>
      <c r="D99" s="28" t="s">
        <v>3578</v>
      </c>
      <c r="E99" s="28"/>
      <c r="F99" s="28" t="s">
        <v>340</v>
      </c>
      <c r="G99" s="28" t="s">
        <v>352</v>
      </c>
      <c r="H99" s="28">
        <v>56</v>
      </c>
      <c r="I99" s="28" t="s">
        <v>3478</v>
      </c>
      <c r="J99" s="30">
        <v>0.10651620370370371</v>
      </c>
      <c r="K99" s="30">
        <v>8.5300925925925933E-2</v>
      </c>
      <c r="L99" s="30">
        <v>8.8935185185185187E-2</v>
      </c>
      <c r="M99" s="30">
        <v>8.4363425925925925E-2</v>
      </c>
      <c r="N99" s="30">
        <v>0.11846064814814815</v>
      </c>
      <c r="O99" s="30">
        <v>0.10856481481481481</v>
      </c>
      <c r="P99" s="28" t="s">
        <v>3579</v>
      </c>
      <c r="Q99" s="30">
        <v>0.10856481481481481</v>
      </c>
      <c r="R99" s="8">
        <f t="shared" si="1"/>
        <v>753</v>
      </c>
    </row>
    <row r="100" spans="1:18" ht="29.1">
      <c r="A100" s="28">
        <v>99</v>
      </c>
      <c r="B100" s="28">
        <v>36</v>
      </c>
      <c r="C100" s="32" t="s">
        <v>135</v>
      </c>
      <c r="D100" s="28" t="s">
        <v>1640</v>
      </c>
      <c r="E100" s="28" t="s">
        <v>173</v>
      </c>
      <c r="F100" s="28" t="s">
        <v>319</v>
      </c>
      <c r="G100" s="28" t="s">
        <v>149</v>
      </c>
      <c r="H100" s="28">
        <v>1</v>
      </c>
      <c r="I100" s="28" t="s">
        <v>3448</v>
      </c>
      <c r="J100" s="30">
        <v>0.10635416666666667</v>
      </c>
      <c r="K100" s="30">
        <v>8.4988425925925926E-2</v>
      </c>
      <c r="L100" s="30">
        <v>9.4120370370370368E-2</v>
      </c>
      <c r="M100" s="30">
        <v>8.4201388888888895E-2</v>
      </c>
      <c r="N100" s="30">
        <v>0.11417824074074075</v>
      </c>
      <c r="O100" s="30">
        <v>0.10883101851851852</v>
      </c>
      <c r="P100" s="28" t="s">
        <v>3580</v>
      </c>
      <c r="Q100" s="30">
        <v>0.10883101851851852</v>
      </c>
      <c r="R100" s="8">
        <f t="shared" si="1"/>
        <v>751</v>
      </c>
    </row>
    <row r="101" spans="1:18" ht="29.1">
      <c r="A101" s="28">
        <v>100</v>
      </c>
      <c r="B101" s="28">
        <v>195</v>
      </c>
      <c r="C101" s="32" t="s">
        <v>135</v>
      </c>
      <c r="D101" s="28" t="s">
        <v>1630</v>
      </c>
      <c r="E101" s="28"/>
      <c r="F101" s="28" t="s">
        <v>340</v>
      </c>
      <c r="G101" s="28" t="s">
        <v>341</v>
      </c>
      <c r="H101" s="28">
        <v>19</v>
      </c>
      <c r="I101" s="28" t="s">
        <v>3487</v>
      </c>
      <c r="J101" s="30">
        <v>0.10524305555555556</v>
      </c>
      <c r="K101" s="30">
        <v>8.4965277777777778E-2</v>
      </c>
      <c r="L101" s="30">
        <v>8.9398148148148143E-2</v>
      </c>
      <c r="M101" s="30">
        <v>8.4097222222222226E-2</v>
      </c>
      <c r="N101" s="30">
        <v>0.12028935185185186</v>
      </c>
      <c r="O101" s="30">
        <v>0.10898148148148148</v>
      </c>
      <c r="P101" s="28" t="s">
        <v>3581</v>
      </c>
      <c r="Q101" s="30">
        <v>0.10898148148148148</v>
      </c>
      <c r="R101" s="8">
        <f t="shared" si="1"/>
        <v>750</v>
      </c>
    </row>
    <row r="102" spans="1:18" ht="29.1">
      <c r="A102" s="28">
        <v>101</v>
      </c>
      <c r="B102" s="28">
        <v>142</v>
      </c>
      <c r="C102" s="32" t="s">
        <v>135</v>
      </c>
      <c r="D102" s="28" t="s">
        <v>567</v>
      </c>
      <c r="E102" s="28" t="s">
        <v>569</v>
      </c>
      <c r="F102" s="28" t="s">
        <v>340</v>
      </c>
      <c r="G102" s="28" t="s">
        <v>352</v>
      </c>
      <c r="H102" s="28">
        <v>57</v>
      </c>
      <c r="I102" s="28" t="s">
        <v>3478</v>
      </c>
      <c r="J102" s="30">
        <v>0.10667824074074074</v>
      </c>
      <c r="K102" s="30">
        <v>8.5289351851851852E-2</v>
      </c>
      <c r="L102" s="30">
        <v>8.9340277777777782E-2</v>
      </c>
      <c r="M102" s="30">
        <v>8.4259259259259256E-2</v>
      </c>
      <c r="N102" s="30">
        <v>0.11842592592592592</v>
      </c>
      <c r="O102" s="30">
        <v>0.10899305555555555</v>
      </c>
      <c r="P102" s="28" t="s">
        <v>3582</v>
      </c>
      <c r="Q102" s="30">
        <v>0.10899305555555555</v>
      </c>
      <c r="R102" s="8">
        <f t="shared" si="1"/>
        <v>750</v>
      </c>
    </row>
    <row r="103" spans="1:18" ht="29.1">
      <c r="A103" s="28">
        <v>102</v>
      </c>
      <c r="B103" s="28">
        <v>72</v>
      </c>
      <c r="C103" s="32" t="s">
        <v>135</v>
      </c>
      <c r="D103" s="28" t="s">
        <v>526</v>
      </c>
      <c r="E103" s="28"/>
      <c r="F103" s="28" t="s">
        <v>340</v>
      </c>
      <c r="G103" s="28" t="s">
        <v>341</v>
      </c>
      <c r="H103" s="28">
        <v>20</v>
      </c>
      <c r="I103" s="28" t="s">
        <v>3487</v>
      </c>
      <c r="J103" s="30">
        <v>0.10621527777777778</v>
      </c>
      <c r="K103" s="30">
        <v>8.4571759259259263E-2</v>
      </c>
      <c r="L103" s="30">
        <v>8.8773148148148143E-2</v>
      </c>
      <c r="M103" s="30">
        <v>8.3935185185185182E-2</v>
      </c>
      <c r="N103" s="30">
        <v>0.12100694444444444</v>
      </c>
      <c r="O103" s="30">
        <v>0.10947916666666667</v>
      </c>
      <c r="P103" s="28" t="s">
        <v>3583</v>
      </c>
      <c r="Q103" s="30">
        <v>0.10947916666666667</v>
      </c>
      <c r="R103" s="8">
        <f t="shared" si="1"/>
        <v>746</v>
      </c>
    </row>
    <row r="104" spans="1:18" ht="29.1">
      <c r="A104" s="28">
        <v>103</v>
      </c>
      <c r="B104" s="28">
        <v>137</v>
      </c>
      <c r="C104" s="32" t="s">
        <v>135</v>
      </c>
      <c r="D104" s="28" t="s">
        <v>3584</v>
      </c>
      <c r="E104" s="28"/>
      <c r="F104" s="28" t="s">
        <v>340</v>
      </c>
      <c r="G104" s="28" t="s">
        <v>352</v>
      </c>
      <c r="H104" s="28">
        <v>58</v>
      </c>
      <c r="I104" s="28" t="s">
        <v>3478</v>
      </c>
      <c r="J104" s="30">
        <v>0.10670138888888889</v>
      </c>
      <c r="K104" s="30">
        <v>8.5011574074074073E-2</v>
      </c>
      <c r="L104" s="30">
        <v>8.9467592592592599E-2</v>
      </c>
      <c r="M104" s="30">
        <v>8.4155092592592587E-2</v>
      </c>
      <c r="N104" s="30">
        <v>0.11921296296296297</v>
      </c>
      <c r="O104" s="30">
        <v>0.10953703703703704</v>
      </c>
      <c r="P104" s="28" t="s">
        <v>3585</v>
      </c>
      <c r="Q104" s="30">
        <v>0.10953703703703704</v>
      </c>
      <c r="R104" s="8">
        <f t="shared" si="1"/>
        <v>746</v>
      </c>
    </row>
    <row r="105" spans="1:18" ht="29.1">
      <c r="A105" s="28">
        <v>104</v>
      </c>
      <c r="B105" s="28">
        <v>99</v>
      </c>
      <c r="C105" s="32" t="s">
        <v>135</v>
      </c>
      <c r="D105" s="28" t="s">
        <v>280</v>
      </c>
      <c r="E105" s="28" t="s">
        <v>199</v>
      </c>
      <c r="F105" s="28" t="s">
        <v>340</v>
      </c>
      <c r="G105" s="28" t="s">
        <v>357</v>
      </c>
      <c r="H105" s="28">
        <v>8</v>
      </c>
      <c r="I105" s="28" t="s">
        <v>3487</v>
      </c>
      <c r="J105" s="30">
        <v>0.10907407407407407</v>
      </c>
      <c r="K105" s="30">
        <v>8.565972222222222E-2</v>
      </c>
      <c r="L105" s="30">
        <v>8.3958333333333329E-2</v>
      </c>
      <c r="M105" s="30">
        <v>8.3923611111111115E-2</v>
      </c>
      <c r="N105" s="30">
        <v>0.12194444444444444</v>
      </c>
      <c r="O105" s="30">
        <v>0.10956018518518519</v>
      </c>
      <c r="P105" s="28" t="s">
        <v>3586</v>
      </c>
      <c r="Q105" s="30">
        <v>0.10956018518518519</v>
      </c>
      <c r="R105" s="8">
        <f t="shared" si="1"/>
        <v>746</v>
      </c>
    </row>
    <row r="106" spans="1:18" ht="29.1">
      <c r="A106" s="28">
        <v>105</v>
      </c>
      <c r="B106" s="28">
        <v>107</v>
      </c>
      <c r="C106" s="32" t="s">
        <v>135</v>
      </c>
      <c r="D106" s="28" t="s">
        <v>3587</v>
      </c>
      <c r="E106" s="28" t="s">
        <v>3588</v>
      </c>
      <c r="F106" s="28" t="s">
        <v>340</v>
      </c>
      <c r="G106" s="28" t="s">
        <v>641</v>
      </c>
      <c r="H106" s="28">
        <v>3</v>
      </c>
      <c r="I106" s="28" t="s">
        <v>3487</v>
      </c>
      <c r="J106" s="30">
        <v>0.10096064814814815</v>
      </c>
      <c r="K106" s="30">
        <v>8.7615740740740744E-2</v>
      </c>
      <c r="L106" s="30">
        <v>9.150462962962963E-2</v>
      </c>
      <c r="M106" s="30">
        <v>8.4988425925925926E-2</v>
      </c>
      <c r="N106" s="30">
        <v>0.11957175925925925</v>
      </c>
      <c r="O106" s="30">
        <v>0.10962962962962963</v>
      </c>
      <c r="P106" s="28" t="s">
        <v>3589</v>
      </c>
      <c r="Q106" s="30">
        <v>0.10962962962962963</v>
      </c>
      <c r="R106" s="8">
        <f t="shared" si="1"/>
        <v>745</v>
      </c>
    </row>
    <row r="107" spans="1:18" ht="29.1">
      <c r="A107" s="28">
        <v>106</v>
      </c>
      <c r="B107" s="28">
        <v>109</v>
      </c>
      <c r="C107" s="32" t="s">
        <v>135</v>
      </c>
      <c r="D107" s="28" t="s">
        <v>1145</v>
      </c>
      <c r="E107" s="28" t="s">
        <v>538</v>
      </c>
      <c r="F107" s="28" t="s">
        <v>340</v>
      </c>
      <c r="G107" s="28" t="s">
        <v>624</v>
      </c>
      <c r="H107" s="28">
        <v>1</v>
      </c>
      <c r="I107" s="28" t="s">
        <v>3487</v>
      </c>
      <c r="J107" s="30">
        <v>0.10940972222222223</v>
      </c>
      <c r="K107" s="30">
        <v>8.50462962962963E-2</v>
      </c>
      <c r="L107" s="30">
        <v>8.7650462962962958E-2</v>
      </c>
      <c r="M107" s="30">
        <v>8.4085648148148145E-2</v>
      </c>
      <c r="N107" s="30">
        <v>0.11844907407407407</v>
      </c>
      <c r="O107" s="30">
        <v>0.10962962962962963</v>
      </c>
      <c r="P107" s="28" t="s">
        <v>3590</v>
      </c>
      <c r="Q107" s="30">
        <v>0.10962962962962963</v>
      </c>
      <c r="R107" s="8">
        <f t="shared" si="1"/>
        <v>745</v>
      </c>
    </row>
    <row r="108" spans="1:18" ht="29.1">
      <c r="A108" s="28">
        <v>107</v>
      </c>
      <c r="B108" s="28">
        <v>145</v>
      </c>
      <c r="C108" s="32" t="s">
        <v>135</v>
      </c>
      <c r="D108" s="28" t="s">
        <v>774</v>
      </c>
      <c r="E108" s="28" t="s">
        <v>3511</v>
      </c>
      <c r="F108" s="28" t="s">
        <v>340</v>
      </c>
      <c r="G108" s="28" t="s">
        <v>352</v>
      </c>
      <c r="H108" s="28">
        <v>59</v>
      </c>
      <c r="I108" s="28" t="s">
        <v>3478</v>
      </c>
      <c r="J108" s="30">
        <v>0.10356481481481482</v>
      </c>
      <c r="K108" s="30">
        <v>8.4791666666666668E-2</v>
      </c>
      <c r="L108" s="30">
        <v>9.0474537037037034E-2</v>
      </c>
      <c r="M108" s="30">
        <v>8.3668981481481483E-2</v>
      </c>
      <c r="N108" s="30">
        <v>0.12237268518518518</v>
      </c>
      <c r="O108" s="30">
        <v>0.10988425925925926</v>
      </c>
      <c r="P108" s="28" t="s">
        <v>3591</v>
      </c>
      <c r="Q108" s="30">
        <v>0.10988425925925926</v>
      </c>
      <c r="R108" s="8">
        <f t="shared" si="1"/>
        <v>744</v>
      </c>
    </row>
    <row r="109" spans="1:18" ht="29.1">
      <c r="A109" s="28">
        <v>108</v>
      </c>
      <c r="B109" s="28">
        <v>118</v>
      </c>
      <c r="C109" s="32" t="s">
        <v>135</v>
      </c>
      <c r="D109" s="28" t="s">
        <v>1118</v>
      </c>
      <c r="E109" s="28" t="s">
        <v>367</v>
      </c>
      <c r="F109" s="28" t="s">
        <v>340</v>
      </c>
      <c r="G109" s="28" t="s">
        <v>352</v>
      </c>
      <c r="H109" s="28">
        <v>60</v>
      </c>
      <c r="I109" s="28" t="s">
        <v>3478</v>
      </c>
      <c r="J109" s="30">
        <v>0.10737268518518518</v>
      </c>
      <c r="K109" s="30">
        <v>8.5162037037037036E-2</v>
      </c>
      <c r="L109" s="30">
        <v>8.8749999999999996E-2</v>
      </c>
      <c r="M109" s="30">
        <v>8.4120370370370373E-2</v>
      </c>
      <c r="N109" s="30">
        <v>0.11961805555555556</v>
      </c>
      <c r="O109" s="30">
        <v>0.11001157407407407</v>
      </c>
      <c r="P109" s="28" t="s">
        <v>3592</v>
      </c>
      <c r="Q109" s="30">
        <v>0.11001157407407407</v>
      </c>
      <c r="R109" s="8">
        <f t="shared" si="1"/>
        <v>743</v>
      </c>
    </row>
    <row r="110" spans="1:18" ht="29.1">
      <c r="A110" s="28">
        <v>109</v>
      </c>
      <c r="B110" s="28">
        <v>28</v>
      </c>
      <c r="C110" s="32" t="s">
        <v>135</v>
      </c>
      <c r="D110" s="28" t="s">
        <v>3593</v>
      </c>
      <c r="E110" s="28" t="s">
        <v>434</v>
      </c>
      <c r="F110" s="28" t="s">
        <v>340</v>
      </c>
      <c r="G110" s="28" t="s">
        <v>352</v>
      </c>
      <c r="H110" s="28">
        <v>61</v>
      </c>
      <c r="I110" s="28" t="s">
        <v>3478</v>
      </c>
      <c r="J110" s="30">
        <v>0.10675925925925926</v>
      </c>
      <c r="K110" s="30">
        <v>8.6076388888888883E-2</v>
      </c>
      <c r="L110" s="30">
        <v>8.6701388888888883E-2</v>
      </c>
      <c r="M110" s="30">
        <v>8.413194444444444E-2</v>
      </c>
      <c r="N110" s="30">
        <v>0.12143518518518519</v>
      </c>
      <c r="O110" s="30">
        <v>0.11011574074074074</v>
      </c>
      <c r="P110" s="28" t="s">
        <v>3594</v>
      </c>
      <c r="Q110" s="30">
        <v>0.11011574074074074</v>
      </c>
      <c r="R110" s="8">
        <f t="shared" si="1"/>
        <v>742</v>
      </c>
    </row>
    <row r="111" spans="1:18" ht="29.1">
      <c r="A111" s="28">
        <v>110</v>
      </c>
      <c r="B111" s="28">
        <v>164</v>
      </c>
      <c r="C111" s="32" t="s">
        <v>135</v>
      </c>
      <c r="D111" s="28" t="s">
        <v>502</v>
      </c>
      <c r="E111" s="28" t="s">
        <v>3595</v>
      </c>
      <c r="F111" s="28" t="s">
        <v>340</v>
      </c>
      <c r="G111" s="28" t="s">
        <v>352</v>
      </c>
      <c r="H111" s="28">
        <v>62</v>
      </c>
      <c r="I111" s="28" t="s">
        <v>3478</v>
      </c>
      <c r="J111" s="30">
        <v>0.1074537037037037</v>
      </c>
      <c r="K111" s="30">
        <v>8.4710648148148146E-2</v>
      </c>
      <c r="L111" s="30">
        <v>9.4166666666666662E-2</v>
      </c>
      <c r="M111" s="30">
        <v>8.3807870370370366E-2</v>
      </c>
      <c r="N111" s="30">
        <v>0.115</v>
      </c>
      <c r="O111" s="30">
        <v>0.11015046296296296</v>
      </c>
      <c r="P111" s="28" t="s">
        <v>3596</v>
      </c>
      <c r="Q111" s="30">
        <v>0.11015046296296296</v>
      </c>
      <c r="R111" s="8">
        <f t="shared" si="1"/>
        <v>742</v>
      </c>
    </row>
    <row r="112" spans="1:18" ht="29.1">
      <c r="A112" s="28">
        <v>111</v>
      </c>
      <c r="B112" s="28">
        <v>184</v>
      </c>
      <c r="C112" s="32" t="s">
        <v>135</v>
      </c>
      <c r="D112" s="28" t="s">
        <v>254</v>
      </c>
      <c r="E112" s="28" t="s">
        <v>199</v>
      </c>
      <c r="F112" s="28" t="s">
        <v>340</v>
      </c>
      <c r="G112" s="28" t="s">
        <v>352</v>
      </c>
      <c r="H112" s="28">
        <v>63</v>
      </c>
      <c r="I112" s="28" t="s">
        <v>3478</v>
      </c>
      <c r="J112" s="30">
        <v>0.10736111111111112</v>
      </c>
      <c r="K112" s="30">
        <v>8.5231481481481478E-2</v>
      </c>
      <c r="L112" s="30">
        <v>9.0810185185185188E-2</v>
      </c>
      <c r="M112" s="30">
        <v>8.3877314814814821E-2</v>
      </c>
      <c r="N112" s="30">
        <v>0.11791666666666667</v>
      </c>
      <c r="O112" s="30">
        <v>0.11019675925925926</v>
      </c>
      <c r="P112" s="28" t="s">
        <v>3597</v>
      </c>
      <c r="Q112" s="30">
        <v>0.11019675925925926</v>
      </c>
      <c r="R112" s="8">
        <f t="shared" si="1"/>
        <v>742</v>
      </c>
    </row>
    <row r="113" spans="1:18" ht="29.1">
      <c r="A113" s="28">
        <v>12</v>
      </c>
      <c r="B113" s="28">
        <v>163</v>
      </c>
      <c r="C113" s="32" t="s">
        <v>135</v>
      </c>
      <c r="D113" s="28" t="s">
        <v>1108</v>
      </c>
      <c r="E113" s="28"/>
      <c r="F113" s="28" t="s">
        <v>340</v>
      </c>
      <c r="G113" s="28" t="s">
        <v>352</v>
      </c>
      <c r="H113" s="28">
        <v>64</v>
      </c>
      <c r="I113" s="28" t="s">
        <v>3478</v>
      </c>
      <c r="J113" s="30">
        <v>0.10861111111111112</v>
      </c>
      <c r="K113" s="30">
        <v>8.4236111111111109E-2</v>
      </c>
      <c r="L113" s="30">
        <v>8.9444444444444438E-2</v>
      </c>
      <c r="M113" s="30">
        <v>8.3819444444444446E-2</v>
      </c>
      <c r="N113" s="30">
        <v>0.1191087962962963</v>
      </c>
      <c r="O113" s="30">
        <v>0.11021990740740741</v>
      </c>
      <c r="P113" s="28" t="s">
        <v>3598</v>
      </c>
      <c r="Q113" s="30">
        <v>0.11021990740740741</v>
      </c>
      <c r="R113" s="8">
        <f t="shared" si="1"/>
        <v>741</v>
      </c>
    </row>
    <row r="114" spans="1:18" ht="29.1">
      <c r="A114" s="28">
        <v>113</v>
      </c>
      <c r="B114" s="28">
        <v>24</v>
      </c>
      <c r="C114" s="32" t="s">
        <v>135</v>
      </c>
      <c r="D114" s="28" t="s">
        <v>3599</v>
      </c>
      <c r="E114" s="28"/>
      <c r="F114" s="28" t="s">
        <v>340</v>
      </c>
      <c r="G114" s="28" t="s">
        <v>352</v>
      </c>
      <c r="H114" s="28">
        <v>65</v>
      </c>
      <c r="I114" s="28" t="s">
        <v>3478</v>
      </c>
      <c r="J114" s="30">
        <v>0.1071875</v>
      </c>
      <c r="K114" s="30">
        <v>8.5590277777777779E-2</v>
      </c>
      <c r="L114" s="30">
        <v>8.9861111111111114E-2</v>
      </c>
      <c r="M114" s="30">
        <v>8.4293981481481484E-2</v>
      </c>
      <c r="N114" s="30">
        <v>0.11965277777777777</v>
      </c>
      <c r="O114" s="30">
        <v>0.11159722222222222</v>
      </c>
      <c r="P114" s="28" t="s">
        <v>3600</v>
      </c>
      <c r="Q114" s="30">
        <v>0.11159722222222222</v>
      </c>
      <c r="R114" s="8">
        <f t="shared" si="1"/>
        <v>732</v>
      </c>
    </row>
    <row r="115" spans="1:18" ht="29.1">
      <c r="A115" s="28">
        <v>114</v>
      </c>
      <c r="B115" s="28">
        <v>140</v>
      </c>
      <c r="C115" s="32" t="s">
        <v>135</v>
      </c>
      <c r="D115" s="28" t="s">
        <v>2110</v>
      </c>
      <c r="E115" s="28" t="s">
        <v>3601</v>
      </c>
      <c r="F115" s="28" t="s">
        <v>340</v>
      </c>
      <c r="G115" s="28" t="s">
        <v>352</v>
      </c>
      <c r="H115" s="28">
        <v>66</v>
      </c>
      <c r="I115" s="28" t="s">
        <v>3478</v>
      </c>
      <c r="J115" s="30">
        <v>0.10754629629629629</v>
      </c>
      <c r="K115" s="30">
        <v>8.5081018518518514E-2</v>
      </c>
      <c r="L115" s="30">
        <v>8.6956018518518516E-2</v>
      </c>
      <c r="M115" s="30">
        <v>8.4085648148148145E-2</v>
      </c>
      <c r="N115" s="30">
        <v>0.12313657407407408</v>
      </c>
      <c r="O115" s="30">
        <v>0.11182870370370371</v>
      </c>
      <c r="P115" s="28" t="s">
        <v>3602</v>
      </c>
      <c r="Q115" s="30">
        <v>0.11182870370370371</v>
      </c>
      <c r="R115" s="8">
        <f t="shared" si="1"/>
        <v>731</v>
      </c>
    </row>
    <row r="116" spans="1:18" ht="29.1">
      <c r="A116" s="28">
        <v>115</v>
      </c>
      <c r="B116" s="28">
        <v>84</v>
      </c>
      <c r="C116" s="32" t="s">
        <v>135</v>
      </c>
      <c r="D116" s="28" t="s">
        <v>3603</v>
      </c>
      <c r="E116" s="28" t="s">
        <v>3604</v>
      </c>
      <c r="F116" s="28" t="s">
        <v>340</v>
      </c>
      <c r="G116" s="28" t="s">
        <v>357</v>
      </c>
      <c r="H116" s="28">
        <v>9</v>
      </c>
      <c r="I116" s="28" t="s">
        <v>3487</v>
      </c>
      <c r="J116" s="30">
        <v>0.10553240740740741</v>
      </c>
      <c r="K116" s="30">
        <v>8.5798611111111117E-2</v>
      </c>
      <c r="L116" s="30">
        <v>8.8495370370370377E-2</v>
      </c>
      <c r="M116" s="30">
        <v>8.4108796296296293E-2</v>
      </c>
      <c r="N116" s="30">
        <v>0.12290509259259259</v>
      </c>
      <c r="O116" s="30">
        <v>0.11184027777777777</v>
      </c>
      <c r="P116" s="28" t="s">
        <v>3605</v>
      </c>
      <c r="Q116" s="30">
        <v>0.11184027777777777</v>
      </c>
      <c r="R116" s="8">
        <f t="shared" si="1"/>
        <v>731</v>
      </c>
    </row>
    <row r="117" spans="1:18" ht="29.1">
      <c r="A117" s="28">
        <v>116</v>
      </c>
      <c r="B117" s="28">
        <v>67</v>
      </c>
      <c r="C117" s="32" t="s">
        <v>135</v>
      </c>
      <c r="D117" s="28" t="s">
        <v>3377</v>
      </c>
      <c r="E117" s="28"/>
      <c r="F117" s="28" t="s">
        <v>340</v>
      </c>
      <c r="G117" s="28" t="s">
        <v>341</v>
      </c>
      <c r="H117" s="28">
        <v>21</v>
      </c>
      <c r="I117" s="28" t="s">
        <v>3487</v>
      </c>
      <c r="J117" s="30">
        <v>0.10743055555555556</v>
      </c>
      <c r="K117" s="30">
        <v>8.503472222222222E-2</v>
      </c>
      <c r="L117" s="30">
        <v>9.3900462962962963E-2</v>
      </c>
      <c r="M117" s="30">
        <v>8.3599537037037042E-2</v>
      </c>
      <c r="N117" s="30">
        <v>0.1169212962962963</v>
      </c>
      <c r="O117" s="30">
        <v>0.111875</v>
      </c>
      <c r="P117" s="28" t="s">
        <v>3606</v>
      </c>
      <c r="Q117" s="30">
        <v>0.111875</v>
      </c>
      <c r="R117" s="8">
        <f t="shared" si="1"/>
        <v>730</v>
      </c>
    </row>
    <row r="118" spans="1:18" ht="29.1">
      <c r="A118" s="28">
        <v>117</v>
      </c>
      <c r="B118" s="28">
        <v>86</v>
      </c>
      <c r="C118" s="32" t="s">
        <v>135</v>
      </c>
      <c r="D118" s="28" t="s">
        <v>532</v>
      </c>
      <c r="E118" s="28"/>
      <c r="F118" s="28" t="s">
        <v>340</v>
      </c>
      <c r="G118" s="28" t="s">
        <v>341</v>
      </c>
      <c r="H118" s="28">
        <v>22</v>
      </c>
      <c r="I118" s="28" t="s">
        <v>3487</v>
      </c>
      <c r="J118" s="30">
        <v>0.10969907407407407</v>
      </c>
      <c r="K118" s="30">
        <v>8.4988425925925926E-2</v>
      </c>
      <c r="L118" s="30">
        <v>8.9467592592592599E-2</v>
      </c>
      <c r="M118" s="30">
        <v>8.4201388888888895E-2</v>
      </c>
      <c r="N118" s="30">
        <v>0.11868055555555555</v>
      </c>
      <c r="O118" s="30">
        <v>0.11204861111111111</v>
      </c>
      <c r="P118" s="28" t="s">
        <v>3607</v>
      </c>
      <c r="Q118" s="30">
        <v>0.11204861111111111</v>
      </c>
      <c r="R118" s="8">
        <f t="shared" si="1"/>
        <v>729</v>
      </c>
    </row>
    <row r="119" spans="1:18" ht="29.1">
      <c r="A119" s="28">
        <v>118</v>
      </c>
      <c r="B119" s="28">
        <v>185</v>
      </c>
      <c r="C119" s="32" t="s">
        <v>135</v>
      </c>
      <c r="D119" s="28" t="s">
        <v>790</v>
      </c>
      <c r="E119" s="28" t="s">
        <v>138</v>
      </c>
      <c r="F119" s="28" t="s">
        <v>61</v>
      </c>
      <c r="G119" s="28" t="s">
        <v>352</v>
      </c>
      <c r="H119" s="28">
        <v>67</v>
      </c>
      <c r="I119" s="28" t="s">
        <v>3478</v>
      </c>
      <c r="J119" s="30">
        <v>0.10680555555555556</v>
      </c>
      <c r="K119" s="30">
        <v>8.5312499999999999E-2</v>
      </c>
      <c r="L119" s="30">
        <v>8.7499999999999994E-2</v>
      </c>
      <c r="M119" s="30">
        <v>8.4085648148148145E-2</v>
      </c>
      <c r="N119" s="30">
        <v>0.1234837962962963</v>
      </c>
      <c r="O119" s="30">
        <v>0.1121875</v>
      </c>
      <c r="P119" s="28" t="s">
        <v>3608</v>
      </c>
      <c r="Q119" s="30">
        <v>0.1121875</v>
      </c>
      <c r="R119" s="8">
        <f t="shared" si="1"/>
        <v>728</v>
      </c>
    </row>
    <row r="120" spans="1:18" ht="29.1">
      <c r="A120" s="28">
        <v>119</v>
      </c>
      <c r="B120" s="28">
        <v>21</v>
      </c>
      <c r="C120" s="32" t="s">
        <v>135</v>
      </c>
      <c r="D120" s="28" t="s">
        <v>2173</v>
      </c>
      <c r="E120" s="28" t="s">
        <v>2174</v>
      </c>
      <c r="F120" s="28" t="s">
        <v>340</v>
      </c>
      <c r="G120" s="28" t="s">
        <v>352</v>
      </c>
      <c r="H120" s="28">
        <v>68</v>
      </c>
      <c r="I120" s="28" t="s">
        <v>3478</v>
      </c>
      <c r="J120" s="30">
        <v>0.10623842592592593</v>
      </c>
      <c r="K120" s="30">
        <v>8.5011574074074073E-2</v>
      </c>
      <c r="L120" s="30">
        <v>9.0451388888888887E-2</v>
      </c>
      <c r="M120" s="30">
        <v>8.4074074074074079E-2</v>
      </c>
      <c r="N120" s="30">
        <v>0.12168981481481482</v>
      </c>
      <c r="O120" s="30">
        <v>0.11246527777777778</v>
      </c>
      <c r="P120" s="28" t="s">
        <v>3609</v>
      </c>
      <c r="Q120" s="30">
        <v>0.11246527777777778</v>
      </c>
      <c r="R120" s="8">
        <f t="shared" si="1"/>
        <v>727</v>
      </c>
    </row>
    <row r="121" spans="1:18" ht="29.1">
      <c r="A121" s="28">
        <v>20</v>
      </c>
      <c r="B121" s="28">
        <v>35</v>
      </c>
      <c r="C121" s="32" t="s">
        <v>135</v>
      </c>
      <c r="D121" s="28" t="s">
        <v>2133</v>
      </c>
      <c r="E121" s="28" t="s">
        <v>367</v>
      </c>
      <c r="F121" s="28" t="s">
        <v>319</v>
      </c>
      <c r="G121" s="28" t="s">
        <v>159</v>
      </c>
      <c r="H121" s="28">
        <v>3</v>
      </c>
      <c r="I121" s="28" t="s">
        <v>3448</v>
      </c>
      <c r="J121" s="30">
        <v>0.11050925925925927</v>
      </c>
      <c r="K121" s="30">
        <v>8.44212962962963E-2</v>
      </c>
      <c r="L121" s="30">
        <v>8.9479166666666665E-2</v>
      </c>
      <c r="M121" s="30">
        <v>8.3958333333333329E-2</v>
      </c>
      <c r="N121" s="30">
        <v>0.1191087962962963</v>
      </c>
      <c r="O121" s="30">
        <v>0.11247685185185186</v>
      </c>
      <c r="P121" s="28" t="s">
        <v>3610</v>
      </c>
      <c r="Q121" s="30">
        <v>0.11247685185185186</v>
      </c>
      <c r="R121" s="8">
        <f t="shared" si="1"/>
        <v>726</v>
      </c>
    </row>
    <row r="122" spans="1:18" ht="29.1">
      <c r="A122" s="28">
        <v>21</v>
      </c>
      <c r="B122" s="28">
        <v>144</v>
      </c>
      <c r="C122" s="32" t="s">
        <v>135</v>
      </c>
      <c r="D122" s="28" t="s">
        <v>3345</v>
      </c>
      <c r="E122" s="28" t="s">
        <v>3511</v>
      </c>
      <c r="F122" s="28" t="s">
        <v>340</v>
      </c>
      <c r="G122" s="28" t="s">
        <v>352</v>
      </c>
      <c r="H122" s="28">
        <v>69</v>
      </c>
      <c r="I122" s="28" t="s">
        <v>3478</v>
      </c>
      <c r="J122" s="30">
        <v>0.10655092592592592</v>
      </c>
      <c r="K122" s="30">
        <v>8.4537037037037036E-2</v>
      </c>
      <c r="L122" s="30">
        <v>9.150462962962963E-2</v>
      </c>
      <c r="M122" s="30">
        <v>8.3773148148148152E-2</v>
      </c>
      <c r="N122" s="30">
        <v>0.12130787037037037</v>
      </c>
      <c r="O122" s="30">
        <v>0.11268518518518518</v>
      </c>
      <c r="P122" s="28" t="s">
        <v>3611</v>
      </c>
      <c r="Q122" s="30">
        <v>0.11268518518518518</v>
      </c>
      <c r="R122" s="8">
        <f t="shared" si="1"/>
        <v>725</v>
      </c>
    </row>
    <row r="123" spans="1:18" ht="29.1">
      <c r="A123" s="28">
        <v>22</v>
      </c>
      <c r="B123" s="28">
        <v>100</v>
      </c>
      <c r="C123" s="32" t="s">
        <v>135</v>
      </c>
      <c r="D123" s="28" t="s">
        <v>1801</v>
      </c>
      <c r="E123" s="28" t="s">
        <v>1802</v>
      </c>
      <c r="F123" s="28" t="s">
        <v>340</v>
      </c>
      <c r="G123" s="28" t="s">
        <v>357</v>
      </c>
      <c r="H123" s="28">
        <v>10</v>
      </c>
      <c r="I123" s="28" t="s">
        <v>3487</v>
      </c>
      <c r="J123" s="30">
        <v>0.10703703703703704</v>
      </c>
      <c r="K123" s="30">
        <v>8.6076388888888883E-2</v>
      </c>
      <c r="L123" s="30">
        <v>9.0682870370370372E-2</v>
      </c>
      <c r="M123" s="30">
        <v>8.4293981481481484E-2</v>
      </c>
      <c r="N123" s="30">
        <v>0.11993055555555555</v>
      </c>
      <c r="O123" s="30">
        <v>0.11302083333333333</v>
      </c>
      <c r="P123" s="28" t="s">
        <v>3612</v>
      </c>
      <c r="Q123" s="30">
        <v>0.11302083333333333</v>
      </c>
      <c r="R123" s="8">
        <f t="shared" si="1"/>
        <v>723</v>
      </c>
    </row>
    <row r="124" spans="1:18" ht="29.1">
      <c r="A124" s="28">
        <v>23</v>
      </c>
      <c r="B124" s="28">
        <v>96</v>
      </c>
      <c r="C124" s="32" t="s">
        <v>135</v>
      </c>
      <c r="D124" s="28" t="s">
        <v>1155</v>
      </c>
      <c r="E124" s="28"/>
      <c r="F124" s="28" t="s">
        <v>340</v>
      </c>
      <c r="G124" s="28" t="s">
        <v>448</v>
      </c>
      <c r="H124" s="28">
        <v>3</v>
      </c>
      <c r="I124" s="28" t="s">
        <v>3487</v>
      </c>
      <c r="J124" s="30">
        <v>0.10740740740740741</v>
      </c>
      <c r="K124" s="30">
        <v>8.5844907407407411E-2</v>
      </c>
      <c r="L124" s="30">
        <v>9.1608796296296299E-2</v>
      </c>
      <c r="M124" s="30">
        <v>8.4375000000000006E-2</v>
      </c>
      <c r="N124" s="30">
        <v>0.11877314814814814</v>
      </c>
      <c r="O124" s="30">
        <v>0.11311342592592592</v>
      </c>
      <c r="P124" s="28" t="s">
        <v>3613</v>
      </c>
      <c r="Q124" s="30">
        <v>0.11311342592592592</v>
      </c>
      <c r="R124" s="8">
        <f t="shared" si="1"/>
        <v>722</v>
      </c>
    </row>
    <row r="125" spans="1:18" ht="29.1">
      <c r="A125" s="28">
        <v>24</v>
      </c>
      <c r="B125" s="28">
        <v>186</v>
      </c>
      <c r="C125" s="32" t="s">
        <v>135</v>
      </c>
      <c r="D125" s="28" t="s">
        <v>3244</v>
      </c>
      <c r="E125" s="28"/>
      <c r="F125" s="28" t="s">
        <v>340</v>
      </c>
      <c r="G125" s="28" t="s">
        <v>352</v>
      </c>
      <c r="H125" s="28">
        <v>70</v>
      </c>
      <c r="I125" s="28" t="s">
        <v>3478</v>
      </c>
      <c r="J125" s="30">
        <v>0.10649305555555555</v>
      </c>
      <c r="K125" s="30">
        <v>8.5057870370370367E-2</v>
      </c>
      <c r="L125" s="30">
        <v>8.8888888888888892E-2</v>
      </c>
      <c r="M125" s="30">
        <v>8.4513888888888888E-2</v>
      </c>
      <c r="N125" s="30">
        <v>0.12331018518518519</v>
      </c>
      <c r="O125" s="30">
        <v>0.11326388888888889</v>
      </c>
      <c r="P125" s="28" t="s">
        <v>3614</v>
      </c>
      <c r="Q125" s="30">
        <v>0.11326388888888889</v>
      </c>
      <c r="R125" s="8">
        <f t="shared" si="1"/>
        <v>721</v>
      </c>
    </row>
    <row r="126" spans="1:18" ht="29.1">
      <c r="A126" s="28">
        <v>25</v>
      </c>
      <c r="B126" s="28">
        <v>68</v>
      </c>
      <c r="C126" s="32" t="s">
        <v>135</v>
      </c>
      <c r="D126" s="28" t="s">
        <v>264</v>
      </c>
      <c r="E126" s="28" t="s">
        <v>199</v>
      </c>
      <c r="F126" s="28" t="s">
        <v>340</v>
      </c>
      <c r="G126" s="28" t="s">
        <v>341</v>
      </c>
      <c r="H126" s="28">
        <v>23</v>
      </c>
      <c r="I126" s="28" t="s">
        <v>3487</v>
      </c>
      <c r="J126" s="30">
        <v>0.10651620370370371</v>
      </c>
      <c r="K126" s="30">
        <v>8.458333333333333E-2</v>
      </c>
      <c r="L126" s="30">
        <v>9.0034722222222224E-2</v>
      </c>
      <c r="M126" s="30">
        <v>8.3923611111111115E-2</v>
      </c>
      <c r="N126" s="30">
        <v>0.12333333333333334</v>
      </c>
      <c r="O126" s="30">
        <v>0.11337962962962964</v>
      </c>
      <c r="P126" s="28" t="s">
        <v>3615</v>
      </c>
      <c r="Q126" s="30">
        <v>0.11337962962962964</v>
      </c>
      <c r="R126" s="8">
        <f t="shared" si="1"/>
        <v>721</v>
      </c>
    </row>
    <row r="127" spans="1:18" ht="29.1">
      <c r="A127" s="28">
        <v>26</v>
      </c>
      <c r="B127" s="28">
        <v>115</v>
      </c>
      <c r="C127" s="28"/>
      <c r="D127" s="28" t="s">
        <v>3616</v>
      </c>
      <c r="E127" s="28"/>
      <c r="F127" s="28" t="s">
        <v>340</v>
      </c>
      <c r="G127" s="28" t="s">
        <v>352</v>
      </c>
      <c r="H127" s="28">
        <v>71</v>
      </c>
      <c r="I127" s="28" t="s">
        <v>3478</v>
      </c>
      <c r="J127" s="30">
        <v>0.10724537037037037</v>
      </c>
      <c r="K127" s="30">
        <v>8.5150462962962969E-2</v>
      </c>
      <c r="L127" s="30">
        <v>9.2962962962962969E-2</v>
      </c>
      <c r="M127" s="30">
        <v>8.4050925925925932E-2</v>
      </c>
      <c r="N127" s="30">
        <v>0.11921296296296297</v>
      </c>
      <c r="O127" s="30">
        <v>0.11361111111111111</v>
      </c>
      <c r="P127" s="28" t="s">
        <v>3617</v>
      </c>
      <c r="Q127" s="30">
        <v>0.11361111111111111</v>
      </c>
      <c r="R127" s="8">
        <f t="shared" si="1"/>
        <v>719</v>
      </c>
    </row>
    <row r="128" spans="1:18" ht="29.1">
      <c r="A128" s="28">
        <v>27</v>
      </c>
      <c r="B128" s="28">
        <v>90</v>
      </c>
      <c r="C128" s="32" t="s">
        <v>135</v>
      </c>
      <c r="D128" s="28" t="s">
        <v>1148</v>
      </c>
      <c r="E128" s="28" t="s">
        <v>153</v>
      </c>
      <c r="F128" s="28" t="s">
        <v>340</v>
      </c>
      <c r="G128" s="28" t="s">
        <v>357</v>
      </c>
      <c r="H128" s="28">
        <v>11</v>
      </c>
      <c r="I128" s="28" t="s">
        <v>3487</v>
      </c>
      <c r="J128" s="30">
        <v>0.10520833333333333</v>
      </c>
      <c r="K128" s="30">
        <v>8.5000000000000006E-2</v>
      </c>
      <c r="L128" s="30">
        <v>8.7835648148148149E-2</v>
      </c>
      <c r="M128" s="30">
        <v>8.3842592592592594E-2</v>
      </c>
      <c r="N128" s="30">
        <v>8.5219907407407411E-2</v>
      </c>
      <c r="O128" s="30">
        <v>0.11377314814814815</v>
      </c>
      <c r="P128" s="28" t="s">
        <v>3618</v>
      </c>
      <c r="Q128" s="30">
        <v>0.11377314814814815</v>
      </c>
      <c r="R128" s="8">
        <f t="shared" si="1"/>
        <v>718</v>
      </c>
    </row>
    <row r="129" spans="1:18" ht="29.1">
      <c r="A129" s="28">
        <v>28</v>
      </c>
      <c r="B129" s="28">
        <v>40</v>
      </c>
      <c r="C129" s="32" t="s">
        <v>135</v>
      </c>
      <c r="D129" s="28" t="s">
        <v>3619</v>
      </c>
      <c r="E129" s="28"/>
      <c r="F129" s="28" t="s">
        <v>319</v>
      </c>
      <c r="G129" s="28" t="s">
        <v>159</v>
      </c>
      <c r="H129" s="28">
        <v>4</v>
      </c>
      <c r="I129" s="28" t="s">
        <v>3448</v>
      </c>
      <c r="J129" s="30">
        <v>0.10819444444444444</v>
      </c>
      <c r="K129" s="30">
        <v>8.4849537037037043E-2</v>
      </c>
      <c r="L129" s="30">
        <v>9.0902777777777777E-2</v>
      </c>
      <c r="M129" s="30">
        <v>8.3958333333333329E-2</v>
      </c>
      <c r="N129" s="30">
        <v>0.1209837962962963</v>
      </c>
      <c r="O129" s="30">
        <v>0.11388888888888889</v>
      </c>
      <c r="P129" s="28" t="s">
        <v>3620</v>
      </c>
      <c r="Q129" s="30">
        <v>0.11388888888888889</v>
      </c>
      <c r="R129" s="8">
        <f t="shared" si="1"/>
        <v>717</v>
      </c>
    </row>
    <row r="130" spans="1:18" ht="29.1">
      <c r="A130" s="28">
        <v>29</v>
      </c>
      <c r="B130" s="28">
        <v>73</v>
      </c>
      <c r="C130" s="32" t="s">
        <v>135</v>
      </c>
      <c r="D130" s="28" t="s">
        <v>629</v>
      </c>
      <c r="E130" s="28" t="s">
        <v>3621</v>
      </c>
      <c r="F130" s="28" t="s">
        <v>340</v>
      </c>
      <c r="G130" s="28" t="s">
        <v>341</v>
      </c>
      <c r="H130" s="28">
        <v>24</v>
      </c>
      <c r="I130" s="28" t="s">
        <v>3487</v>
      </c>
      <c r="J130" s="30">
        <v>0.10672453703703703</v>
      </c>
      <c r="K130" s="30">
        <v>8.4768518518518521E-2</v>
      </c>
      <c r="L130" s="30">
        <v>9.0995370370370365E-2</v>
      </c>
      <c r="M130" s="30">
        <v>8.4201388888888895E-2</v>
      </c>
      <c r="N130" s="30">
        <v>0.12244212962962962</v>
      </c>
      <c r="O130" s="30">
        <v>0.11424768518518519</v>
      </c>
      <c r="P130" s="28" t="s">
        <v>3622</v>
      </c>
      <c r="Q130" s="30">
        <v>0.11424768518518519</v>
      </c>
      <c r="R130" s="8">
        <f t="shared" si="1"/>
        <v>715</v>
      </c>
    </row>
    <row r="131" spans="1:18" ht="29.1">
      <c r="A131" s="28">
        <v>130</v>
      </c>
      <c r="B131" s="28">
        <v>151</v>
      </c>
      <c r="C131" s="32" t="s">
        <v>135</v>
      </c>
      <c r="D131" s="28" t="s">
        <v>646</v>
      </c>
      <c r="E131" s="28" t="s">
        <v>648</v>
      </c>
      <c r="F131" s="28" t="s">
        <v>340</v>
      </c>
      <c r="G131" s="28" t="s">
        <v>352</v>
      </c>
      <c r="H131" s="28">
        <v>72</v>
      </c>
      <c r="I131" s="28" t="s">
        <v>3478</v>
      </c>
      <c r="J131" s="30">
        <v>0.10619212962962964</v>
      </c>
      <c r="K131" s="30">
        <v>8.5081018518518514E-2</v>
      </c>
      <c r="L131" s="30">
        <v>8.4918981481481484E-2</v>
      </c>
      <c r="M131" s="30">
        <v>8.3842592592592594E-2</v>
      </c>
      <c r="N131" s="30">
        <v>0.12269675925925926</v>
      </c>
      <c r="O131" s="30">
        <v>0.11467592592592593</v>
      </c>
      <c r="P131" s="28" t="s">
        <v>3623</v>
      </c>
      <c r="Q131" s="30">
        <v>0.11467592592592593</v>
      </c>
      <c r="R131" s="8">
        <f t="shared" ref="R131:R179" si="2">IFERROR(ROUND($Q$2/Q131*1000,0),0)</f>
        <v>713</v>
      </c>
    </row>
    <row r="132" spans="1:18" ht="29.1">
      <c r="A132" s="28">
        <v>131</v>
      </c>
      <c r="B132" s="28">
        <v>42</v>
      </c>
      <c r="C132" s="32" t="s">
        <v>135</v>
      </c>
      <c r="D132" s="28" t="s">
        <v>1159</v>
      </c>
      <c r="E132" s="28" t="s">
        <v>199</v>
      </c>
      <c r="F132" s="28" t="s">
        <v>319</v>
      </c>
      <c r="G132" s="28" t="s">
        <v>159</v>
      </c>
      <c r="H132" s="28">
        <v>5</v>
      </c>
      <c r="I132" s="28" t="s">
        <v>3448</v>
      </c>
      <c r="J132" s="30">
        <v>0.10645833333333334</v>
      </c>
      <c r="K132" s="30">
        <v>8.4699074074074079E-2</v>
      </c>
      <c r="L132" s="30">
        <v>8.4976851851851845E-2</v>
      </c>
      <c r="M132" s="30">
        <v>8.3738425925925924E-2</v>
      </c>
      <c r="N132" s="30">
        <v>0.12293981481481482</v>
      </c>
      <c r="O132" s="30">
        <v>0.11476851851851852</v>
      </c>
      <c r="P132" s="28" t="s">
        <v>3624</v>
      </c>
      <c r="Q132" s="30">
        <v>0.11476851851851852</v>
      </c>
      <c r="R132" s="8">
        <f t="shared" si="2"/>
        <v>712</v>
      </c>
    </row>
    <row r="133" spans="1:18" ht="29.1">
      <c r="A133" s="28">
        <v>132</v>
      </c>
      <c r="B133" s="28">
        <v>170</v>
      </c>
      <c r="C133" s="32" t="s">
        <v>135</v>
      </c>
      <c r="D133" s="28" t="s">
        <v>594</v>
      </c>
      <c r="E133" s="28" t="s">
        <v>199</v>
      </c>
      <c r="F133" s="28" t="s">
        <v>340</v>
      </c>
      <c r="G133" s="28" t="s">
        <v>352</v>
      </c>
      <c r="H133" s="28">
        <v>73</v>
      </c>
      <c r="I133" s="28" t="s">
        <v>3478</v>
      </c>
      <c r="J133" s="30">
        <v>0.10938657407407408</v>
      </c>
      <c r="K133" s="30">
        <v>8.4652777777777771E-2</v>
      </c>
      <c r="L133" s="30">
        <v>8.5370370370370374E-2</v>
      </c>
      <c r="M133" s="30">
        <v>8.3715277777777777E-2</v>
      </c>
      <c r="N133" s="30">
        <v>0.11983796296296297</v>
      </c>
      <c r="O133" s="30">
        <v>0.11491898148148148</v>
      </c>
      <c r="P133" s="28" t="s">
        <v>3625</v>
      </c>
      <c r="Q133" s="30">
        <v>0.11491898148148148</v>
      </c>
      <c r="R133" s="8">
        <f t="shared" si="2"/>
        <v>711</v>
      </c>
    </row>
    <row r="134" spans="1:18" ht="29.1">
      <c r="A134" s="28">
        <v>133</v>
      </c>
      <c r="B134" s="28">
        <v>103</v>
      </c>
      <c r="C134" s="32" t="s">
        <v>135</v>
      </c>
      <c r="D134" s="28" t="s">
        <v>305</v>
      </c>
      <c r="E134" s="28"/>
      <c r="F134" s="28" t="s">
        <v>340</v>
      </c>
      <c r="G134" s="28" t="s">
        <v>641</v>
      </c>
      <c r="H134" s="28">
        <v>4</v>
      </c>
      <c r="I134" s="28" t="s">
        <v>3487</v>
      </c>
      <c r="J134" s="30">
        <v>0.1089699074074074</v>
      </c>
      <c r="K134" s="30">
        <v>8.5092592592592595E-2</v>
      </c>
      <c r="L134" s="30">
        <v>9.0821759259259255E-2</v>
      </c>
      <c r="M134" s="30">
        <v>8.4328703703703697E-2</v>
      </c>
      <c r="N134" s="30">
        <v>0.12109953703703703</v>
      </c>
      <c r="O134" s="30">
        <v>0.1153125</v>
      </c>
      <c r="P134" s="28" t="s">
        <v>3626</v>
      </c>
      <c r="Q134" s="30">
        <v>0.1153125</v>
      </c>
      <c r="R134" s="8">
        <f t="shared" si="2"/>
        <v>709</v>
      </c>
    </row>
    <row r="135" spans="1:18" ht="29.1">
      <c r="A135" s="28">
        <v>134</v>
      </c>
      <c r="B135" s="28">
        <v>176</v>
      </c>
      <c r="C135" s="32" t="s">
        <v>135</v>
      </c>
      <c r="D135" s="28" t="s">
        <v>3627</v>
      </c>
      <c r="E135" s="28"/>
      <c r="F135" s="28" t="s">
        <v>340</v>
      </c>
      <c r="G135" s="28" t="s">
        <v>352</v>
      </c>
      <c r="H135" s="28">
        <v>74</v>
      </c>
      <c r="I135" s="28" t="s">
        <v>3478</v>
      </c>
      <c r="J135" s="30">
        <v>0.11265046296296297</v>
      </c>
      <c r="K135" s="30">
        <v>8.5601851851851846E-2</v>
      </c>
      <c r="L135" s="30">
        <v>8.8217592592592597E-2</v>
      </c>
      <c r="M135" s="30">
        <v>8.4618055555555557E-2</v>
      </c>
      <c r="N135" s="30">
        <v>0.11921296296296297</v>
      </c>
      <c r="O135" s="30">
        <v>0.11530092592592593</v>
      </c>
      <c r="P135" s="28" t="s">
        <v>3628</v>
      </c>
      <c r="Q135" s="30">
        <v>0.11530092592592593</v>
      </c>
      <c r="R135" s="8">
        <f t="shared" si="2"/>
        <v>709</v>
      </c>
    </row>
    <row r="136" spans="1:18" ht="29.1">
      <c r="A136" s="28">
        <v>135</v>
      </c>
      <c r="B136" s="28">
        <v>95</v>
      </c>
      <c r="C136" s="32" t="s">
        <v>135</v>
      </c>
      <c r="D136" s="28" t="s">
        <v>296</v>
      </c>
      <c r="E136" s="28" t="s">
        <v>199</v>
      </c>
      <c r="F136" s="28" t="s">
        <v>340</v>
      </c>
      <c r="G136" s="28" t="s">
        <v>357</v>
      </c>
      <c r="H136" s="28">
        <v>2</v>
      </c>
      <c r="I136" s="28" t="s">
        <v>3487</v>
      </c>
      <c r="J136" s="30">
        <v>0.10590277777777778</v>
      </c>
      <c r="K136" s="30">
        <v>8.5057870370370367E-2</v>
      </c>
      <c r="L136" s="30">
        <v>8.8900462962962959E-2</v>
      </c>
      <c r="M136" s="30">
        <v>8.3900462962962968E-2</v>
      </c>
      <c r="N136" s="30">
        <v>8.565972222222222E-2</v>
      </c>
      <c r="O136" s="30">
        <v>0.11609953703703704</v>
      </c>
      <c r="P136" s="28" t="s">
        <v>3629</v>
      </c>
      <c r="Q136" s="30">
        <v>0.11609953703703704</v>
      </c>
      <c r="R136" s="8">
        <f t="shared" si="2"/>
        <v>704</v>
      </c>
    </row>
    <row r="137" spans="1:18" ht="29.1">
      <c r="A137" s="28">
        <v>136</v>
      </c>
      <c r="B137" s="28">
        <v>39</v>
      </c>
      <c r="C137" s="32" t="s">
        <v>135</v>
      </c>
      <c r="D137" s="28" t="s">
        <v>1139</v>
      </c>
      <c r="E137" s="28" t="s">
        <v>173</v>
      </c>
      <c r="F137" s="28" t="s">
        <v>319</v>
      </c>
      <c r="G137" s="28" t="s">
        <v>159</v>
      </c>
      <c r="H137" s="28">
        <v>6</v>
      </c>
      <c r="I137" s="28" t="s">
        <v>3448</v>
      </c>
      <c r="J137" s="30">
        <v>0.10641203703703704</v>
      </c>
      <c r="K137" s="30">
        <v>8.548611111111111E-2</v>
      </c>
      <c r="L137" s="30">
        <v>8.4988425925925926E-2</v>
      </c>
      <c r="M137" s="30">
        <v>8.4085648148148145E-2</v>
      </c>
      <c r="N137" s="30">
        <v>0.12325231481481481</v>
      </c>
      <c r="O137" s="30">
        <v>0.11616898148148148</v>
      </c>
      <c r="P137" s="28" t="s">
        <v>3630</v>
      </c>
      <c r="Q137" s="30">
        <v>0.11616898148148148</v>
      </c>
      <c r="R137" s="8">
        <f t="shared" si="2"/>
        <v>703</v>
      </c>
    </row>
    <row r="138" spans="1:18" ht="29.1">
      <c r="A138" s="28">
        <v>137</v>
      </c>
      <c r="B138" s="28">
        <v>41</v>
      </c>
      <c r="C138" s="32" t="s">
        <v>135</v>
      </c>
      <c r="D138" s="28" t="s">
        <v>612</v>
      </c>
      <c r="E138" s="28" t="s">
        <v>138</v>
      </c>
      <c r="F138" s="28" t="s">
        <v>40</v>
      </c>
      <c r="G138" s="28" t="s">
        <v>149</v>
      </c>
      <c r="H138" s="28">
        <v>2</v>
      </c>
      <c r="I138" s="28" t="s">
        <v>3448</v>
      </c>
      <c r="J138" s="30">
        <v>0.11082175925925926</v>
      </c>
      <c r="K138" s="30">
        <v>8.532407407407408E-2</v>
      </c>
      <c r="L138" s="30">
        <v>8.6145833333333338E-2</v>
      </c>
      <c r="M138" s="30">
        <v>8.4236111111111109E-2</v>
      </c>
      <c r="N138" s="30">
        <v>8.3333333333333329E-2</v>
      </c>
      <c r="O138" s="30">
        <v>0.11651620370370371</v>
      </c>
      <c r="P138" s="28" t="s">
        <v>3631</v>
      </c>
      <c r="Q138" s="30">
        <v>0.11651620370370371</v>
      </c>
      <c r="R138" s="8">
        <f t="shared" si="2"/>
        <v>701</v>
      </c>
    </row>
    <row r="139" spans="1:18" ht="29.1">
      <c r="A139" s="28">
        <v>138</v>
      </c>
      <c r="B139" s="28">
        <v>183</v>
      </c>
      <c r="C139" s="32" t="s">
        <v>135</v>
      </c>
      <c r="D139" s="28" t="s">
        <v>3632</v>
      </c>
      <c r="E139" s="28"/>
      <c r="F139" s="28" t="s">
        <v>340</v>
      </c>
      <c r="G139" s="28" t="s">
        <v>352</v>
      </c>
      <c r="H139" s="28">
        <v>75</v>
      </c>
      <c r="I139" s="28" t="s">
        <v>3478</v>
      </c>
      <c r="J139" s="30">
        <v>0.10962962962962963</v>
      </c>
      <c r="K139" s="30">
        <v>8.5416666666666669E-2</v>
      </c>
      <c r="L139" s="30">
        <v>8.5081018518518514E-2</v>
      </c>
      <c r="M139" s="30">
        <v>8.4247685185185189E-2</v>
      </c>
      <c r="N139" s="30">
        <v>0.12041666666666667</v>
      </c>
      <c r="O139" s="30">
        <v>0.11674768518518519</v>
      </c>
      <c r="P139" s="28" t="s">
        <v>3633</v>
      </c>
      <c r="Q139" s="30">
        <v>0.11674768518518519</v>
      </c>
      <c r="R139" s="8">
        <f t="shared" si="2"/>
        <v>700</v>
      </c>
    </row>
    <row r="140" spans="1:18" ht="29.1">
      <c r="A140" s="28">
        <v>139</v>
      </c>
      <c r="B140" s="28">
        <v>197</v>
      </c>
      <c r="C140" s="32" t="s">
        <v>135</v>
      </c>
      <c r="D140" s="28" t="s">
        <v>330</v>
      </c>
      <c r="E140" s="28"/>
      <c r="F140" s="28" t="s">
        <v>340</v>
      </c>
      <c r="G140" s="28" t="s">
        <v>420</v>
      </c>
      <c r="H140" s="28">
        <v>6</v>
      </c>
      <c r="I140" s="28" t="s">
        <v>3487</v>
      </c>
      <c r="J140" s="30">
        <v>0.10524305555555556</v>
      </c>
      <c r="K140" s="30">
        <v>8.4907407407407404E-2</v>
      </c>
      <c r="L140" s="30">
        <v>8.9756944444444445E-2</v>
      </c>
      <c r="M140" s="30">
        <v>8.3958333333333329E-2</v>
      </c>
      <c r="N140" s="30">
        <v>8.6203703703703699E-2</v>
      </c>
      <c r="O140" s="30">
        <v>0.11675925925925926</v>
      </c>
      <c r="P140" s="28" t="s">
        <v>3634</v>
      </c>
      <c r="Q140" s="30">
        <v>0.11675925925925926</v>
      </c>
      <c r="R140" s="8">
        <f t="shared" si="2"/>
        <v>700</v>
      </c>
    </row>
    <row r="141" spans="1:18" ht="29.1">
      <c r="A141" s="28">
        <v>140</v>
      </c>
      <c r="B141" s="28">
        <v>77</v>
      </c>
      <c r="C141" s="32" t="s">
        <v>135</v>
      </c>
      <c r="D141" s="28" t="s">
        <v>315</v>
      </c>
      <c r="E141" s="28" t="s">
        <v>199</v>
      </c>
      <c r="F141" s="28" t="s">
        <v>340</v>
      </c>
      <c r="G141" s="28" t="s">
        <v>420</v>
      </c>
      <c r="H141" s="28">
        <v>7</v>
      </c>
      <c r="I141" s="28" t="s">
        <v>3487</v>
      </c>
      <c r="J141" s="30">
        <v>0.10760416666666667</v>
      </c>
      <c r="K141" s="30">
        <v>8.4953703703703698E-2</v>
      </c>
      <c r="L141" s="30">
        <v>9.2870370370370367E-2</v>
      </c>
      <c r="M141" s="30">
        <v>8.3923611111111115E-2</v>
      </c>
      <c r="N141" s="30">
        <v>0.12290509259259259</v>
      </c>
      <c r="O141" s="30">
        <v>0.11726851851851852</v>
      </c>
      <c r="P141" s="28" t="s">
        <v>3635</v>
      </c>
      <c r="Q141" s="30">
        <v>0.11726851851851852</v>
      </c>
      <c r="R141" s="8">
        <f t="shared" si="2"/>
        <v>697</v>
      </c>
    </row>
    <row r="142" spans="1:18" ht="29.1">
      <c r="A142" s="28">
        <v>141</v>
      </c>
      <c r="B142" s="28">
        <v>12</v>
      </c>
      <c r="C142" s="28"/>
      <c r="D142" s="28" t="s">
        <v>1746</v>
      </c>
      <c r="E142" s="28"/>
      <c r="F142" s="28" t="s">
        <v>340</v>
      </c>
      <c r="G142" s="28" t="s">
        <v>341</v>
      </c>
      <c r="H142" s="28">
        <v>25</v>
      </c>
      <c r="I142" s="28" t="s">
        <v>3487</v>
      </c>
      <c r="J142" s="30">
        <v>0.10628472222222222</v>
      </c>
      <c r="K142" s="30">
        <v>8.5069444444444448E-2</v>
      </c>
      <c r="L142" s="30">
        <v>9.28587962962963E-2</v>
      </c>
      <c r="M142" s="30">
        <v>8.4155092592592587E-2</v>
      </c>
      <c r="N142" s="30">
        <v>0.12432870370370371</v>
      </c>
      <c r="O142" s="30">
        <v>0.11780092592592592</v>
      </c>
      <c r="P142" s="28" t="s">
        <v>3636</v>
      </c>
      <c r="Q142" s="30">
        <v>0.11780092592592592</v>
      </c>
      <c r="R142" s="8">
        <f t="shared" si="2"/>
        <v>694</v>
      </c>
    </row>
    <row r="143" spans="1:18" ht="29.1">
      <c r="A143" s="28">
        <v>142</v>
      </c>
      <c r="B143" s="28">
        <v>38</v>
      </c>
      <c r="C143" s="32" t="s">
        <v>135</v>
      </c>
      <c r="D143" s="28" t="s">
        <v>868</v>
      </c>
      <c r="E143" s="28" t="s">
        <v>153</v>
      </c>
      <c r="F143" s="28" t="s">
        <v>319</v>
      </c>
      <c r="G143" s="28" t="s">
        <v>159</v>
      </c>
      <c r="H143" s="28">
        <v>7</v>
      </c>
      <c r="I143" s="28" t="s">
        <v>3448</v>
      </c>
      <c r="J143" s="30">
        <v>0.10641203703703704</v>
      </c>
      <c r="K143" s="30">
        <v>8.5752314814814809E-2</v>
      </c>
      <c r="L143" s="30">
        <v>9.4618055555555552E-2</v>
      </c>
      <c r="M143" s="30">
        <v>8.4479166666666661E-2</v>
      </c>
      <c r="N143" s="30">
        <v>0.12163194444444445</v>
      </c>
      <c r="O143" s="30">
        <v>0.11788194444444444</v>
      </c>
      <c r="P143" s="28" t="s">
        <v>3637</v>
      </c>
      <c r="Q143" s="30">
        <v>0.11788194444444444</v>
      </c>
      <c r="R143" s="8">
        <f t="shared" si="2"/>
        <v>693</v>
      </c>
    </row>
    <row r="144" spans="1:18" ht="29.1">
      <c r="A144" s="28">
        <v>143</v>
      </c>
      <c r="B144" s="28">
        <v>46</v>
      </c>
      <c r="C144" s="32" t="s">
        <v>135</v>
      </c>
      <c r="D144" s="28" t="s">
        <v>3638</v>
      </c>
      <c r="E144" s="28" t="s">
        <v>3511</v>
      </c>
      <c r="F144" s="28" t="s">
        <v>319</v>
      </c>
      <c r="G144" s="28" t="s">
        <v>159</v>
      </c>
      <c r="H144" s="28">
        <v>8</v>
      </c>
      <c r="I144" s="28" t="s">
        <v>3448</v>
      </c>
      <c r="J144" s="30">
        <v>0.10975694444444445</v>
      </c>
      <c r="K144" s="30">
        <v>8.5011574074074073E-2</v>
      </c>
      <c r="L144" s="30">
        <v>9.3159722222222227E-2</v>
      </c>
      <c r="M144" s="30">
        <v>8.4259259259259256E-2</v>
      </c>
      <c r="N144" s="30">
        <v>0.12096064814814815</v>
      </c>
      <c r="O144" s="30">
        <v>0.11815972222222222</v>
      </c>
      <c r="P144" s="28" t="s">
        <v>1797</v>
      </c>
      <c r="Q144" s="30">
        <v>0.11815972222222222</v>
      </c>
      <c r="R144" s="8">
        <f t="shared" si="2"/>
        <v>692</v>
      </c>
    </row>
    <row r="145" spans="1:18" ht="29.1">
      <c r="A145" s="28">
        <v>144</v>
      </c>
      <c r="B145" s="28">
        <v>89</v>
      </c>
      <c r="C145" s="32" t="s">
        <v>135</v>
      </c>
      <c r="D145" s="28" t="s">
        <v>1927</v>
      </c>
      <c r="E145" s="28" t="s">
        <v>367</v>
      </c>
      <c r="F145" s="28" t="s">
        <v>340</v>
      </c>
      <c r="G145" s="28" t="s">
        <v>341</v>
      </c>
      <c r="H145" s="28">
        <v>26</v>
      </c>
      <c r="I145" s="28" t="s">
        <v>3487</v>
      </c>
      <c r="J145" s="30">
        <v>0.10626157407407408</v>
      </c>
      <c r="K145" s="30">
        <v>8.5243055555555558E-2</v>
      </c>
      <c r="L145" s="30">
        <v>9.5451388888888891E-2</v>
      </c>
      <c r="M145" s="30">
        <v>8.4236111111111109E-2</v>
      </c>
      <c r="N145" s="30">
        <v>0.12215277777777778</v>
      </c>
      <c r="O145" s="30">
        <v>0.11835648148148148</v>
      </c>
      <c r="P145" s="28" t="s">
        <v>3639</v>
      </c>
      <c r="Q145" s="30">
        <v>0.11835648148148148</v>
      </c>
      <c r="R145" s="8">
        <f t="shared" si="2"/>
        <v>690</v>
      </c>
    </row>
    <row r="146" spans="1:18" ht="29.1">
      <c r="A146" s="28">
        <v>145</v>
      </c>
      <c r="B146" s="28">
        <v>60</v>
      </c>
      <c r="C146" s="32" t="s">
        <v>135</v>
      </c>
      <c r="D146" s="28" t="s">
        <v>3640</v>
      </c>
      <c r="E146" s="28" t="s">
        <v>3482</v>
      </c>
      <c r="F146" s="28" t="s">
        <v>340</v>
      </c>
      <c r="G146" s="28" t="s">
        <v>341</v>
      </c>
      <c r="H146" s="28">
        <v>27</v>
      </c>
      <c r="I146" s="28" t="s">
        <v>3487</v>
      </c>
      <c r="J146" s="30">
        <v>0.11262731481481482</v>
      </c>
      <c r="K146" s="30">
        <v>8.4745370370370374E-2</v>
      </c>
      <c r="L146" s="30">
        <v>9.0949074074074071E-2</v>
      </c>
      <c r="M146" s="30">
        <v>8.4212962962962962E-2</v>
      </c>
      <c r="N146" s="30">
        <v>0.12074074074074075</v>
      </c>
      <c r="O146" s="30">
        <v>0.11839120370370371</v>
      </c>
      <c r="P146" s="28" t="s">
        <v>3641</v>
      </c>
      <c r="Q146" s="30">
        <v>0.11839120370370371</v>
      </c>
      <c r="R146" s="8">
        <f t="shared" si="2"/>
        <v>690</v>
      </c>
    </row>
    <row r="147" spans="1:18" ht="29.1">
      <c r="A147" s="28">
        <v>146</v>
      </c>
      <c r="B147" s="28">
        <v>182</v>
      </c>
      <c r="C147" s="32" t="s">
        <v>135</v>
      </c>
      <c r="D147" s="28" t="s">
        <v>3642</v>
      </c>
      <c r="E147" s="28"/>
      <c r="F147" s="28" t="s">
        <v>340</v>
      </c>
      <c r="G147" s="28" t="s">
        <v>352</v>
      </c>
      <c r="H147" s="28">
        <v>76</v>
      </c>
      <c r="I147" s="28" t="s">
        <v>3478</v>
      </c>
      <c r="J147" s="30">
        <v>0.10627314814814814</v>
      </c>
      <c r="K147" s="30">
        <v>8.549768518518519E-2</v>
      </c>
      <c r="L147" s="30">
        <v>8.4849537037037043E-2</v>
      </c>
      <c r="M147" s="30">
        <v>8.3981481481481476E-2</v>
      </c>
      <c r="N147" s="30">
        <v>8.4259259259259256E-2</v>
      </c>
      <c r="O147" s="30">
        <v>0.11858796296296296</v>
      </c>
      <c r="P147" s="28" t="s">
        <v>3643</v>
      </c>
      <c r="Q147" s="30">
        <v>0.11858796296296296</v>
      </c>
      <c r="R147" s="8">
        <f t="shared" si="2"/>
        <v>689</v>
      </c>
    </row>
    <row r="148" spans="1:18" ht="29.1">
      <c r="A148" s="28">
        <v>147</v>
      </c>
      <c r="B148" s="28">
        <v>108</v>
      </c>
      <c r="C148" s="32" t="s">
        <v>135</v>
      </c>
      <c r="D148" s="28" t="s">
        <v>3644</v>
      </c>
      <c r="E148" s="28" t="s">
        <v>138</v>
      </c>
      <c r="F148" s="28" t="s">
        <v>83</v>
      </c>
      <c r="G148" s="28" t="s">
        <v>448</v>
      </c>
      <c r="H148" s="28">
        <v>4</v>
      </c>
      <c r="I148" s="28" t="s">
        <v>3487</v>
      </c>
      <c r="J148" s="30">
        <v>0.10753472222222223</v>
      </c>
      <c r="K148" s="30">
        <v>8.4976851851851845E-2</v>
      </c>
      <c r="L148" s="30">
        <v>9.0995370370370365E-2</v>
      </c>
      <c r="M148" s="30">
        <v>8.4270833333333336E-2</v>
      </c>
      <c r="N148" s="30">
        <v>8.4560185185185183E-2</v>
      </c>
      <c r="O148" s="30">
        <v>0.11912037037037038</v>
      </c>
      <c r="P148" s="28" t="s">
        <v>3645</v>
      </c>
      <c r="Q148" s="30">
        <v>0.11912037037037038</v>
      </c>
      <c r="R148" s="8">
        <f t="shared" si="2"/>
        <v>686</v>
      </c>
    </row>
    <row r="149" spans="1:18" ht="29.1">
      <c r="A149" s="28">
        <v>148</v>
      </c>
      <c r="B149" s="28">
        <v>149</v>
      </c>
      <c r="C149" s="32" t="s">
        <v>135</v>
      </c>
      <c r="D149" s="28" t="s">
        <v>442</v>
      </c>
      <c r="E149" s="28" t="s">
        <v>3646</v>
      </c>
      <c r="F149" s="28" t="s">
        <v>340</v>
      </c>
      <c r="G149" s="28" t="s">
        <v>352</v>
      </c>
      <c r="H149" s="28">
        <v>77</v>
      </c>
      <c r="I149" s="28" t="s">
        <v>3478</v>
      </c>
      <c r="J149" s="30">
        <v>0.10575231481481481</v>
      </c>
      <c r="K149" s="30">
        <v>8.5914351851851853E-2</v>
      </c>
      <c r="L149" s="30">
        <v>9.6909722222222217E-2</v>
      </c>
      <c r="M149" s="30">
        <v>8.4479166666666661E-2</v>
      </c>
      <c r="N149" s="30">
        <v>0.12128472222222222</v>
      </c>
      <c r="O149" s="30">
        <v>0.11935185185185185</v>
      </c>
      <c r="P149" s="28" t="s">
        <v>3647</v>
      </c>
      <c r="Q149" s="30">
        <v>0.11935185185185185</v>
      </c>
      <c r="R149" s="8">
        <f t="shared" si="2"/>
        <v>685</v>
      </c>
    </row>
    <row r="150" spans="1:18" ht="29.1">
      <c r="A150" s="28">
        <v>149</v>
      </c>
      <c r="B150" s="28">
        <v>110</v>
      </c>
      <c r="C150" s="32" t="s">
        <v>135</v>
      </c>
      <c r="D150" s="28" t="s">
        <v>3648</v>
      </c>
      <c r="E150" s="28" t="s">
        <v>199</v>
      </c>
      <c r="F150" s="28" t="s">
        <v>340</v>
      </c>
      <c r="G150" s="28" t="s">
        <v>641</v>
      </c>
      <c r="H150" s="28">
        <v>5</v>
      </c>
      <c r="I150" s="28" t="s">
        <v>3487</v>
      </c>
      <c r="J150" s="30">
        <v>0.10520833333333333</v>
      </c>
      <c r="K150" s="30">
        <v>8.4513888888888888E-2</v>
      </c>
      <c r="L150" s="30">
        <v>8.998842592592593E-2</v>
      </c>
      <c r="M150" s="30">
        <v>8.4120370370370373E-2</v>
      </c>
      <c r="N150" s="30">
        <v>8.9386574074074077E-2</v>
      </c>
      <c r="O150" s="30">
        <v>0.11989583333333333</v>
      </c>
      <c r="P150" s="28" t="s">
        <v>3649</v>
      </c>
      <c r="Q150" s="30">
        <v>0.11989583333333333</v>
      </c>
      <c r="R150" s="8">
        <f t="shared" si="2"/>
        <v>682</v>
      </c>
    </row>
    <row r="151" spans="1:18" ht="29.1">
      <c r="A151" s="28">
        <v>150</v>
      </c>
      <c r="B151" s="28">
        <v>50</v>
      </c>
      <c r="C151" s="32" t="s">
        <v>135</v>
      </c>
      <c r="D151" s="28" t="s">
        <v>2460</v>
      </c>
      <c r="E151" s="28" t="s">
        <v>2426</v>
      </c>
      <c r="F151" s="28" t="s">
        <v>319</v>
      </c>
      <c r="G151" s="28" t="s">
        <v>159</v>
      </c>
      <c r="H151" s="28">
        <v>9</v>
      </c>
      <c r="I151" s="28" t="s">
        <v>3448</v>
      </c>
      <c r="J151" s="30">
        <v>0.1108912037037037</v>
      </c>
      <c r="K151" s="30">
        <v>8.5578703703703699E-2</v>
      </c>
      <c r="L151" s="30">
        <v>9.375E-2</v>
      </c>
      <c r="M151" s="30">
        <v>8.396990740740741E-2</v>
      </c>
      <c r="N151" s="30">
        <v>0.12103009259259259</v>
      </c>
      <c r="O151" s="30">
        <v>0.12023148148148148</v>
      </c>
      <c r="P151" s="28" t="s">
        <v>3650</v>
      </c>
      <c r="Q151" s="30">
        <v>0.12023148148148148</v>
      </c>
      <c r="R151" s="8">
        <f t="shared" si="2"/>
        <v>680</v>
      </c>
    </row>
    <row r="152" spans="1:18" ht="29.1">
      <c r="A152" s="28">
        <v>151</v>
      </c>
      <c r="B152" s="28">
        <v>192</v>
      </c>
      <c r="C152" s="32" t="s">
        <v>135</v>
      </c>
      <c r="D152" s="28" t="s">
        <v>1111</v>
      </c>
      <c r="E152" s="28" t="s">
        <v>199</v>
      </c>
      <c r="F152" s="28" t="s">
        <v>319</v>
      </c>
      <c r="G152" s="28" t="s">
        <v>159</v>
      </c>
      <c r="H152" s="28">
        <v>10</v>
      </c>
      <c r="I152" s="28" t="s">
        <v>3448</v>
      </c>
      <c r="J152" s="30">
        <v>0.10949074074074074</v>
      </c>
      <c r="K152" s="30">
        <v>8.5196759259259264E-2</v>
      </c>
      <c r="L152" s="30">
        <v>9.4259259259259265E-2</v>
      </c>
      <c r="M152" s="30">
        <v>8.4108796296296293E-2</v>
      </c>
      <c r="N152" s="30">
        <v>0.12224537037037037</v>
      </c>
      <c r="O152" s="30">
        <v>0.12030092592592592</v>
      </c>
      <c r="P152" s="28" t="s">
        <v>3651</v>
      </c>
      <c r="Q152" s="30">
        <v>0.12030092592592592</v>
      </c>
      <c r="R152" s="8">
        <f t="shared" si="2"/>
        <v>679</v>
      </c>
    </row>
    <row r="153" spans="1:18" ht="29.1">
      <c r="A153" s="28">
        <v>152</v>
      </c>
      <c r="B153" s="28">
        <v>117</v>
      </c>
      <c r="C153" s="32" t="s">
        <v>135</v>
      </c>
      <c r="D153" s="28" t="s">
        <v>1164</v>
      </c>
      <c r="E153" s="28" t="s">
        <v>3652</v>
      </c>
      <c r="F153" s="28" t="s">
        <v>340</v>
      </c>
      <c r="G153" s="28" t="s">
        <v>352</v>
      </c>
      <c r="H153" s="28">
        <v>78</v>
      </c>
      <c r="I153" s="28" t="s">
        <v>3478</v>
      </c>
      <c r="J153" s="30">
        <v>0.10648148148148148</v>
      </c>
      <c r="K153" s="30">
        <v>8.4942129629629631E-2</v>
      </c>
      <c r="L153" s="30">
        <v>9.3449074074074073E-2</v>
      </c>
      <c r="M153" s="30">
        <v>8.3831018518518513E-2</v>
      </c>
      <c r="N153" s="30">
        <v>8.5752314814814809E-2</v>
      </c>
      <c r="O153" s="30">
        <v>0.12113425925925926</v>
      </c>
      <c r="P153" s="28" t="s">
        <v>3653</v>
      </c>
      <c r="Q153" s="30">
        <v>0.12113425925925926</v>
      </c>
      <c r="R153" s="8">
        <f t="shared" si="2"/>
        <v>675</v>
      </c>
    </row>
    <row r="154" spans="1:18" ht="29.1">
      <c r="A154" s="28">
        <v>153</v>
      </c>
      <c r="B154" s="28">
        <v>47</v>
      </c>
      <c r="C154" s="32" t="s">
        <v>135</v>
      </c>
      <c r="D154" s="28" t="s">
        <v>935</v>
      </c>
      <c r="E154" s="28" t="s">
        <v>138</v>
      </c>
      <c r="F154" s="28" t="s">
        <v>68</v>
      </c>
      <c r="G154" s="28" t="s">
        <v>159</v>
      </c>
      <c r="H154" s="28">
        <v>11</v>
      </c>
      <c r="I154" s="28" t="s">
        <v>3448</v>
      </c>
      <c r="J154" s="30">
        <v>0.10563657407407408</v>
      </c>
      <c r="K154" s="30">
        <v>8.5381944444444441E-2</v>
      </c>
      <c r="L154" s="30">
        <v>9.9548611111111115E-2</v>
      </c>
      <c r="M154" s="30">
        <v>8.3738425925925924E-2</v>
      </c>
      <c r="N154" s="30">
        <v>0.12199074074074075</v>
      </c>
      <c r="O154" s="30">
        <v>0.12129629629629629</v>
      </c>
      <c r="P154" s="28" t="s">
        <v>3654</v>
      </c>
      <c r="Q154" s="30">
        <v>0.12129629629629629</v>
      </c>
      <c r="R154" s="8">
        <f t="shared" si="2"/>
        <v>674</v>
      </c>
    </row>
    <row r="155" spans="1:18" ht="29.1">
      <c r="A155" s="28">
        <v>154</v>
      </c>
      <c r="B155" s="28">
        <v>49</v>
      </c>
      <c r="C155" s="32" t="s">
        <v>135</v>
      </c>
      <c r="D155" s="28" t="s">
        <v>597</v>
      </c>
      <c r="E155" s="28" t="s">
        <v>1378</v>
      </c>
      <c r="F155" s="28" t="s">
        <v>319</v>
      </c>
      <c r="G155" s="28" t="s">
        <v>159</v>
      </c>
      <c r="H155" s="28">
        <v>2</v>
      </c>
      <c r="I155" s="28" t="s">
        <v>3448</v>
      </c>
      <c r="J155" s="30">
        <v>0.10689814814814814</v>
      </c>
      <c r="K155" s="30">
        <v>8.4988425925925926E-2</v>
      </c>
      <c r="L155" s="30">
        <v>9.6631944444444451E-2</v>
      </c>
      <c r="M155" s="30">
        <v>8.4074074074074079E-2</v>
      </c>
      <c r="N155" s="30">
        <v>0.12418981481481481</v>
      </c>
      <c r="O155" s="30">
        <v>0.12179398148148148</v>
      </c>
      <c r="P155" s="28" t="s">
        <v>3655</v>
      </c>
      <c r="Q155" s="30">
        <v>0.12179398148148148</v>
      </c>
      <c r="R155" s="8">
        <f t="shared" si="2"/>
        <v>671</v>
      </c>
    </row>
    <row r="156" spans="1:18" ht="29.1">
      <c r="A156" s="28">
        <v>155</v>
      </c>
      <c r="B156" s="28">
        <v>177</v>
      </c>
      <c r="C156" s="32" t="s">
        <v>135</v>
      </c>
      <c r="D156" s="28" t="s">
        <v>659</v>
      </c>
      <c r="E156" s="28" t="s">
        <v>1478</v>
      </c>
      <c r="F156" s="28" t="s">
        <v>340</v>
      </c>
      <c r="G156" s="28" t="s">
        <v>352</v>
      </c>
      <c r="H156" s="28">
        <v>79</v>
      </c>
      <c r="I156" s="28" t="s">
        <v>3478</v>
      </c>
      <c r="J156" s="30">
        <v>0.10630787037037037</v>
      </c>
      <c r="K156" s="30">
        <v>8.5069444444444448E-2</v>
      </c>
      <c r="L156" s="30">
        <v>9.7638888888888886E-2</v>
      </c>
      <c r="M156" s="30">
        <v>8.4398148148148153E-2</v>
      </c>
      <c r="N156" s="30">
        <v>0.12440972222222223</v>
      </c>
      <c r="O156" s="30">
        <v>0.12283564814814815</v>
      </c>
      <c r="P156" s="28" t="s">
        <v>3656</v>
      </c>
      <c r="Q156" s="30">
        <v>0.12283564814814815</v>
      </c>
      <c r="R156" s="8">
        <f t="shared" si="2"/>
        <v>665</v>
      </c>
    </row>
    <row r="157" spans="1:18" ht="29.1">
      <c r="A157" s="28">
        <v>156</v>
      </c>
      <c r="B157" s="28">
        <v>190</v>
      </c>
      <c r="C157" s="32" t="s">
        <v>135</v>
      </c>
      <c r="D157" s="28" t="s">
        <v>3657</v>
      </c>
      <c r="E157" s="28"/>
      <c r="F157" s="28" t="s">
        <v>340</v>
      </c>
      <c r="G157" s="28" t="s">
        <v>341</v>
      </c>
      <c r="H157" s="28">
        <v>28</v>
      </c>
      <c r="I157" s="28" t="s">
        <v>3478</v>
      </c>
      <c r="J157" s="30">
        <v>0.11167824074074074</v>
      </c>
      <c r="K157" s="30">
        <v>8.5706018518518515E-2</v>
      </c>
      <c r="L157" s="30">
        <v>9.4328703703703706E-2</v>
      </c>
      <c r="M157" s="30">
        <v>8.4178240740740734E-2</v>
      </c>
      <c r="N157" s="30">
        <v>0.1221875</v>
      </c>
      <c r="O157" s="30">
        <v>0.1230787037037037</v>
      </c>
      <c r="P157" s="28" t="s">
        <v>3658</v>
      </c>
      <c r="Q157" s="30">
        <v>0.1230787037037037</v>
      </c>
      <c r="R157" s="8">
        <f t="shared" si="2"/>
        <v>664</v>
      </c>
    </row>
    <row r="158" spans="1:18" ht="29.1">
      <c r="A158" s="28">
        <v>157</v>
      </c>
      <c r="B158" s="28">
        <v>189</v>
      </c>
      <c r="C158" s="32" t="s">
        <v>135</v>
      </c>
      <c r="D158" s="28" t="s">
        <v>3659</v>
      </c>
      <c r="E158" s="28"/>
      <c r="F158" s="28" t="s">
        <v>340</v>
      </c>
      <c r="G158" s="28" t="s">
        <v>357</v>
      </c>
      <c r="H158" s="28">
        <v>13</v>
      </c>
      <c r="I158" s="28" t="s">
        <v>3478</v>
      </c>
      <c r="J158" s="30">
        <v>0.114375</v>
      </c>
      <c r="K158" s="30">
        <v>8.458333333333333E-2</v>
      </c>
      <c r="L158" s="30">
        <v>8.5069444444444448E-2</v>
      </c>
      <c r="M158" s="30">
        <v>8.3888888888888888E-2</v>
      </c>
      <c r="N158" s="30">
        <v>0.12320601851851852</v>
      </c>
      <c r="O158" s="30">
        <v>0.1230787037037037</v>
      </c>
      <c r="P158" s="28" t="s">
        <v>3660</v>
      </c>
      <c r="Q158" s="30">
        <v>0.1230787037037037</v>
      </c>
      <c r="R158" s="8">
        <f t="shared" si="2"/>
        <v>664</v>
      </c>
    </row>
    <row r="159" spans="1:18" ht="29.1">
      <c r="A159" s="28">
        <v>158</v>
      </c>
      <c r="B159" s="28">
        <v>64</v>
      </c>
      <c r="C159" s="32" t="s">
        <v>135</v>
      </c>
      <c r="D159" s="28" t="s">
        <v>308</v>
      </c>
      <c r="E159" s="28"/>
      <c r="F159" s="28" t="s">
        <v>340</v>
      </c>
      <c r="G159" s="28" t="s">
        <v>420</v>
      </c>
      <c r="H159" s="28">
        <v>8</v>
      </c>
      <c r="I159" s="28" t="s">
        <v>3487</v>
      </c>
      <c r="J159" s="30">
        <v>0.10609953703703703</v>
      </c>
      <c r="K159" s="30">
        <v>8.5694444444444448E-2</v>
      </c>
      <c r="L159" s="30">
        <v>9.5601851851851855E-2</v>
      </c>
      <c r="M159" s="30">
        <v>8.4363425925925925E-2</v>
      </c>
      <c r="N159" s="30">
        <v>8.4675925925925932E-2</v>
      </c>
      <c r="O159" s="30">
        <v>0.12310185185185185</v>
      </c>
      <c r="P159" s="28" t="s">
        <v>3661</v>
      </c>
      <c r="Q159" s="30">
        <v>0.12310185185185185</v>
      </c>
      <c r="R159" s="8">
        <f t="shared" si="2"/>
        <v>664</v>
      </c>
    </row>
    <row r="160" spans="1:18" ht="29.1">
      <c r="A160" s="28">
        <v>159</v>
      </c>
      <c r="B160" s="28">
        <v>167</v>
      </c>
      <c r="C160" s="32" t="s">
        <v>135</v>
      </c>
      <c r="D160" s="28" t="s">
        <v>3662</v>
      </c>
      <c r="E160" s="28" t="s">
        <v>3663</v>
      </c>
      <c r="F160" s="28" t="s">
        <v>340</v>
      </c>
      <c r="G160" s="28" t="s">
        <v>352</v>
      </c>
      <c r="H160" s="28">
        <v>80</v>
      </c>
      <c r="I160" s="28" t="s">
        <v>3478</v>
      </c>
      <c r="J160" s="30">
        <v>0.11217592592592593</v>
      </c>
      <c r="K160" s="30">
        <v>8.5173611111111117E-2</v>
      </c>
      <c r="L160" s="30">
        <v>9.4166666666666662E-2</v>
      </c>
      <c r="M160" s="30">
        <v>8.4201388888888895E-2</v>
      </c>
      <c r="N160" s="30">
        <v>0.12299768518518518</v>
      </c>
      <c r="O160" s="30">
        <v>0.12372685185185185</v>
      </c>
      <c r="P160" s="28" t="s">
        <v>3664</v>
      </c>
      <c r="Q160" s="30">
        <v>0.12372685185185185</v>
      </c>
      <c r="R160" s="8">
        <f t="shared" si="2"/>
        <v>660</v>
      </c>
    </row>
    <row r="161" spans="1:18" ht="29.1">
      <c r="A161" s="28">
        <v>160</v>
      </c>
      <c r="B161" s="28">
        <v>152</v>
      </c>
      <c r="C161" s="32" t="s">
        <v>135</v>
      </c>
      <c r="D161" s="28" t="s">
        <v>2557</v>
      </c>
      <c r="E161" s="28"/>
      <c r="F161" s="28" t="s">
        <v>340</v>
      </c>
      <c r="G161" s="28" t="s">
        <v>352</v>
      </c>
      <c r="H161" s="28">
        <v>81</v>
      </c>
      <c r="I161" s="28" t="s">
        <v>3478</v>
      </c>
      <c r="J161" s="30">
        <v>0.1057175925925926</v>
      </c>
      <c r="K161" s="30">
        <v>8.4976851851851845E-2</v>
      </c>
      <c r="L161" s="30">
        <v>0.10125000000000001</v>
      </c>
      <c r="M161" s="30">
        <v>8.4027777777777785E-2</v>
      </c>
      <c r="N161" s="30">
        <v>0.12306712962962962</v>
      </c>
      <c r="O161" s="30">
        <v>0.12405092592592593</v>
      </c>
      <c r="P161" s="28" t="s">
        <v>3665</v>
      </c>
      <c r="Q161" s="30">
        <v>0.12405092592592593</v>
      </c>
      <c r="R161" s="8">
        <f t="shared" si="2"/>
        <v>659</v>
      </c>
    </row>
    <row r="162" spans="1:18" ht="29.1">
      <c r="A162" s="28">
        <v>161</v>
      </c>
      <c r="B162" s="28">
        <v>101</v>
      </c>
      <c r="C162" s="32" t="s">
        <v>135</v>
      </c>
      <c r="D162" s="28" t="s">
        <v>578</v>
      </c>
      <c r="E162" s="28"/>
      <c r="F162" s="28" t="s">
        <v>340</v>
      </c>
      <c r="G162" s="28" t="s">
        <v>341</v>
      </c>
      <c r="H162" s="28">
        <v>29</v>
      </c>
      <c r="I162" s="28" t="s">
        <v>3487</v>
      </c>
      <c r="J162" s="30">
        <v>0.10853009259259259</v>
      </c>
      <c r="K162" s="30">
        <v>8.5405092592592588E-2</v>
      </c>
      <c r="L162" s="30">
        <v>9.5532407407407413E-2</v>
      </c>
      <c r="M162" s="30">
        <v>8.4351851851851858E-2</v>
      </c>
      <c r="N162" s="30">
        <v>8.3958333333333329E-2</v>
      </c>
      <c r="O162" s="30">
        <v>0.12432870370370371</v>
      </c>
      <c r="P162" s="28" t="s">
        <v>3666</v>
      </c>
      <c r="Q162" s="30">
        <v>0.12432870370370371</v>
      </c>
      <c r="R162" s="8">
        <f t="shared" si="2"/>
        <v>657</v>
      </c>
    </row>
    <row r="163" spans="1:18" ht="29.1">
      <c r="A163" s="28">
        <v>162</v>
      </c>
      <c r="B163" s="28">
        <v>80</v>
      </c>
      <c r="C163" s="32" t="s">
        <v>135</v>
      </c>
      <c r="D163" s="28" t="s">
        <v>2608</v>
      </c>
      <c r="E163" s="28"/>
      <c r="F163" s="28" t="s">
        <v>340</v>
      </c>
      <c r="G163" s="28" t="s">
        <v>357</v>
      </c>
      <c r="H163" s="28">
        <v>14</v>
      </c>
      <c r="I163" s="28" t="s">
        <v>3487</v>
      </c>
      <c r="J163" s="30">
        <v>0.10599537037037036</v>
      </c>
      <c r="K163" s="30">
        <v>8.5243055555555558E-2</v>
      </c>
      <c r="L163" s="30">
        <v>9.9212962962962961E-2</v>
      </c>
      <c r="M163" s="30">
        <v>8.44212962962963E-2</v>
      </c>
      <c r="N163" s="30">
        <v>0.12460648148148148</v>
      </c>
      <c r="O163" s="30">
        <v>0.12447916666666667</v>
      </c>
      <c r="P163" s="28" t="s">
        <v>3667</v>
      </c>
      <c r="Q163" s="30">
        <v>0.12447916666666667</v>
      </c>
      <c r="R163" s="8">
        <f t="shared" si="2"/>
        <v>656</v>
      </c>
    </row>
    <row r="164" spans="1:18" ht="29.1">
      <c r="A164" s="28">
        <v>163</v>
      </c>
      <c r="B164" s="28">
        <v>155</v>
      </c>
      <c r="C164" s="32" t="s">
        <v>135</v>
      </c>
      <c r="D164" s="28" t="s">
        <v>3668</v>
      </c>
      <c r="E164" s="28" t="s">
        <v>1378</v>
      </c>
      <c r="F164" s="28" t="s">
        <v>340</v>
      </c>
      <c r="G164" s="28" t="s">
        <v>352</v>
      </c>
      <c r="H164" s="28">
        <v>82</v>
      </c>
      <c r="I164" s="28" t="s">
        <v>3478</v>
      </c>
      <c r="J164" s="30">
        <v>0.1127662037037037</v>
      </c>
      <c r="K164" s="30">
        <v>8.4722222222222227E-2</v>
      </c>
      <c r="L164" s="30">
        <v>8.5150462962962969E-2</v>
      </c>
      <c r="M164" s="30">
        <v>8.4548611111111116E-2</v>
      </c>
      <c r="N164" s="30">
        <v>8.3750000000000005E-2</v>
      </c>
      <c r="O164" s="30">
        <v>0.12454861111111111</v>
      </c>
      <c r="P164" s="28" t="s">
        <v>3669</v>
      </c>
      <c r="Q164" s="30">
        <v>0.12454861111111111</v>
      </c>
      <c r="R164" s="8">
        <f t="shared" si="2"/>
        <v>656</v>
      </c>
    </row>
    <row r="165" spans="1:18" ht="29.1">
      <c r="A165" s="28">
        <v>164</v>
      </c>
      <c r="B165" s="28">
        <v>57</v>
      </c>
      <c r="C165" s="32" t="s">
        <v>135</v>
      </c>
      <c r="D165" s="28" t="s">
        <v>1930</v>
      </c>
      <c r="E165" s="28" t="s">
        <v>1931</v>
      </c>
      <c r="F165" s="28" t="s">
        <v>340</v>
      </c>
      <c r="G165" s="28" t="s">
        <v>341</v>
      </c>
      <c r="H165" s="28">
        <v>30</v>
      </c>
      <c r="I165" s="28" t="s">
        <v>3487</v>
      </c>
      <c r="J165" s="30">
        <v>0.11266203703703703</v>
      </c>
      <c r="K165" s="30">
        <v>8.4930555555555551E-2</v>
      </c>
      <c r="L165" s="30">
        <v>9.2835648148148153E-2</v>
      </c>
      <c r="M165" s="30">
        <v>8.3622685185185189E-2</v>
      </c>
      <c r="N165" s="30">
        <v>8.4652777777777771E-2</v>
      </c>
      <c r="O165" s="30">
        <v>8.369212962962963E-2</v>
      </c>
      <c r="P165" s="28" t="s">
        <v>3670</v>
      </c>
      <c r="Q165" s="30">
        <v>8.369212962962963E-2</v>
      </c>
      <c r="R165" s="8">
        <f t="shared" si="2"/>
        <v>976</v>
      </c>
    </row>
    <row r="166" spans="1:18" ht="29.1">
      <c r="A166" s="28">
        <v>165</v>
      </c>
      <c r="B166" s="28">
        <v>143</v>
      </c>
      <c r="C166" s="32" t="s">
        <v>135</v>
      </c>
      <c r="D166" s="28" t="s">
        <v>3671</v>
      </c>
      <c r="E166" s="28"/>
      <c r="F166" s="28" t="s">
        <v>340</v>
      </c>
      <c r="G166" s="28" t="s">
        <v>352</v>
      </c>
      <c r="H166" s="28">
        <v>83</v>
      </c>
      <c r="I166" s="28" t="s">
        <v>3478</v>
      </c>
      <c r="J166" s="30">
        <v>0.11252314814814815</v>
      </c>
      <c r="K166" s="30">
        <v>8.5289351851851852E-2</v>
      </c>
      <c r="L166" s="30">
        <v>9.4594907407407405E-2</v>
      </c>
      <c r="M166" s="30">
        <v>8.4247685185185189E-2</v>
      </c>
      <c r="N166" s="30">
        <v>0.12378472222222223</v>
      </c>
      <c r="O166" s="30">
        <v>8.3784722222222219E-2</v>
      </c>
      <c r="P166" s="28" t="s">
        <v>3672</v>
      </c>
      <c r="Q166" s="30">
        <v>8.3784722222222219E-2</v>
      </c>
      <c r="R166" s="8">
        <f t="shared" si="2"/>
        <v>975</v>
      </c>
    </row>
    <row r="167" spans="1:18" ht="29.1">
      <c r="A167" s="28">
        <v>166</v>
      </c>
      <c r="B167" s="28">
        <v>51</v>
      </c>
      <c r="C167" s="32" t="s">
        <v>135</v>
      </c>
      <c r="D167" s="28" t="s">
        <v>3673</v>
      </c>
      <c r="E167" s="28"/>
      <c r="F167" s="28" t="s">
        <v>319</v>
      </c>
      <c r="G167" s="28" t="s">
        <v>159</v>
      </c>
      <c r="H167" s="28">
        <v>13</v>
      </c>
      <c r="I167" s="28" t="s">
        <v>3448</v>
      </c>
      <c r="J167" s="30">
        <v>0.11271990740740741</v>
      </c>
      <c r="K167" s="30">
        <v>8.5219907407407411E-2</v>
      </c>
      <c r="L167" s="30">
        <v>9.5532407407407413E-2</v>
      </c>
      <c r="M167" s="30">
        <v>8.3981481481481476E-2</v>
      </c>
      <c r="N167" s="30">
        <v>8.3356481481481476E-2</v>
      </c>
      <c r="O167" s="30">
        <v>8.5810185185185184E-2</v>
      </c>
      <c r="P167" s="28" t="s">
        <v>3674</v>
      </c>
      <c r="Q167" s="30">
        <v>8.5810185185185184E-2</v>
      </c>
      <c r="R167" s="8">
        <f t="shared" si="2"/>
        <v>952</v>
      </c>
    </row>
    <row r="168" spans="1:18" ht="29.1">
      <c r="A168" s="28">
        <v>167</v>
      </c>
      <c r="B168" s="28">
        <v>43</v>
      </c>
      <c r="C168" s="32" t="s">
        <v>135</v>
      </c>
      <c r="D168" s="28" t="s">
        <v>955</v>
      </c>
      <c r="E168" s="28" t="s">
        <v>199</v>
      </c>
      <c r="F168" s="28" t="s">
        <v>319</v>
      </c>
      <c r="G168" s="28" t="s">
        <v>149</v>
      </c>
      <c r="H168" s="28">
        <v>3</v>
      </c>
      <c r="I168" s="28" t="s">
        <v>3448</v>
      </c>
      <c r="J168" s="30">
        <v>0.10487268518518518</v>
      </c>
      <c r="K168" s="30">
        <v>8.487268518518519E-2</v>
      </c>
      <c r="L168" s="30">
        <v>9.8634259259259255E-2</v>
      </c>
      <c r="M168" s="30">
        <v>8.3877314814814821E-2</v>
      </c>
      <c r="N168" s="30">
        <v>9.0243055555555562E-2</v>
      </c>
      <c r="O168" s="30">
        <v>8.7615740740740744E-2</v>
      </c>
      <c r="P168" s="28" t="s">
        <v>3675</v>
      </c>
      <c r="Q168" s="30">
        <v>8.7615740740740744E-2</v>
      </c>
      <c r="R168" s="8">
        <f t="shared" si="2"/>
        <v>933</v>
      </c>
    </row>
    <row r="169" spans="1:18" ht="29.1">
      <c r="A169" s="28">
        <v>168</v>
      </c>
      <c r="B169" s="28">
        <v>138</v>
      </c>
      <c r="C169" s="32" t="s">
        <v>135</v>
      </c>
      <c r="D169" s="28" t="s">
        <v>949</v>
      </c>
      <c r="E169" s="28" t="s">
        <v>3531</v>
      </c>
      <c r="F169" s="28" t="s">
        <v>340</v>
      </c>
      <c r="G169" s="28" t="s">
        <v>352</v>
      </c>
      <c r="H169" s="28">
        <v>84</v>
      </c>
      <c r="I169" s="28" t="s">
        <v>3478</v>
      </c>
      <c r="J169" s="30">
        <v>0.10671296296296297</v>
      </c>
      <c r="K169" s="30">
        <v>8.4884259259259257E-2</v>
      </c>
      <c r="L169" s="30">
        <v>9.571759259259259E-2</v>
      </c>
      <c r="M169" s="30">
        <v>8.4432870370370366E-2</v>
      </c>
      <c r="N169" s="30">
        <v>9.1006944444444446E-2</v>
      </c>
      <c r="O169" s="30">
        <v>8.7766203703703707E-2</v>
      </c>
      <c r="P169" s="28" t="s">
        <v>3676</v>
      </c>
      <c r="Q169" s="30">
        <v>8.7766203703703707E-2</v>
      </c>
      <c r="R169" s="8">
        <f t="shared" si="2"/>
        <v>931</v>
      </c>
    </row>
    <row r="170" spans="1:18" ht="29.1">
      <c r="A170" s="28">
        <v>169</v>
      </c>
      <c r="B170" s="28">
        <v>45</v>
      </c>
      <c r="C170" s="32" t="s">
        <v>135</v>
      </c>
      <c r="D170" s="28" t="s">
        <v>2676</v>
      </c>
      <c r="E170" s="28" t="s">
        <v>3511</v>
      </c>
      <c r="F170" s="28" t="s">
        <v>319</v>
      </c>
      <c r="G170" s="28" t="s">
        <v>159</v>
      </c>
      <c r="H170" s="28">
        <v>14</v>
      </c>
      <c r="I170" s="28" t="s">
        <v>3448</v>
      </c>
      <c r="J170" s="30">
        <v>0.10585648148148148</v>
      </c>
      <c r="K170" s="30">
        <v>8.5138888888888889E-2</v>
      </c>
      <c r="L170" s="30">
        <v>0.10078703703703704</v>
      </c>
      <c r="M170" s="30">
        <v>8.4432870370370366E-2</v>
      </c>
      <c r="N170" s="30">
        <v>8.6747685185185192E-2</v>
      </c>
      <c r="O170" s="30">
        <v>8.7962962962962965E-2</v>
      </c>
      <c r="P170" s="28" t="s">
        <v>3677</v>
      </c>
      <c r="Q170" s="30">
        <v>8.7962962962962965E-2</v>
      </c>
      <c r="R170" s="8">
        <f t="shared" si="2"/>
        <v>929</v>
      </c>
    </row>
    <row r="171" spans="1:18" ht="29.1">
      <c r="A171" s="28">
        <v>170</v>
      </c>
      <c r="B171" s="28">
        <v>54</v>
      </c>
      <c r="C171" s="32" t="s">
        <v>135</v>
      </c>
      <c r="D171" s="28" t="s">
        <v>3678</v>
      </c>
      <c r="E171" s="28"/>
      <c r="F171" s="28" t="s">
        <v>319</v>
      </c>
      <c r="G171" s="28" t="s">
        <v>144</v>
      </c>
      <c r="H171" s="28">
        <v>1</v>
      </c>
      <c r="I171" s="28" t="s">
        <v>3448</v>
      </c>
      <c r="J171" s="30">
        <v>0.11081018518518519</v>
      </c>
      <c r="K171" s="30">
        <v>8.5370370370370374E-2</v>
      </c>
      <c r="L171" s="30">
        <v>9.5960648148148142E-2</v>
      </c>
      <c r="M171" s="30">
        <v>8.396990740740741E-2</v>
      </c>
      <c r="N171" s="30">
        <v>8.9803240740740739E-2</v>
      </c>
      <c r="O171" s="30">
        <v>9.0925925925925924E-2</v>
      </c>
      <c r="P171" s="28" t="s">
        <v>3679</v>
      </c>
      <c r="Q171" s="30">
        <v>9.0925925925925924E-2</v>
      </c>
      <c r="R171" s="8">
        <f t="shared" si="2"/>
        <v>899</v>
      </c>
    </row>
    <row r="172" spans="1:18" ht="29.1">
      <c r="A172" s="28">
        <v>171</v>
      </c>
      <c r="B172" s="28">
        <v>48</v>
      </c>
      <c r="C172" s="32" t="s">
        <v>135</v>
      </c>
      <c r="D172" s="28" t="s">
        <v>2636</v>
      </c>
      <c r="E172" s="28"/>
      <c r="F172" s="28" t="s">
        <v>319</v>
      </c>
      <c r="G172" s="28" t="s">
        <v>159</v>
      </c>
      <c r="H172" s="28">
        <v>15</v>
      </c>
      <c r="I172" s="28" t="s">
        <v>3448</v>
      </c>
      <c r="J172" s="30">
        <v>0.11512731481481482</v>
      </c>
      <c r="K172" s="30">
        <v>8.5416666666666669E-2</v>
      </c>
      <c r="L172" s="30">
        <v>9.8842592592592593E-2</v>
      </c>
      <c r="M172" s="30">
        <v>8.4201388888888895E-2</v>
      </c>
      <c r="N172" s="30">
        <v>0.12417824074074074</v>
      </c>
      <c r="O172" s="30">
        <v>9.1087962962962968E-2</v>
      </c>
      <c r="P172" s="28" t="s">
        <v>3680</v>
      </c>
      <c r="Q172" s="30">
        <v>9.1087962962962968E-2</v>
      </c>
      <c r="R172" s="8">
        <f t="shared" si="2"/>
        <v>897</v>
      </c>
    </row>
    <row r="173" spans="1:18" ht="29.1">
      <c r="A173" s="28">
        <v>172</v>
      </c>
      <c r="B173" s="28">
        <v>157</v>
      </c>
      <c r="C173" s="32" t="s">
        <v>135</v>
      </c>
      <c r="D173" s="28" t="s">
        <v>3681</v>
      </c>
      <c r="E173" s="28" t="s">
        <v>3682</v>
      </c>
      <c r="F173" s="28" t="s">
        <v>340</v>
      </c>
      <c r="G173" s="28" t="s">
        <v>352</v>
      </c>
      <c r="H173" s="28">
        <v>85</v>
      </c>
      <c r="I173" s="28" t="s">
        <v>3478</v>
      </c>
      <c r="J173" s="30">
        <v>0.11737268518518519</v>
      </c>
      <c r="K173" s="30">
        <v>8.6331018518518515E-2</v>
      </c>
      <c r="L173" s="30">
        <v>8.4814814814814815E-2</v>
      </c>
      <c r="M173" s="30">
        <v>8.4780092592592587E-2</v>
      </c>
      <c r="N173" s="30">
        <v>8.8217592592592597E-2</v>
      </c>
      <c r="O173" s="30">
        <v>9.3587962962962956E-2</v>
      </c>
      <c r="P173" s="28" t="s">
        <v>3683</v>
      </c>
      <c r="Q173" s="30">
        <v>9.3587962962962956E-2</v>
      </c>
      <c r="R173" s="8">
        <f t="shared" si="2"/>
        <v>873</v>
      </c>
    </row>
    <row r="174" spans="1:18" ht="29.1">
      <c r="A174" s="28">
        <v>173</v>
      </c>
      <c r="B174" s="28">
        <v>91</v>
      </c>
      <c r="C174" s="32" t="s">
        <v>135</v>
      </c>
      <c r="D174" s="28" t="s">
        <v>1203</v>
      </c>
      <c r="E174" s="28"/>
      <c r="F174" s="28" t="s">
        <v>340</v>
      </c>
      <c r="G174" s="28" t="s">
        <v>448</v>
      </c>
      <c r="H174" s="28">
        <v>5</v>
      </c>
      <c r="I174" s="28" t="s">
        <v>3487</v>
      </c>
      <c r="J174" s="30">
        <v>0.11255787037037036</v>
      </c>
      <c r="K174" s="30">
        <v>8.5462962962962963E-2</v>
      </c>
      <c r="L174" s="30">
        <v>9.824074074074074E-2</v>
      </c>
      <c r="M174" s="30">
        <v>8.3912037037037035E-2</v>
      </c>
      <c r="N174" s="30">
        <v>8.8854166666666665E-2</v>
      </c>
      <c r="O174" s="30">
        <v>9.4016203703703699E-2</v>
      </c>
      <c r="P174" s="28" t="s">
        <v>3684</v>
      </c>
      <c r="Q174" s="30">
        <v>9.4016203703703699E-2</v>
      </c>
      <c r="R174" s="8">
        <f t="shared" si="2"/>
        <v>869</v>
      </c>
    </row>
    <row r="175" spans="1:18" ht="29.1">
      <c r="A175" s="28">
        <v>174</v>
      </c>
      <c r="B175" s="28">
        <v>52</v>
      </c>
      <c r="C175" s="32" t="s">
        <v>135</v>
      </c>
      <c r="D175" s="28" t="s">
        <v>1199</v>
      </c>
      <c r="E175" s="28" t="s">
        <v>173</v>
      </c>
      <c r="F175" s="28" t="s">
        <v>319</v>
      </c>
      <c r="G175" s="28" t="s">
        <v>242</v>
      </c>
      <c r="H175" s="28">
        <v>1</v>
      </c>
      <c r="I175" s="28" t="s">
        <v>3448</v>
      </c>
      <c r="J175" s="30">
        <v>0.11415509259259259</v>
      </c>
      <c r="K175" s="30">
        <v>8.5381944444444441E-2</v>
      </c>
      <c r="L175" s="30">
        <v>9.9247685185185189E-2</v>
      </c>
      <c r="M175" s="30">
        <v>8.4444444444444447E-2</v>
      </c>
      <c r="N175" s="30">
        <v>8.8310185185185186E-2</v>
      </c>
      <c r="O175" s="30">
        <v>9.6539351851851848E-2</v>
      </c>
      <c r="P175" s="28" t="s">
        <v>3685</v>
      </c>
      <c r="Q175" s="30">
        <v>9.6539351851851848E-2</v>
      </c>
      <c r="R175" s="8">
        <f t="shared" si="2"/>
        <v>846</v>
      </c>
    </row>
    <row r="176" spans="1:18" ht="29.1">
      <c r="A176" s="28">
        <v>175</v>
      </c>
      <c r="B176" s="28">
        <v>70</v>
      </c>
      <c r="C176" s="32" t="s">
        <v>135</v>
      </c>
      <c r="D176" s="28" t="s">
        <v>3686</v>
      </c>
      <c r="E176" s="28" t="s">
        <v>199</v>
      </c>
      <c r="F176" s="28" t="s">
        <v>340</v>
      </c>
      <c r="G176" s="28" t="s">
        <v>341</v>
      </c>
      <c r="H176" s="28">
        <v>31</v>
      </c>
      <c r="I176" s="28" t="s">
        <v>3487</v>
      </c>
      <c r="J176" s="30">
        <v>0.11494212962962963</v>
      </c>
      <c r="K176" s="30">
        <v>8.5474537037037043E-2</v>
      </c>
      <c r="L176" s="30">
        <v>9.9293981481481483E-2</v>
      </c>
      <c r="M176" s="30">
        <v>8.4212962962962962E-2</v>
      </c>
      <c r="N176" s="30">
        <v>8.987268518518518E-2</v>
      </c>
      <c r="O176" s="30">
        <v>9.8796296296296299E-2</v>
      </c>
      <c r="P176" s="28" t="s">
        <v>3687</v>
      </c>
      <c r="Q176" s="30">
        <v>9.8796296296296299E-2</v>
      </c>
      <c r="R176" s="8">
        <f t="shared" si="2"/>
        <v>827</v>
      </c>
    </row>
    <row r="177" spans="1:18" ht="29.1">
      <c r="A177" s="28">
        <v>176</v>
      </c>
      <c r="B177" s="28">
        <v>93</v>
      </c>
      <c r="C177" s="32" t="s">
        <v>135</v>
      </c>
      <c r="D177" s="28" t="s">
        <v>3688</v>
      </c>
      <c r="E177" s="28" t="s">
        <v>3511</v>
      </c>
      <c r="F177" s="28" t="s">
        <v>340</v>
      </c>
      <c r="G177" s="28" t="s">
        <v>641</v>
      </c>
      <c r="H177" s="28">
        <v>6</v>
      </c>
      <c r="I177" s="28" t="s">
        <v>3487</v>
      </c>
      <c r="J177" s="30">
        <v>8.5358796296296294E-2</v>
      </c>
      <c r="K177" s="30">
        <v>8.5891203703703706E-2</v>
      </c>
      <c r="L177" s="30">
        <v>0.10324074074074074</v>
      </c>
      <c r="M177" s="30">
        <v>8.3993055555555557E-2</v>
      </c>
      <c r="N177" s="30">
        <v>8.8506944444444444E-2</v>
      </c>
      <c r="O177" s="30">
        <v>0.1136574074074074</v>
      </c>
      <c r="P177" s="28" t="s">
        <v>3689</v>
      </c>
      <c r="Q177" s="30">
        <v>0.1136574074074074</v>
      </c>
      <c r="R177" s="8">
        <f t="shared" si="2"/>
        <v>719</v>
      </c>
    </row>
    <row r="178" spans="1:18" ht="29.1">
      <c r="A178" s="28" t="s">
        <v>683</v>
      </c>
      <c r="B178" s="28">
        <v>81</v>
      </c>
      <c r="C178" s="32" t="s">
        <v>135</v>
      </c>
      <c r="D178" s="28" t="s">
        <v>2054</v>
      </c>
      <c r="E178" s="28" t="s">
        <v>1005</v>
      </c>
      <c r="F178" s="28" t="s">
        <v>340</v>
      </c>
      <c r="G178" s="28" t="s">
        <v>624</v>
      </c>
      <c r="H178" s="28"/>
      <c r="I178" s="28" t="s">
        <v>3487</v>
      </c>
      <c r="J178" s="30">
        <v>8.7175925925925921E-2</v>
      </c>
      <c r="K178" s="28"/>
      <c r="L178" s="28"/>
      <c r="M178" s="28"/>
      <c r="N178" s="28"/>
      <c r="O178" s="28" t="s">
        <v>686</v>
      </c>
      <c r="P178" s="28"/>
      <c r="Q178" s="28"/>
      <c r="R178" s="8">
        <f t="shared" si="2"/>
        <v>0</v>
      </c>
    </row>
    <row r="179" spans="1:18" ht="29.1">
      <c r="A179" s="28" t="s">
        <v>683</v>
      </c>
      <c r="B179" s="28">
        <v>28</v>
      </c>
      <c r="C179" s="32" t="s">
        <v>135</v>
      </c>
      <c r="D179" s="28" t="s">
        <v>191</v>
      </c>
      <c r="E179" s="28" t="s">
        <v>138</v>
      </c>
      <c r="F179" s="28" t="s">
        <v>26</v>
      </c>
      <c r="G179" s="28" t="s">
        <v>352</v>
      </c>
      <c r="H179" s="28"/>
      <c r="I179" s="28" t="s">
        <v>3448</v>
      </c>
      <c r="J179" s="30">
        <v>0.10300925925925926</v>
      </c>
      <c r="K179" s="30">
        <v>8.4479166666666661E-2</v>
      </c>
      <c r="L179" s="30">
        <v>8.414351851851852E-2</v>
      </c>
      <c r="M179" s="30">
        <v>8.4004629629629624E-2</v>
      </c>
      <c r="N179" s="28"/>
      <c r="O179" s="28" t="s">
        <v>686</v>
      </c>
      <c r="P179" s="28"/>
      <c r="Q179" s="28"/>
      <c r="R179" s="8">
        <f t="shared" si="2"/>
        <v>0</v>
      </c>
    </row>
    <row r="180" spans="1:18">
      <c r="A180" s="28"/>
      <c r="B180" s="28"/>
      <c r="C180" s="32"/>
      <c r="D180" s="28"/>
      <c r="E180" s="28"/>
      <c r="F180" s="28"/>
      <c r="G180" s="28"/>
      <c r="H180" s="28"/>
      <c r="I180" s="28"/>
      <c r="J180" s="30"/>
      <c r="K180" s="30"/>
      <c r="L180" s="30"/>
      <c r="M180" s="30"/>
      <c r="N180" s="28"/>
      <c r="O180" s="28"/>
      <c r="P180" s="28"/>
      <c r="Q180" s="28"/>
      <c r="R180" s="14"/>
    </row>
    <row r="181" spans="1:18">
      <c r="H181" s="15"/>
      <c r="I181" s="15"/>
      <c r="J181" s="15"/>
      <c r="K181" s="20"/>
      <c r="L181" s="15"/>
      <c r="M181" s="11"/>
      <c r="N181" s="15"/>
      <c r="O181" s="20"/>
      <c r="P181" s="15"/>
      <c r="Q181" s="8"/>
      <c r="R181" s="14"/>
    </row>
    <row r="182" spans="1:18" ht="29.1">
      <c r="A182" s="31" t="s">
        <v>121</v>
      </c>
      <c r="B182" s="31" t="s">
        <v>122</v>
      </c>
      <c r="C182" s="31"/>
      <c r="D182" s="31" t="s">
        <v>123</v>
      </c>
      <c r="E182" s="31" t="s">
        <v>125</v>
      </c>
      <c r="F182" s="31" t="s">
        <v>333</v>
      </c>
      <c r="G182" s="31" t="s">
        <v>126</v>
      </c>
      <c r="H182" s="31" t="s">
        <v>127</v>
      </c>
      <c r="I182" s="31" t="s">
        <v>3446</v>
      </c>
      <c r="J182" s="31" t="s">
        <v>1023</v>
      </c>
      <c r="K182" s="31" t="s">
        <v>129</v>
      </c>
      <c r="L182" s="31" t="s">
        <v>335</v>
      </c>
      <c r="M182" s="31" t="s">
        <v>131</v>
      </c>
      <c r="N182" s="31" t="s">
        <v>336</v>
      </c>
      <c r="O182" s="31" t="s">
        <v>133</v>
      </c>
      <c r="P182" s="31" t="s">
        <v>134</v>
      </c>
      <c r="Q182" s="31" t="s">
        <v>3447</v>
      </c>
      <c r="R182" s="14"/>
    </row>
    <row r="183" spans="1:18" ht="43.5">
      <c r="A183" s="28">
        <v>1</v>
      </c>
      <c r="B183" s="28">
        <v>201</v>
      </c>
      <c r="C183" s="28"/>
      <c r="D183" s="28" t="s">
        <v>346</v>
      </c>
      <c r="E183" s="28"/>
      <c r="F183" s="28" t="s">
        <v>340</v>
      </c>
      <c r="G183" s="28" t="s">
        <v>352</v>
      </c>
      <c r="H183" s="28"/>
      <c r="I183" s="28" t="s">
        <v>3690</v>
      </c>
      <c r="J183" s="30">
        <v>8.3402777777777781E-3</v>
      </c>
      <c r="K183" s="30">
        <v>1.1655092592592591E-3</v>
      </c>
      <c r="L183" s="30">
        <v>2.4219907407407409E-2</v>
      </c>
      <c r="M183" s="30">
        <v>3.4259259259259263E-4</v>
      </c>
      <c r="N183" s="30">
        <v>1.3620370370370371E-2</v>
      </c>
      <c r="O183" s="30">
        <v>6.023148148148149E-3</v>
      </c>
      <c r="P183" s="28"/>
      <c r="Q183" s="30">
        <v>4.7685185185185185E-2</v>
      </c>
      <c r="R183" s="8">
        <f>IFERROR(ROUND($Q$183/Q183*900,0),0)</f>
        <v>900</v>
      </c>
    </row>
    <row r="184" spans="1:18" ht="43.5">
      <c r="A184" s="28">
        <v>2</v>
      </c>
      <c r="B184" s="28">
        <v>219</v>
      </c>
      <c r="C184" s="32" t="s">
        <v>135</v>
      </c>
      <c r="D184" s="28" t="s">
        <v>2056</v>
      </c>
      <c r="E184" s="28" t="s">
        <v>2057</v>
      </c>
      <c r="F184" s="28" t="s">
        <v>340</v>
      </c>
      <c r="G184" s="28" t="s">
        <v>641</v>
      </c>
      <c r="H184" s="28"/>
      <c r="I184" s="28" t="s">
        <v>3690</v>
      </c>
      <c r="J184" s="30">
        <v>7.9930555555555553E-3</v>
      </c>
      <c r="K184" s="30">
        <v>9.0509259259259243E-4</v>
      </c>
      <c r="L184" s="30">
        <v>2.4832175925925928E-2</v>
      </c>
      <c r="M184" s="30">
        <v>3.4837962962962969E-4</v>
      </c>
      <c r="N184" s="30">
        <v>1.4071759259259258E-2</v>
      </c>
      <c r="O184" s="30">
        <v>6.4861111111111118E-3</v>
      </c>
      <c r="P184" s="28">
        <v>40</v>
      </c>
      <c r="Q184" s="30">
        <v>6.4861111111111118E-3</v>
      </c>
      <c r="R184" s="8">
        <f t="shared" ref="R184:R247" si="3">IFERROR(ROUND($Q$183/Q184*900,0),0)</f>
        <v>6617</v>
      </c>
    </row>
    <row r="185" spans="1:18" ht="43.5">
      <c r="A185" s="28">
        <v>3</v>
      </c>
      <c r="B185" s="28">
        <v>202</v>
      </c>
      <c r="C185" s="32" t="s">
        <v>135</v>
      </c>
      <c r="D185" s="28" t="s">
        <v>156</v>
      </c>
      <c r="E185" s="28" t="s">
        <v>3691</v>
      </c>
      <c r="F185" s="28" t="s">
        <v>340</v>
      </c>
      <c r="G185" s="28" t="s">
        <v>352</v>
      </c>
      <c r="H185" s="28"/>
      <c r="I185" s="28" t="s">
        <v>3690</v>
      </c>
      <c r="J185" s="30">
        <v>8.3356481481481493E-3</v>
      </c>
      <c r="K185" s="30">
        <v>7.0601851851851847E-4</v>
      </c>
      <c r="L185" s="30">
        <v>2.5592592592592594E-2</v>
      </c>
      <c r="M185" s="30">
        <v>2.7662037037037038E-4</v>
      </c>
      <c r="N185" s="30">
        <v>1.4208333333333335E-2</v>
      </c>
      <c r="O185" s="30">
        <v>7.4548611111111109E-3</v>
      </c>
      <c r="P185" s="28" t="s">
        <v>3692</v>
      </c>
      <c r="Q185" s="30">
        <v>7.4548611111111109E-3</v>
      </c>
      <c r="R185" s="8">
        <f t="shared" si="3"/>
        <v>5757</v>
      </c>
    </row>
    <row r="186" spans="1:18" ht="43.5">
      <c r="A186" s="28">
        <v>4</v>
      </c>
      <c r="B186" s="28">
        <v>206</v>
      </c>
      <c r="C186" s="32" t="s">
        <v>135</v>
      </c>
      <c r="D186" s="28" t="s">
        <v>711</v>
      </c>
      <c r="E186" s="28" t="s">
        <v>713</v>
      </c>
      <c r="F186" s="28" t="s">
        <v>340</v>
      </c>
      <c r="G186" s="28" t="s">
        <v>341</v>
      </c>
      <c r="H186" s="28">
        <v>1</v>
      </c>
      <c r="I186" s="28" t="s">
        <v>3690</v>
      </c>
      <c r="J186" s="30">
        <v>9.4189814814814813E-3</v>
      </c>
      <c r="K186" s="30">
        <v>9.80324074074074E-4</v>
      </c>
      <c r="L186" s="30">
        <v>2.3480324074074074E-2</v>
      </c>
      <c r="M186" s="30">
        <v>2.9513888888888889E-4</v>
      </c>
      <c r="N186" s="30">
        <v>1.5651620370370371E-2</v>
      </c>
      <c r="O186" s="30">
        <v>8.1620370370370371E-3</v>
      </c>
      <c r="P186" s="28" t="s">
        <v>3693</v>
      </c>
      <c r="Q186" s="30">
        <v>8.1620370370370371E-3</v>
      </c>
      <c r="R186" s="8">
        <f t="shared" si="3"/>
        <v>5258</v>
      </c>
    </row>
    <row r="187" spans="1:18" ht="43.5">
      <c r="A187" s="28">
        <v>5</v>
      </c>
      <c r="B187" s="28">
        <v>204</v>
      </c>
      <c r="C187" s="32" t="s">
        <v>135</v>
      </c>
      <c r="D187" s="28" t="s">
        <v>708</v>
      </c>
      <c r="E187" s="28" t="s">
        <v>138</v>
      </c>
      <c r="F187" s="28" t="s">
        <v>33</v>
      </c>
      <c r="G187" s="28" t="s">
        <v>420</v>
      </c>
      <c r="H187" s="28">
        <v>1</v>
      </c>
      <c r="I187" s="28" t="s">
        <v>3690</v>
      </c>
      <c r="J187" s="30">
        <v>8.6701388888888887E-3</v>
      </c>
      <c r="K187" s="30">
        <v>9.2939814814814827E-4</v>
      </c>
      <c r="L187" s="30">
        <v>2.585648148148148E-2</v>
      </c>
      <c r="M187" s="30">
        <v>2.8472222222222223E-4</v>
      </c>
      <c r="N187" s="30">
        <v>1.4490740740740742E-2</v>
      </c>
      <c r="O187" s="30">
        <v>8.5671296296296294E-3</v>
      </c>
      <c r="P187" s="28" t="s">
        <v>3694</v>
      </c>
      <c r="Q187" s="30">
        <v>5.0231481481481481E-2</v>
      </c>
      <c r="R187" s="8">
        <f t="shared" si="3"/>
        <v>854</v>
      </c>
    </row>
    <row r="188" spans="1:18" ht="43.5">
      <c r="A188" s="28">
        <v>6</v>
      </c>
      <c r="B188" s="28">
        <v>223</v>
      </c>
      <c r="C188" s="32" t="s">
        <v>135</v>
      </c>
      <c r="D188" s="28" t="s">
        <v>3695</v>
      </c>
      <c r="E188" s="28" t="s">
        <v>3511</v>
      </c>
      <c r="F188" s="28" t="s">
        <v>340</v>
      </c>
      <c r="G188" s="28" t="s">
        <v>352</v>
      </c>
      <c r="H188" s="28">
        <v>1</v>
      </c>
      <c r="I188" s="28" t="s">
        <v>3690</v>
      </c>
      <c r="J188" s="30">
        <v>9.1458333333333339E-3</v>
      </c>
      <c r="K188" s="30">
        <v>1.03125E-3</v>
      </c>
      <c r="L188" s="30">
        <v>2.357407407407407E-2</v>
      </c>
      <c r="M188" s="30">
        <v>3.1944444444444446E-4</v>
      </c>
      <c r="N188" s="30">
        <v>1.653587962962963E-2</v>
      </c>
      <c r="O188" s="30">
        <v>8.9421296296296297E-3</v>
      </c>
      <c r="P188" s="28" t="s">
        <v>3696</v>
      </c>
      <c r="Q188" s="30">
        <v>8.9421296296296297E-3</v>
      </c>
      <c r="R188" s="8">
        <f t="shared" si="3"/>
        <v>4799</v>
      </c>
    </row>
    <row r="189" spans="1:18" ht="43.5">
      <c r="A189" s="28">
        <v>7</v>
      </c>
      <c r="B189" s="28">
        <v>314</v>
      </c>
      <c r="C189" s="32" t="s">
        <v>135</v>
      </c>
      <c r="D189" s="28" t="s">
        <v>3324</v>
      </c>
      <c r="E189" s="28" t="s">
        <v>3455</v>
      </c>
      <c r="F189" s="28" t="s">
        <v>54</v>
      </c>
      <c r="G189" s="28" t="s">
        <v>357</v>
      </c>
      <c r="H189" s="28">
        <v>1</v>
      </c>
      <c r="I189" s="28" t="s">
        <v>3697</v>
      </c>
      <c r="J189" s="30">
        <v>9.6134259259259263E-3</v>
      </c>
      <c r="K189" s="30">
        <v>1.017361111111111E-3</v>
      </c>
      <c r="L189" s="30">
        <v>2.5395833333333336E-2</v>
      </c>
      <c r="M189" s="30">
        <v>3.7037037037037035E-4</v>
      </c>
      <c r="N189" s="30">
        <v>1.4795138888888887E-2</v>
      </c>
      <c r="O189" s="30">
        <v>9.5277777777777791E-3</v>
      </c>
      <c r="P189" s="28" t="s">
        <v>3698</v>
      </c>
      <c r="Q189" s="30">
        <v>5.1192129629629629E-2</v>
      </c>
      <c r="R189" s="8">
        <f t="shared" si="3"/>
        <v>838</v>
      </c>
    </row>
    <row r="190" spans="1:18" ht="43.5">
      <c r="A190" s="28">
        <v>8</v>
      </c>
      <c r="B190" s="28">
        <v>209</v>
      </c>
      <c r="C190" s="28"/>
      <c r="D190" s="28" t="s">
        <v>718</v>
      </c>
      <c r="E190" s="28" t="s">
        <v>3511</v>
      </c>
      <c r="F190" s="28" t="s">
        <v>340</v>
      </c>
      <c r="G190" s="28" t="s">
        <v>352</v>
      </c>
      <c r="H190" s="28">
        <v>2</v>
      </c>
      <c r="I190" s="28" t="s">
        <v>3690</v>
      </c>
      <c r="J190" s="30">
        <v>9.8483796296296288E-3</v>
      </c>
      <c r="K190" s="30">
        <v>1.011574074074074E-3</v>
      </c>
      <c r="L190" s="30">
        <v>2.4763888888888887E-2</v>
      </c>
      <c r="M190" s="30">
        <v>3.9467592592592592E-4</v>
      </c>
      <c r="N190" s="30">
        <v>1.5339120370370371E-2</v>
      </c>
      <c r="O190" s="30">
        <v>9.6944444444444448E-3</v>
      </c>
      <c r="P190" s="28" t="s">
        <v>3061</v>
      </c>
      <c r="Q190" s="30">
        <v>9.6944444444444448E-3</v>
      </c>
      <c r="R190" s="8">
        <f t="shared" si="3"/>
        <v>4427</v>
      </c>
    </row>
    <row r="191" spans="1:18" ht="43.5">
      <c r="A191" s="28">
        <v>9</v>
      </c>
      <c r="B191" s="28">
        <v>203</v>
      </c>
      <c r="C191" s="32" t="s">
        <v>135</v>
      </c>
      <c r="D191" s="28" t="s">
        <v>698</v>
      </c>
      <c r="E191" s="28" t="s">
        <v>3457</v>
      </c>
      <c r="F191" s="28" t="s">
        <v>340</v>
      </c>
      <c r="G191" s="28" t="s">
        <v>352</v>
      </c>
      <c r="H191" s="28">
        <v>3</v>
      </c>
      <c r="I191" s="28" t="s">
        <v>3690</v>
      </c>
      <c r="J191" s="30">
        <v>1.0009259259259259E-2</v>
      </c>
      <c r="K191" s="30">
        <v>9.0162037037037034E-4</v>
      </c>
      <c r="L191" s="30">
        <v>2.5662037037037039E-2</v>
      </c>
      <c r="M191" s="30">
        <v>4.4675925925925921E-4</v>
      </c>
      <c r="N191" s="30">
        <v>1.462962962962963E-2</v>
      </c>
      <c r="O191" s="30">
        <v>9.9861111111111105E-3</v>
      </c>
      <c r="P191" s="28" t="s">
        <v>3699</v>
      </c>
      <c r="Q191" s="30">
        <v>9.9861111111111105E-3</v>
      </c>
      <c r="R191" s="8">
        <f t="shared" si="3"/>
        <v>4298</v>
      </c>
    </row>
    <row r="192" spans="1:18" ht="43.5">
      <c r="A192" s="28">
        <v>10</v>
      </c>
      <c r="B192" s="28">
        <v>284</v>
      </c>
      <c r="C192" s="32" t="s">
        <v>135</v>
      </c>
      <c r="D192" s="28" t="s">
        <v>168</v>
      </c>
      <c r="E192" s="28" t="s">
        <v>138</v>
      </c>
      <c r="F192" s="28" t="s">
        <v>53</v>
      </c>
      <c r="G192" s="28" t="s">
        <v>341</v>
      </c>
      <c r="H192" s="28">
        <v>2</v>
      </c>
      <c r="I192" s="28" t="s">
        <v>3697</v>
      </c>
      <c r="J192" s="30">
        <v>9.030092592592593E-3</v>
      </c>
      <c r="K192" s="30">
        <v>9.80324074074074E-4</v>
      </c>
      <c r="L192" s="30">
        <v>2.5499999999999998E-2</v>
      </c>
      <c r="M192" s="30">
        <v>3.9351851851851852E-4</v>
      </c>
      <c r="N192" s="30">
        <v>1.5927083333333331E-2</v>
      </c>
      <c r="O192" s="30">
        <v>1.0167824074074074E-2</v>
      </c>
      <c r="P192" s="28" t="s">
        <v>3700</v>
      </c>
      <c r="Q192" s="30">
        <v>5.1828703703703703E-2</v>
      </c>
      <c r="R192" s="8">
        <f t="shared" si="3"/>
        <v>828</v>
      </c>
    </row>
    <row r="193" spans="1:18" ht="43.5">
      <c r="A193" s="28">
        <v>11</v>
      </c>
      <c r="B193" s="28">
        <v>215</v>
      </c>
      <c r="C193" s="32" t="s">
        <v>135</v>
      </c>
      <c r="D193" s="28" t="s">
        <v>178</v>
      </c>
      <c r="E193" s="28" t="s">
        <v>158</v>
      </c>
      <c r="F193" s="28" t="s">
        <v>340</v>
      </c>
      <c r="G193" s="28" t="s">
        <v>352</v>
      </c>
      <c r="H193" s="28">
        <v>4</v>
      </c>
      <c r="I193" s="28" t="s">
        <v>3690</v>
      </c>
      <c r="J193" s="30">
        <v>7.9618055555555553E-3</v>
      </c>
      <c r="K193" s="30">
        <v>8.7037037037037042E-4</v>
      </c>
      <c r="L193" s="30">
        <v>2.7659722222222221E-2</v>
      </c>
      <c r="M193" s="30">
        <v>3.2638888888888887E-4</v>
      </c>
      <c r="N193" s="30">
        <v>1.5037037037037036E-2</v>
      </c>
      <c r="O193" s="30">
        <v>1.0189814814814815E-2</v>
      </c>
      <c r="P193" s="28" t="s">
        <v>3701</v>
      </c>
      <c r="Q193" s="30">
        <v>1.0189814814814815E-2</v>
      </c>
      <c r="R193" s="8">
        <f t="shared" si="3"/>
        <v>4212</v>
      </c>
    </row>
    <row r="194" spans="1:18" ht="43.5">
      <c r="A194" s="28">
        <v>12</v>
      </c>
      <c r="B194" s="28">
        <v>218</v>
      </c>
      <c r="C194" s="32" t="s">
        <v>135</v>
      </c>
      <c r="D194" s="28" t="s">
        <v>3702</v>
      </c>
      <c r="E194" s="28" t="s">
        <v>3703</v>
      </c>
      <c r="F194" s="28" t="s">
        <v>340</v>
      </c>
      <c r="G194" s="28" t="s">
        <v>352</v>
      </c>
      <c r="H194" s="28">
        <v>5</v>
      </c>
      <c r="I194" s="28" t="s">
        <v>3690</v>
      </c>
      <c r="J194" s="30">
        <v>8.0312500000000002E-3</v>
      </c>
      <c r="K194" s="30">
        <v>1.2256944444444444E-3</v>
      </c>
      <c r="L194" s="30">
        <v>2.7068287037037037E-2</v>
      </c>
      <c r="M194" s="30">
        <v>4.6759259259259258E-4</v>
      </c>
      <c r="N194" s="30">
        <v>1.6078703703703703E-2</v>
      </c>
      <c r="O194" s="30">
        <v>1.1207175925925926E-2</v>
      </c>
      <c r="P194" s="28" t="s">
        <v>3704</v>
      </c>
      <c r="Q194" s="30">
        <v>1.1207175925925926E-2</v>
      </c>
      <c r="R194" s="8">
        <f t="shared" si="3"/>
        <v>3829</v>
      </c>
    </row>
    <row r="195" spans="1:18" ht="43.5">
      <c r="A195" s="28">
        <v>13</v>
      </c>
      <c r="B195" s="28">
        <v>205</v>
      </c>
      <c r="C195" s="32" t="s">
        <v>135</v>
      </c>
      <c r="D195" s="28" t="s">
        <v>3705</v>
      </c>
      <c r="E195" s="28" t="s">
        <v>3511</v>
      </c>
      <c r="F195" s="28" t="s">
        <v>340</v>
      </c>
      <c r="G195" s="28" t="s">
        <v>341</v>
      </c>
      <c r="H195" s="28">
        <v>3</v>
      </c>
      <c r="I195" s="28" t="s">
        <v>3690</v>
      </c>
      <c r="J195" s="30">
        <v>1.0121527777777776E-2</v>
      </c>
      <c r="K195" s="30">
        <v>8.4143518518518519E-4</v>
      </c>
      <c r="L195" s="30">
        <v>2.6142361111111113E-2</v>
      </c>
      <c r="M195" s="30">
        <v>3.8657407407407407E-4</v>
      </c>
      <c r="N195" s="30">
        <v>1.5478009259259261E-2</v>
      </c>
      <c r="O195" s="30">
        <v>1.1306712962962963E-2</v>
      </c>
      <c r="P195" s="28" t="s">
        <v>2578</v>
      </c>
      <c r="Q195" s="30">
        <v>1.1306712962962963E-2</v>
      </c>
      <c r="R195" s="8">
        <f t="shared" si="3"/>
        <v>3796</v>
      </c>
    </row>
    <row r="196" spans="1:18" ht="43.5">
      <c r="A196" s="28">
        <v>14</v>
      </c>
      <c r="B196" s="28">
        <v>194</v>
      </c>
      <c r="C196" s="32" t="s">
        <v>135</v>
      </c>
      <c r="D196" s="28" t="s">
        <v>3706</v>
      </c>
      <c r="E196" s="28"/>
      <c r="F196" s="28" t="s">
        <v>340</v>
      </c>
      <c r="G196" s="28" t="s">
        <v>357</v>
      </c>
      <c r="H196" s="28">
        <v>2</v>
      </c>
      <c r="I196" s="28" t="s">
        <v>3697</v>
      </c>
      <c r="J196" s="30">
        <v>1.0979166666666667E-2</v>
      </c>
      <c r="K196" s="30">
        <v>1.0034722222222222E-3</v>
      </c>
      <c r="L196" s="30">
        <v>2.7565972222222221E-2</v>
      </c>
      <c r="M196" s="30">
        <v>5.9259259259259258E-4</v>
      </c>
      <c r="N196" s="30">
        <v>1.3417824074074073E-2</v>
      </c>
      <c r="O196" s="30">
        <v>1.1895833333333333E-2</v>
      </c>
      <c r="P196" s="28" t="s">
        <v>3707</v>
      </c>
      <c r="Q196" s="30">
        <v>1.1895833333333333E-2</v>
      </c>
      <c r="R196" s="8">
        <f t="shared" si="3"/>
        <v>3608</v>
      </c>
    </row>
    <row r="197" spans="1:18" ht="43.5">
      <c r="A197" s="28">
        <v>15</v>
      </c>
      <c r="B197" s="28">
        <v>307</v>
      </c>
      <c r="C197" s="28"/>
      <c r="D197" s="28" t="s">
        <v>3708</v>
      </c>
      <c r="E197" s="28"/>
      <c r="F197" s="28" t="s">
        <v>340</v>
      </c>
      <c r="G197" s="28" t="s">
        <v>352</v>
      </c>
      <c r="H197" s="28">
        <v>6</v>
      </c>
      <c r="I197" s="28" t="s">
        <v>3697</v>
      </c>
      <c r="J197" s="30">
        <v>8.564814814814815E-3</v>
      </c>
      <c r="K197" s="30">
        <v>1.1944444444444446E-3</v>
      </c>
      <c r="L197" s="30">
        <v>2.633912037037037E-2</v>
      </c>
      <c r="M197" s="30">
        <v>4.942129629629629E-4</v>
      </c>
      <c r="N197" s="30">
        <v>1.706712962962963E-2</v>
      </c>
      <c r="O197" s="30">
        <v>1.1994212962962963E-2</v>
      </c>
      <c r="P197" s="28" t="s">
        <v>3709</v>
      </c>
      <c r="Q197" s="30">
        <v>1.1994212962962963E-2</v>
      </c>
      <c r="R197" s="8">
        <f t="shared" si="3"/>
        <v>3578</v>
      </c>
    </row>
    <row r="198" spans="1:18" ht="43.5">
      <c r="A198" s="28">
        <v>16</v>
      </c>
      <c r="B198" s="28">
        <v>208</v>
      </c>
      <c r="C198" s="32" t="s">
        <v>135</v>
      </c>
      <c r="D198" s="28" t="s">
        <v>3710</v>
      </c>
      <c r="E198" s="28" t="s">
        <v>1125</v>
      </c>
      <c r="F198" s="28" t="s">
        <v>340</v>
      </c>
      <c r="G198" s="28" t="s">
        <v>341</v>
      </c>
      <c r="H198" s="28">
        <v>4</v>
      </c>
      <c r="I198" s="28" t="s">
        <v>3690</v>
      </c>
      <c r="J198" s="30">
        <v>1.0307870370370372E-2</v>
      </c>
      <c r="K198" s="30">
        <v>1.2442129629629628E-3</v>
      </c>
      <c r="L198" s="30">
        <v>2.5473379629629631E-2</v>
      </c>
      <c r="M198" s="30">
        <v>4.212962962962963E-4</v>
      </c>
      <c r="N198" s="30">
        <v>1.6261574074074074E-2</v>
      </c>
      <c r="O198" s="30">
        <v>1.2043981481481482E-2</v>
      </c>
      <c r="P198" s="28" t="s">
        <v>3711</v>
      </c>
      <c r="Q198" s="30">
        <v>1.2043981481481482E-2</v>
      </c>
      <c r="R198" s="8">
        <f t="shared" si="3"/>
        <v>3563</v>
      </c>
    </row>
    <row r="199" spans="1:18" ht="43.5">
      <c r="A199" s="28">
        <v>17</v>
      </c>
      <c r="B199" s="28">
        <v>212</v>
      </c>
      <c r="C199" s="32" t="s">
        <v>135</v>
      </c>
      <c r="D199" s="28" t="s">
        <v>756</v>
      </c>
      <c r="E199" s="28" t="s">
        <v>3511</v>
      </c>
      <c r="F199" s="28" t="s">
        <v>340</v>
      </c>
      <c r="G199" s="28" t="s">
        <v>357</v>
      </c>
      <c r="H199" s="28">
        <v>3</v>
      </c>
      <c r="I199" s="28" t="s">
        <v>3690</v>
      </c>
      <c r="J199" s="30">
        <v>1.2267361111111111E-2</v>
      </c>
      <c r="K199" s="30">
        <v>9.5949074074074068E-4</v>
      </c>
      <c r="L199" s="30">
        <v>2.5303240740740741E-2</v>
      </c>
      <c r="M199" s="30">
        <v>4.0277777777777773E-4</v>
      </c>
      <c r="N199" s="30">
        <v>1.5335648148148147E-2</v>
      </c>
      <c r="O199" s="30">
        <v>1.2604166666666666E-2</v>
      </c>
      <c r="P199" s="28" t="s">
        <v>3712</v>
      </c>
      <c r="Q199" s="30">
        <v>1.2604166666666666E-2</v>
      </c>
      <c r="R199" s="8">
        <f t="shared" si="3"/>
        <v>3405</v>
      </c>
    </row>
    <row r="200" spans="1:18" ht="43.5">
      <c r="A200" s="28">
        <v>18</v>
      </c>
      <c r="B200" s="28">
        <v>312</v>
      </c>
      <c r="C200" s="32" t="s">
        <v>135</v>
      </c>
      <c r="D200" s="28" t="s">
        <v>3713</v>
      </c>
      <c r="E200" s="28" t="s">
        <v>138</v>
      </c>
      <c r="F200" s="28" t="s">
        <v>79</v>
      </c>
      <c r="G200" s="28" t="s">
        <v>341</v>
      </c>
      <c r="H200" s="28">
        <v>5</v>
      </c>
      <c r="I200" s="28" t="s">
        <v>3697</v>
      </c>
      <c r="J200" s="30">
        <v>9.5370370370370366E-3</v>
      </c>
      <c r="K200" s="30">
        <v>1.0300925925925926E-3</v>
      </c>
      <c r="L200" s="30">
        <v>2.8017361111111111E-2</v>
      </c>
      <c r="M200" s="30">
        <v>4.7685185185185195E-4</v>
      </c>
      <c r="N200" s="30">
        <v>1.5219907407407409E-2</v>
      </c>
      <c r="O200" s="30">
        <v>1.2615740740740742E-2</v>
      </c>
      <c r="P200" s="28" t="s">
        <v>3714</v>
      </c>
      <c r="Q200" s="30">
        <v>5.4282407407407404E-2</v>
      </c>
      <c r="R200" s="8">
        <f t="shared" si="3"/>
        <v>791</v>
      </c>
    </row>
    <row r="201" spans="1:18" ht="43.5">
      <c r="A201" s="28">
        <v>19</v>
      </c>
      <c r="B201" s="28">
        <v>216</v>
      </c>
      <c r="C201" s="32" t="s">
        <v>135</v>
      </c>
      <c r="D201" s="28" t="s">
        <v>3715</v>
      </c>
      <c r="E201" s="28" t="s">
        <v>367</v>
      </c>
      <c r="F201" s="28" t="s">
        <v>340</v>
      </c>
      <c r="G201" s="28" t="s">
        <v>357</v>
      </c>
      <c r="H201" s="28">
        <v>4</v>
      </c>
      <c r="I201" s="28" t="s">
        <v>3690</v>
      </c>
      <c r="J201" s="30">
        <v>9.9606481481481473E-3</v>
      </c>
      <c r="K201" s="30">
        <v>1.181712962962963E-3</v>
      </c>
      <c r="L201" s="30">
        <v>2.6570601851851849E-2</v>
      </c>
      <c r="M201" s="30">
        <v>3.2060185185185186E-4</v>
      </c>
      <c r="N201" s="30">
        <v>1.6652777777777777E-2</v>
      </c>
      <c r="O201" s="30">
        <v>1.3021990740740738E-2</v>
      </c>
      <c r="P201" s="28" t="s">
        <v>3716</v>
      </c>
      <c r="Q201" s="30">
        <v>1.3021990740740738E-2</v>
      </c>
      <c r="R201" s="8">
        <f t="shared" si="3"/>
        <v>3296</v>
      </c>
    </row>
    <row r="202" spans="1:18" ht="43.5">
      <c r="A202" s="28">
        <v>20</v>
      </c>
      <c r="B202" s="28">
        <v>213</v>
      </c>
      <c r="C202" s="32" t="s">
        <v>135</v>
      </c>
      <c r="D202" s="28" t="s">
        <v>768</v>
      </c>
      <c r="E202" s="28" t="s">
        <v>3531</v>
      </c>
      <c r="F202" s="28" t="s">
        <v>340</v>
      </c>
      <c r="G202" s="28" t="s">
        <v>357</v>
      </c>
      <c r="H202" s="28">
        <v>5</v>
      </c>
      <c r="I202" s="28" t="s">
        <v>3690</v>
      </c>
      <c r="J202" s="30">
        <v>1.1574074074074075E-2</v>
      </c>
      <c r="K202" s="30">
        <v>1.1493055555555555E-3</v>
      </c>
      <c r="L202" s="30">
        <v>2.6193287037037036E-2</v>
      </c>
      <c r="M202" s="30">
        <v>7.7777777777777784E-4</v>
      </c>
      <c r="N202" s="30">
        <v>1.5118055555555556E-2</v>
      </c>
      <c r="O202" s="30">
        <v>1.3148148148148147E-2</v>
      </c>
      <c r="P202" s="28" t="s">
        <v>3717</v>
      </c>
      <c r="Q202" s="30">
        <v>1.3148148148148147E-2</v>
      </c>
      <c r="R202" s="8">
        <f t="shared" si="3"/>
        <v>3264</v>
      </c>
    </row>
    <row r="203" spans="1:18" ht="43.5">
      <c r="A203" s="28">
        <v>21</v>
      </c>
      <c r="B203" s="28">
        <v>320</v>
      </c>
      <c r="C203" s="32" t="s">
        <v>135</v>
      </c>
      <c r="D203" s="28" t="s">
        <v>3718</v>
      </c>
      <c r="E203" s="28" t="s">
        <v>3511</v>
      </c>
      <c r="F203" s="28" t="s">
        <v>340</v>
      </c>
      <c r="G203" s="28" t="s">
        <v>641</v>
      </c>
      <c r="H203" s="28">
        <v>1</v>
      </c>
      <c r="I203" s="28" t="s">
        <v>3697</v>
      </c>
      <c r="J203" s="30">
        <v>1.1305555555555557E-2</v>
      </c>
      <c r="K203" s="30">
        <v>1.0324074074074074E-3</v>
      </c>
      <c r="L203" s="30">
        <v>2.7152777777777779E-2</v>
      </c>
      <c r="M203" s="30">
        <v>3.5185185185185184E-4</v>
      </c>
      <c r="N203" s="30">
        <v>1.5256944444444443E-2</v>
      </c>
      <c r="O203" s="30">
        <v>1.3435185185185187E-2</v>
      </c>
      <c r="P203" s="28" t="s">
        <v>3719</v>
      </c>
      <c r="Q203" s="30">
        <v>1.3435185185185187E-2</v>
      </c>
      <c r="R203" s="8">
        <f t="shared" si="3"/>
        <v>3194</v>
      </c>
    </row>
    <row r="204" spans="1:18" ht="43.5">
      <c r="A204" s="28">
        <v>22</v>
      </c>
      <c r="B204" s="28">
        <v>214</v>
      </c>
      <c r="C204" s="32" t="s">
        <v>135</v>
      </c>
      <c r="D204" s="28" t="s">
        <v>749</v>
      </c>
      <c r="E204" s="28"/>
      <c r="F204" s="28" t="s">
        <v>340</v>
      </c>
      <c r="G204" s="28" t="s">
        <v>352</v>
      </c>
      <c r="H204" s="28">
        <v>7</v>
      </c>
      <c r="I204" s="28" t="s">
        <v>3690</v>
      </c>
      <c r="J204" s="30">
        <v>1.0126157407407408E-2</v>
      </c>
      <c r="K204" s="30">
        <v>9.4907407407407408E-4</v>
      </c>
      <c r="L204" s="30">
        <v>2.69375E-2</v>
      </c>
      <c r="M204" s="30">
        <v>5.1620370370370372E-4</v>
      </c>
      <c r="N204" s="30">
        <v>1.6599537037037034E-2</v>
      </c>
      <c r="O204" s="30">
        <v>1.3465277777777777E-2</v>
      </c>
      <c r="P204" s="28" t="s">
        <v>3720</v>
      </c>
      <c r="Q204" s="30">
        <v>1.3465277777777777E-2</v>
      </c>
      <c r="R204" s="8">
        <f t="shared" si="3"/>
        <v>3187</v>
      </c>
    </row>
    <row r="205" spans="1:18" ht="43.5">
      <c r="A205" s="28">
        <v>23</v>
      </c>
      <c r="B205" s="28">
        <v>282</v>
      </c>
      <c r="C205" s="32" t="s">
        <v>135</v>
      </c>
      <c r="D205" s="28" t="s">
        <v>3721</v>
      </c>
      <c r="E205" s="28" t="s">
        <v>3511</v>
      </c>
      <c r="F205" s="28" t="s">
        <v>340</v>
      </c>
      <c r="G205" s="28" t="s">
        <v>352</v>
      </c>
      <c r="H205" s="28">
        <v>8</v>
      </c>
      <c r="I205" s="28" t="s">
        <v>3697</v>
      </c>
      <c r="J205" s="30">
        <v>1.1315972222222222E-2</v>
      </c>
      <c r="K205" s="30">
        <v>1.4270833333333334E-3</v>
      </c>
      <c r="L205" s="30">
        <v>2.6563657407407407E-2</v>
      </c>
      <c r="M205" s="30">
        <v>6.8287037037037025E-4</v>
      </c>
      <c r="N205" s="30">
        <v>1.5298611111111112E-2</v>
      </c>
      <c r="O205" s="30">
        <v>1.3625E-2</v>
      </c>
      <c r="P205" s="28" t="s">
        <v>3722</v>
      </c>
      <c r="Q205" s="30">
        <v>1.3625E-2</v>
      </c>
      <c r="R205" s="8">
        <f t="shared" si="3"/>
        <v>3150</v>
      </c>
    </row>
    <row r="206" spans="1:18" ht="43.5">
      <c r="A206" s="28">
        <v>24</v>
      </c>
      <c r="B206" s="28">
        <v>211</v>
      </c>
      <c r="C206" s="32" t="s">
        <v>135</v>
      </c>
      <c r="D206" s="28" t="s">
        <v>3723</v>
      </c>
      <c r="E206" s="28" t="s">
        <v>3511</v>
      </c>
      <c r="F206" s="28" t="s">
        <v>340</v>
      </c>
      <c r="G206" s="28" t="s">
        <v>352</v>
      </c>
      <c r="H206" s="28">
        <v>9</v>
      </c>
      <c r="I206" s="28" t="s">
        <v>3690</v>
      </c>
      <c r="J206" s="30">
        <v>9.4618055555555549E-3</v>
      </c>
      <c r="K206" s="30">
        <v>1.2141203703703704E-3</v>
      </c>
      <c r="L206" s="30">
        <v>2.8574074074074075E-2</v>
      </c>
      <c r="M206" s="30">
        <v>3.1365740740740741E-4</v>
      </c>
      <c r="N206" s="30">
        <v>1.5966435185185184E-2</v>
      </c>
      <c r="O206" s="30">
        <v>1.3864583333333333E-2</v>
      </c>
      <c r="P206" s="28" t="s">
        <v>3724</v>
      </c>
      <c r="Q206" s="30">
        <v>1.3864583333333333E-2</v>
      </c>
      <c r="R206" s="8">
        <f t="shared" si="3"/>
        <v>3095</v>
      </c>
    </row>
    <row r="207" spans="1:18" ht="43.5">
      <c r="A207" s="28">
        <v>25</v>
      </c>
      <c r="B207" s="28">
        <v>222</v>
      </c>
      <c r="C207" s="32" t="s">
        <v>135</v>
      </c>
      <c r="D207" s="28" t="s">
        <v>780</v>
      </c>
      <c r="E207" s="28" t="s">
        <v>782</v>
      </c>
      <c r="F207" s="28" t="s">
        <v>340</v>
      </c>
      <c r="G207" s="28" t="s">
        <v>352</v>
      </c>
      <c r="H207" s="28">
        <v>10</v>
      </c>
      <c r="I207" s="28" t="s">
        <v>3690</v>
      </c>
      <c r="J207" s="30">
        <v>8.6377314814814806E-3</v>
      </c>
      <c r="K207" s="30">
        <v>1.0798611111111111E-3</v>
      </c>
      <c r="L207" s="30">
        <v>2.8490740740740737E-2</v>
      </c>
      <c r="M207" s="30">
        <v>5.7060185185185187E-4</v>
      </c>
      <c r="N207" s="30">
        <v>1.6961805555555556E-2</v>
      </c>
      <c r="O207" s="30">
        <v>1.4076388888888888E-2</v>
      </c>
      <c r="P207" s="28" t="s">
        <v>3725</v>
      </c>
      <c r="Q207" s="30">
        <v>1.4076388888888888E-2</v>
      </c>
      <c r="R207" s="8">
        <f t="shared" si="3"/>
        <v>3049</v>
      </c>
    </row>
    <row r="208" spans="1:18" ht="43.5">
      <c r="A208" s="28">
        <v>26</v>
      </c>
      <c r="B208" s="28">
        <v>367</v>
      </c>
      <c r="C208" s="32" t="s">
        <v>135</v>
      </c>
      <c r="D208" s="28" t="s">
        <v>3726</v>
      </c>
      <c r="E208" s="28"/>
      <c r="F208" s="28" t="s">
        <v>340</v>
      </c>
      <c r="G208" s="28" t="s">
        <v>641</v>
      </c>
      <c r="H208" s="28">
        <v>2</v>
      </c>
      <c r="I208" s="28" t="s">
        <v>3697</v>
      </c>
      <c r="J208" s="30">
        <v>1.1562499999999998E-2</v>
      </c>
      <c r="K208" s="30">
        <v>1.0254629629629628E-3</v>
      </c>
      <c r="L208" s="30">
        <v>2.7534722222222221E-2</v>
      </c>
      <c r="M208" s="30">
        <v>4.0046296296296293E-4</v>
      </c>
      <c r="N208" s="30">
        <v>1.5277777777777777E-2</v>
      </c>
      <c r="O208" s="30">
        <v>1.4136574074074072E-2</v>
      </c>
      <c r="P208" s="28" t="s">
        <v>3727</v>
      </c>
      <c r="Q208" s="30">
        <v>1.4136574074074072E-2</v>
      </c>
      <c r="R208" s="8">
        <f t="shared" si="3"/>
        <v>3036</v>
      </c>
    </row>
    <row r="209" spans="1:18" ht="43.5">
      <c r="A209" s="28">
        <v>27</v>
      </c>
      <c r="B209" s="28">
        <v>267</v>
      </c>
      <c r="C209" s="32" t="s">
        <v>135</v>
      </c>
      <c r="D209" s="28" t="s">
        <v>814</v>
      </c>
      <c r="E209" s="28" t="s">
        <v>252</v>
      </c>
      <c r="F209" s="28" t="s">
        <v>340</v>
      </c>
      <c r="G209" s="28" t="s">
        <v>352</v>
      </c>
      <c r="H209" s="28">
        <v>11</v>
      </c>
      <c r="I209" s="28" t="s">
        <v>3697</v>
      </c>
      <c r="J209" s="30">
        <v>1.0128472222222223E-2</v>
      </c>
      <c r="K209" s="30">
        <v>1.3287037037037037E-3</v>
      </c>
      <c r="L209" s="30">
        <v>2.7752314814814813E-2</v>
      </c>
      <c r="M209" s="30">
        <v>3.8773148148148152E-4</v>
      </c>
      <c r="N209" s="30">
        <v>1.6219907407407409E-2</v>
      </c>
      <c r="O209" s="30">
        <v>1.4152777777777778E-2</v>
      </c>
      <c r="P209" s="28" t="s">
        <v>3728</v>
      </c>
      <c r="Q209" s="30">
        <v>1.4152777777777778E-2</v>
      </c>
      <c r="R209" s="8">
        <f t="shared" si="3"/>
        <v>3032</v>
      </c>
    </row>
    <row r="210" spans="1:18" ht="43.5">
      <c r="A210" s="28">
        <v>28</v>
      </c>
      <c r="B210" s="28">
        <v>254</v>
      </c>
      <c r="C210" s="28"/>
      <c r="D210" s="28" t="s">
        <v>3729</v>
      </c>
      <c r="E210" s="28" t="s">
        <v>158</v>
      </c>
      <c r="F210" s="28" t="s">
        <v>340</v>
      </c>
      <c r="G210" s="28" t="s">
        <v>352</v>
      </c>
      <c r="H210" s="28">
        <v>12</v>
      </c>
      <c r="I210" s="28" t="s">
        <v>3697</v>
      </c>
      <c r="J210" s="30">
        <v>9.6365740740740734E-3</v>
      </c>
      <c r="K210" s="30">
        <v>1.0243055555555556E-3</v>
      </c>
      <c r="L210" s="30">
        <v>2.8636574074074075E-2</v>
      </c>
      <c r="M210" s="30">
        <v>4.1666666666666669E-4</v>
      </c>
      <c r="N210" s="30">
        <v>1.6945601851851854E-2</v>
      </c>
      <c r="O210" s="30">
        <v>1.4994212962962961E-2</v>
      </c>
      <c r="P210" s="28" t="s">
        <v>3730</v>
      </c>
      <c r="Q210" s="30">
        <v>1.4994212962962961E-2</v>
      </c>
      <c r="R210" s="8">
        <f t="shared" si="3"/>
        <v>2862</v>
      </c>
    </row>
    <row r="211" spans="1:18" ht="43.5">
      <c r="A211" s="28">
        <v>29</v>
      </c>
      <c r="B211" s="28">
        <v>217</v>
      </c>
      <c r="C211" s="32" t="s">
        <v>140</v>
      </c>
      <c r="D211" s="28" t="s">
        <v>736</v>
      </c>
      <c r="E211" s="28" t="s">
        <v>2570</v>
      </c>
      <c r="F211" s="28" t="s">
        <v>340</v>
      </c>
      <c r="G211" s="28" t="s">
        <v>641</v>
      </c>
      <c r="H211" s="28">
        <v>3</v>
      </c>
      <c r="I211" s="28" t="s">
        <v>3690</v>
      </c>
      <c r="J211" s="30">
        <v>8.7013888888888887E-3</v>
      </c>
      <c r="K211" s="30">
        <v>8.7500000000000002E-4</v>
      </c>
      <c r="L211" s="30">
        <v>2.6788194444444444E-2</v>
      </c>
      <c r="M211" s="30">
        <v>3.4953703703703704E-4</v>
      </c>
      <c r="N211" s="30">
        <v>2.0085648148148148E-2</v>
      </c>
      <c r="O211" s="30">
        <v>1.5136574074074073E-2</v>
      </c>
      <c r="P211" s="28" t="s">
        <v>3731</v>
      </c>
      <c r="Q211" s="30">
        <v>1.5136574074074073E-2</v>
      </c>
      <c r="R211" s="8">
        <f t="shared" si="3"/>
        <v>2835</v>
      </c>
    </row>
    <row r="212" spans="1:18" ht="43.5">
      <c r="A212" s="28">
        <v>30</v>
      </c>
      <c r="B212" s="28">
        <v>259</v>
      </c>
      <c r="C212" s="32" t="s">
        <v>135</v>
      </c>
      <c r="D212" s="28" t="s">
        <v>793</v>
      </c>
      <c r="E212" s="28" t="s">
        <v>3732</v>
      </c>
      <c r="F212" s="28" t="s">
        <v>340</v>
      </c>
      <c r="G212" s="28" t="s">
        <v>420</v>
      </c>
      <c r="H212" s="28">
        <v>2</v>
      </c>
      <c r="I212" s="28" t="s">
        <v>3697</v>
      </c>
      <c r="J212" s="30">
        <v>9.0115740740740729E-3</v>
      </c>
      <c r="K212" s="30">
        <v>1.1354166666666667E-3</v>
      </c>
      <c r="L212" s="30">
        <v>2.6744212962962963E-2</v>
      </c>
      <c r="M212" s="30">
        <v>3.7615740740740735E-4</v>
      </c>
      <c r="N212" s="30">
        <v>2.0322916666666666E-2</v>
      </c>
      <c r="O212" s="30">
        <v>1.5925925925925927E-2</v>
      </c>
      <c r="P212" s="28" t="s">
        <v>3733</v>
      </c>
      <c r="Q212" s="30">
        <v>1.5925925925925927E-2</v>
      </c>
      <c r="R212" s="8">
        <f t="shared" si="3"/>
        <v>2695</v>
      </c>
    </row>
    <row r="213" spans="1:18" ht="43.5">
      <c r="A213" s="28">
        <v>31</v>
      </c>
      <c r="B213" s="28">
        <v>225</v>
      </c>
      <c r="C213" s="32" t="s">
        <v>135</v>
      </c>
      <c r="D213" s="28" t="s">
        <v>784</v>
      </c>
      <c r="E213" s="28"/>
      <c r="F213" s="28" t="s">
        <v>340</v>
      </c>
      <c r="G213" s="28" t="s">
        <v>352</v>
      </c>
      <c r="H213" s="28">
        <v>13</v>
      </c>
      <c r="I213" s="28" t="s">
        <v>3690</v>
      </c>
      <c r="J213" s="30">
        <v>1.0246527777777778E-2</v>
      </c>
      <c r="K213" s="30">
        <v>1.236111111111111E-3</v>
      </c>
      <c r="L213" s="30">
        <v>2.8574074074074075E-2</v>
      </c>
      <c r="M213" s="30">
        <v>5.0000000000000012E-4</v>
      </c>
      <c r="N213" s="30">
        <v>1.7112268518518516E-2</v>
      </c>
      <c r="O213" s="30">
        <v>1.6004629629629629E-2</v>
      </c>
      <c r="P213" s="28" t="s">
        <v>3734</v>
      </c>
      <c r="Q213" s="30">
        <v>1.6004629629629629E-2</v>
      </c>
      <c r="R213" s="8">
        <f t="shared" si="3"/>
        <v>2682</v>
      </c>
    </row>
    <row r="214" spans="1:18" ht="43.5">
      <c r="A214" s="28">
        <v>32</v>
      </c>
      <c r="B214" s="28">
        <v>249</v>
      </c>
      <c r="C214" s="32" t="s">
        <v>140</v>
      </c>
      <c r="D214" s="28" t="s">
        <v>3735</v>
      </c>
      <c r="E214" s="28" t="s">
        <v>2570</v>
      </c>
      <c r="F214" s="28" t="s">
        <v>319</v>
      </c>
      <c r="G214" s="28" t="s">
        <v>144</v>
      </c>
      <c r="H214" s="28"/>
      <c r="I214" s="28" t="s">
        <v>3690</v>
      </c>
      <c r="J214" s="30">
        <v>1.0415509259259258E-2</v>
      </c>
      <c r="K214" s="30">
        <v>8.9004629629629633E-4</v>
      </c>
      <c r="L214" s="30">
        <v>2.9687500000000002E-2</v>
      </c>
      <c r="M214" s="30">
        <v>2.8703703703703703E-4</v>
      </c>
      <c r="N214" s="30">
        <v>1.6436342592592593E-2</v>
      </c>
      <c r="O214" s="30">
        <v>1.6053240740740739E-2</v>
      </c>
      <c r="P214" s="28" t="s">
        <v>3736</v>
      </c>
      <c r="Q214" s="30">
        <v>1.6053240740740739E-2</v>
      </c>
      <c r="R214" s="8">
        <f t="shared" si="3"/>
        <v>2673</v>
      </c>
    </row>
    <row r="215" spans="1:18" ht="43.5">
      <c r="A215" s="28">
        <v>33</v>
      </c>
      <c r="B215" s="28">
        <v>226</v>
      </c>
      <c r="C215" s="32" t="s">
        <v>135</v>
      </c>
      <c r="D215" s="28" t="s">
        <v>3737</v>
      </c>
      <c r="E215" s="28" t="s">
        <v>3691</v>
      </c>
      <c r="F215" s="28" t="s">
        <v>319</v>
      </c>
      <c r="G215" s="28" t="s">
        <v>149</v>
      </c>
      <c r="H215" s="28"/>
      <c r="I215" s="28" t="s">
        <v>3690</v>
      </c>
      <c r="J215" s="30">
        <v>9.8842592592592576E-3</v>
      </c>
      <c r="K215" s="30">
        <v>1.1562499999999999E-3</v>
      </c>
      <c r="L215" s="30">
        <v>2.8847222222222222E-2</v>
      </c>
      <c r="M215" s="30">
        <v>3.5300925925925924E-4</v>
      </c>
      <c r="N215" s="30">
        <v>1.7831018518518517E-2</v>
      </c>
      <c r="O215" s="30">
        <v>1.6408564814814817E-2</v>
      </c>
      <c r="P215" s="28" t="s">
        <v>3738</v>
      </c>
      <c r="Q215" s="30">
        <v>1.6408564814814817E-2</v>
      </c>
      <c r="R215" s="8">
        <f t="shared" si="3"/>
        <v>2616</v>
      </c>
    </row>
    <row r="216" spans="1:18" ht="43.5">
      <c r="A216" s="28">
        <v>34</v>
      </c>
      <c r="B216" s="28">
        <v>289</v>
      </c>
      <c r="C216" s="32" t="s">
        <v>135</v>
      </c>
      <c r="D216" s="28" t="s">
        <v>739</v>
      </c>
      <c r="E216" s="28" t="s">
        <v>3511</v>
      </c>
      <c r="F216" s="28" t="s">
        <v>340</v>
      </c>
      <c r="G216" s="28" t="s">
        <v>352</v>
      </c>
      <c r="H216" s="28">
        <v>14</v>
      </c>
      <c r="I216" s="28" t="s">
        <v>3697</v>
      </c>
      <c r="J216" s="30">
        <v>9.3599537037037037E-3</v>
      </c>
      <c r="K216" s="30">
        <v>1.1018518518518519E-3</v>
      </c>
      <c r="L216" s="30">
        <v>2.7702546296296298E-2</v>
      </c>
      <c r="M216" s="30">
        <v>4.8726851851851855E-4</v>
      </c>
      <c r="N216" s="30">
        <v>1.9561342592592592E-2</v>
      </c>
      <c r="O216" s="30">
        <v>1.6548611111111108E-2</v>
      </c>
      <c r="P216" s="28" t="s">
        <v>3739</v>
      </c>
      <c r="Q216" s="30">
        <v>1.6548611111111108E-2</v>
      </c>
      <c r="R216" s="8">
        <f t="shared" si="3"/>
        <v>2593</v>
      </c>
    </row>
    <row r="217" spans="1:18" ht="43.5">
      <c r="A217" s="28">
        <v>35</v>
      </c>
      <c r="B217" s="28">
        <v>275</v>
      </c>
      <c r="C217" s="32" t="s">
        <v>135</v>
      </c>
      <c r="D217" s="28" t="s">
        <v>2114</v>
      </c>
      <c r="E217" s="28" t="s">
        <v>138</v>
      </c>
      <c r="F217" s="28" t="s">
        <v>38</v>
      </c>
      <c r="G217" s="28" t="s">
        <v>352</v>
      </c>
      <c r="H217" s="28">
        <v>15</v>
      </c>
      <c r="I217" s="28" t="s">
        <v>3697</v>
      </c>
      <c r="J217" s="30">
        <v>1.0193287037037037E-2</v>
      </c>
      <c r="K217" s="30">
        <v>1.3935185185185188E-3</v>
      </c>
      <c r="L217" s="30">
        <v>2.90162037037037E-2</v>
      </c>
      <c r="M217" s="30">
        <v>5.5324074074074075E-4</v>
      </c>
      <c r="N217" s="30">
        <v>1.717824074074074E-2</v>
      </c>
      <c r="O217" s="30">
        <v>1.6670138888888887E-2</v>
      </c>
      <c r="P217" s="28" t="s">
        <v>3740</v>
      </c>
      <c r="Q217" s="30">
        <v>5.8333333333333334E-2</v>
      </c>
      <c r="R217" s="8">
        <f t="shared" si="3"/>
        <v>736</v>
      </c>
    </row>
    <row r="218" spans="1:18" ht="43.5">
      <c r="A218" s="28">
        <v>36</v>
      </c>
      <c r="B218" s="28">
        <v>220</v>
      </c>
      <c r="C218" s="32" t="s">
        <v>135</v>
      </c>
      <c r="D218" s="28" t="s">
        <v>3741</v>
      </c>
      <c r="E218" s="28" t="s">
        <v>153</v>
      </c>
      <c r="F218" s="28" t="s">
        <v>340</v>
      </c>
      <c r="G218" s="28" t="s">
        <v>357</v>
      </c>
      <c r="H218" s="28">
        <v>6</v>
      </c>
      <c r="I218" s="28" t="s">
        <v>3690</v>
      </c>
      <c r="J218" s="30">
        <v>9.3124999999999996E-3</v>
      </c>
      <c r="K218" s="30">
        <v>1.0648148148148147E-3</v>
      </c>
      <c r="L218" s="30">
        <v>3.0738425925925929E-2</v>
      </c>
      <c r="M218" s="30">
        <v>3.7847222222222226E-4</v>
      </c>
      <c r="N218" s="30">
        <v>1.7003472222222222E-2</v>
      </c>
      <c r="O218" s="30">
        <v>1.6833333333333332E-2</v>
      </c>
      <c r="P218" s="28" t="s">
        <v>3742</v>
      </c>
      <c r="Q218" s="30">
        <v>1.6833333333333332E-2</v>
      </c>
      <c r="R218" s="8">
        <f t="shared" si="3"/>
        <v>2550</v>
      </c>
    </row>
    <row r="219" spans="1:18" ht="43.5">
      <c r="A219" s="28">
        <v>37</v>
      </c>
      <c r="B219" s="28">
        <v>288</v>
      </c>
      <c r="C219" s="32" t="s">
        <v>135</v>
      </c>
      <c r="D219" s="28" t="s">
        <v>765</v>
      </c>
      <c r="E219" s="28" t="s">
        <v>3511</v>
      </c>
      <c r="F219" s="28" t="s">
        <v>340</v>
      </c>
      <c r="G219" s="28" t="s">
        <v>352</v>
      </c>
      <c r="H219" s="28">
        <v>16</v>
      </c>
      <c r="I219" s="28" t="s">
        <v>3697</v>
      </c>
      <c r="J219" s="30">
        <v>1.1540509259259259E-2</v>
      </c>
      <c r="K219" s="30">
        <v>9.3287037037037036E-4</v>
      </c>
      <c r="L219" s="30">
        <v>2.9872685185185183E-2</v>
      </c>
      <c r="M219" s="30">
        <v>6.076388888888889E-4</v>
      </c>
      <c r="N219" s="30">
        <v>1.5815972222222221E-2</v>
      </c>
      <c r="O219" s="30">
        <v>1.7105324074074075E-2</v>
      </c>
      <c r="P219" s="28" t="s">
        <v>3743</v>
      </c>
      <c r="Q219" s="30">
        <v>1.7105324074074075E-2</v>
      </c>
      <c r="R219" s="8">
        <f t="shared" si="3"/>
        <v>2509</v>
      </c>
    </row>
    <row r="220" spans="1:18" ht="43.5">
      <c r="A220" s="28">
        <v>38</v>
      </c>
      <c r="B220" s="28">
        <v>280</v>
      </c>
      <c r="C220" s="32" t="s">
        <v>135</v>
      </c>
      <c r="D220" s="28" t="s">
        <v>2137</v>
      </c>
      <c r="E220" s="28" t="s">
        <v>3744</v>
      </c>
      <c r="F220" s="28" t="s">
        <v>340</v>
      </c>
      <c r="G220" s="28" t="s">
        <v>352</v>
      </c>
      <c r="H220" s="28">
        <v>17</v>
      </c>
      <c r="I220" s="28" t="s">
        <v>3697</v>
      </c>
      <c r="J220" s="30">
        <v>1.3415509259259261E-2</v>
      </c>
      <c r="K220" s="30">
        <v>1.1539351851851851E-3</v>
      </c>
      <c r="L220" s="30">
        <v>2.8127314814814813E-2</v>
      </c>
      <c r="M220" s="30">
        <v>4.4560185185185192E-4</v>
      </c>
      <c r="N220" s="30">
        <v>1.6023148148148151E-2</v>
      </c>
      <c r="O220" s="30">
        <v>1.7501157407407406E-2</v>
      </c>
      <c r="P220" s="28" t="s">
        <v>3745</v>
      </c>
      <c r="Q220" s="30">
        <v>1.7501157407407406E-2</v>
      </c>
      <c r="R220" s="8">
        <f t="shared" si="3"/>
        <v>2452</v>
      </c>
    </row>
    <row r="221" spans="1:18" ht="43.5">
      <c r="A221" s="28">
        <v>39</v>
      </c>
      <c r="B221" s="28">
        <v>277</v>
      </c>
      <c r="C221" s="32" t="s">
        <v>135</v>
      </c>
      <c r="D221" s="28" t="s">
        <v>3746</v>
      </c>
      <c r="E221" s="28" t="s">
        <v>3703</v>
      </c>
      <c r="F221" s="28" t="s">
        <v>340</v>
      </c>
      <c r="G221" s="28" t="s">
        <v>641</v>
      </c>
      <c r="H221" s="28">
        <v>4</v>
      </c>
      <c r="I221" s="28" t="s">
        <v>3690</v>
      </c>
      <c r="J221" s="30">
        <v>1.1783564814814816E-2</v>
      </c>
      <c r="K221" s="30">
        <v>1.0474537037037037E-3</v>
      </c>
      <c r="L221" s="30">
        <v>2.7996527777777776E-2</v>
      </c>
      <c r="M221" s="30">
        <v>8.6458333333333341E-4</v>
      </c>
      <c r="N221" s="30">
        <v>1.7792824074074075E-2</v>
      </c>
      <c r="O221" s="30">
        <v>1.7820601851851851E-2</v>
      </c>
      <c r="P221" s="28" t="s">
        <v>3747</v>
      </c>
      <c r="Q221" s="30">
        <v>1.7820601851851851E-2</v>
      </c>
      <c r="R221" s="8">
        <f t="shared" si="3"/>
        <v>2408</v>
      </c>
    </row>
    <row r="222" spans="1:18" ht="43.5">
      <c r="A222" s="28">
        <v>40</v>
      </c>
      <c r="B222" s="28">
        <v>303</v>
      </c>
      <c r="C222" s="32" t="s">
        <v>135</v>
      </c>
      <c r="D222" s="28" t="s">
        <v>797</v>
      </c>
      <c r="E222" s="28" t="s">
        <v>799</v>
      </c>
      <c r="F222" s="28" t="s">
        <v>340</v>
      </c>
      <c r="G222" s="28" t="s">
        <v>352</v>
      </c>
      <c r="H222" s="28">
        <v>18</v>
      </c>
      <c r="I222" s="28" t="s">
        <v>3697</v>
      </c>
      <c r="J222" s="30">
        <v>9.1134259259259259E-3</v>
      </c>
      <c r="K222" s="30">
        <v>1.3831018518518517E-3</v>
      </c>
      <c r="L222" s="30">
        <v>2.9604166666666668E-2</v>
      </c>
      <c r="M222" s="30">
        <v>7.1527777777777779E-4</v>
      </c>
      <c r="N222" s="30">
        <v>1.8725694444444444E-2</v>
      </c>
      <c r="O222" s="30">
        <v>1.7877314814814815E-2</v>
      </c>
      <c r="P222" s="28" t="s">
        <v>3748</v>
      </c>
      <c r="Q222" s="30">
        <v>1.7877314814814815E-2</v>
      </c>
      <c r="R222" s="8">
        <f t="shared" si="3"/>
        <v>2401</v>
      </c>
    </row>
    <row r="223" spans="1:18" ht="43.5">
      <c r="A223" s="28">
        <v>41</v>
      </c>
      <c r="B223" s="28">
        <v>285</v>
      </c>
      <c r="C223" s="32" t="s">
        <v>135</v>
      </c>
      <c r="D223" s="28" t="s">
        <v>3749</v>
      </c>
      <c r="E223" s="28"/>
      <c r="F223" s="28" t="s">
        <v>340</v>
      </c>
      <c r="G223" s="28" t="s">
        <v>352</v>
      </c>
      <c r="H223" s="28">
        <v>19</v>
      </c>
      <c r="I223" s="28" t="s">
        <v>3697</v>
      </c>
      <c r="J223" s="30">
        <v>1.0793981481481481E-2</v>
      </c>
      <c r="K223" s="30">
        <v>1.736111111111111E-3</v>
      </c>
      <c r="L223" s="30">
        <v>2.8241898148148151E-2</v>
      </c>
      <c r="M223" s="30">
        <v>6.1921296296296301E-4</v>
      </c>
      <c r="N223" s="30">
        <v>1.855439814814815E-2</v>
      </c>
      <c r="O223" s="30">
        <v>1.828240740740741E-2</v>
      </c>
      <c r="P223" s="28" t="s">
        <v>3750</v>
      </c>
      <c r="Q223" s="30">
        <v>1.828240740740741E-2</v>
      </c>
      <c r="R223" s="8">
        <f t="shared" si="3"/>
        <v>2347</v>
      </c>
    </row>
    <row r="224" spans="1:18" ht="43.5">
      <c r="A224" s="28">
        <v>42</v>
      </c>
      <c r="B224" s="28">
        <v>292</v>
      </c>
      <c r="C224" s="32" t="s">
        <v>135</v>
      </c>
      <c r="D224" s="28" t="s">
        <v>3093</v>
      </c>
      <c r="E224" s="28" t="s">
        <v>504</v>
      </c>
      <c r="F224" s="28" t="s">
        <v>340</v>
      </c>
      <c r="G224" s="28" t="s">
        <v>357</v>
      </c>
      <c r="H224" s="28">
        <v>7</v>
      </c>
      <c r="I224" s="28" t="s">
        <v>3697</v>
      </c>
      <c r="J224" s="30">
        <v>1.0975694444444446E-2</v>
      </c>
      <c r="K224" s="30">
        <v>1.4606481481481482E-3</v>
      </c>
      <c r="L224" s="30">
        <v>2.7619212962962963E-2</v>
      </c>
      <c r="M224" s="30">
        <v>7.164351851851853E-4</v>
      </c>
      <c r="N224" s="30">
        <v>1.9259259259259261E-2</v>
      </c>
      <c r="O224" s="30">
        <v>1.836689814814815E-2</v>
      </c>
      <c r="P224" s="28" t="s">
        <v>3751</v>
      </c>
      <c r="Q224" s="30">
        <v>1.836689814814815E-2</v>
      </c>
      <c r="R224" s="8">
        <f t="shared" si="3"/>
        <v>2337</v>
      </c>
    </row>
    <row r="225" spans="1:18" ht="43.5">
      <c r="A225" s="28">
        <v>43</v>
      </c>
      <c r="B225" s="28">
        <v>224</v>
      </c>
      <c r="C225" s="32" t="s">
        <v>135</v>
      </c>
      <c r="D225" s="28" t="s">
        <v>270</v>
      </c>
      <c r="E225" s="28"/>
      <c r="F225" s="28" t="s">
        <v>340</v>
      </c>
      <c r="G225" s="28" t="s">
        <v>341</v>
      </c>
      <c r="H225" s="28">
        <v>6</v>
      </c>
      <c r="I225" s="28" t="s">
        <v>3690</v>
      </c>
      <c r="J225" s="30">
        <v>1.1327546296296296E-2</v>
      </c>
      <c r="K225" s="30">
        <v>1.3958333333333331E-3</v>
      </c>
      <c r="L225" s="30">
        <v>2.8289351851851854E-2</v>
      </c>
      <c r="M225" s="30">
        <v>4.5138888888888892E-4</v>
      </c>
      <c r="N225" s="30">
        <v>1.8606481481481481E-2</v>
      </c>
      <c r="O225" s="30">
        <v>1.8406249999999999E-2</v>
      </c>
      <c r="P225" s="28" t="s">
        <v>3752</v>
      </c>
      <c r="Q225" s="30">
        <v>1.8406249999999999E-2</v>
      </c>
      <c r="R225" s="8">
        <f t="shared" si="3"/>
        <v>2332</v>
      </c>
    </row>
    <row r="226" spans="1:18" ht="43.5">
      <c r="A226" s="28">
        <v>44</v>
      </c>
      <c r="B226" s="28">
        <v>319</v>
      </c>
      <c r="C226" s="32" t="s">
        <v>135</v>
      </c>
      <c r="D226" s="28" t="s">
        <v>879</v>
      </c>
      <c r="E226" s="28" t="s">
        <v>173</v>
      </c>
      <c r="F226" s="28" t="s">
        <v>340</v>
      </c>
      <c r="G226" s="28" t="s">
        <v>357</v>
      </c>
      <c r="H226" s="28">
        <v>8</v>
      </c>
      <c r="I226" s="28" t="s">
        <v>3697</v>
      </c>
      <c r="J226" s="30">
        <v>1.1846064814814814E-2</v>
      </c>
      <c r="K226" s="30">
        <v>1.3715277777777779E-3</v>
      </c>
      <c r="L226" s="30">
        <v>2.7979166666666666E-2</v>
      </c>
      <c r="M226" s="30">
        <v>5.3240740740740744E-4</v>
      </c>
      <c r="N226" s="30">
        <v>1.8467592592592594E-2</v>
      </c>
      <c r="O226" s="30">
        <v>1.8531249999999999E-2</v>
      </c>
      <c r="P226" s="28" t="s">
        <v>3753</v>
      </c>
      <c r="Q226" s="30">
        <v>1.8531249999999999E-2</v>
      </c>
      <c r="R226" s="8">
        <f t="shared" si="3"/>
        <v>2316</v>
      </c>
    </row>
    <row r="227" spans="1:18" ht="43.5">
      <c r="A227" s="28">
        <v>45</v>
      </c>
      <c r="B227" s="28">
        <v>281</v>
      </c>
      <c r="C227" s="28"/>
      <c r="D227" s="28" t="s">
        <v>3754</v>
      </c>
      <c r="E227" s="28"/>
      <c r="F227" s="28" t="s">
        <v>340</v>
      </c>
      <c r="G227" s="28" t="s">
        <v>420</v>
      </c>
      <c r="H227" s="28">
        <v>3</v>
      </c>
      <c r="I227" s="28" t="s">
        <v>3690</v>
      </c>
      <c r="J227" s="30">
        <v>1.1965277777777778E-2</v>
      </c>
      <c r="K227" s="30">
        <v>1.255787037037037E-3</v>
      </c>
      <c r="L227" s="30">
        <v>2.6940972222222224E-2</v>
      </c>
      <c r="M227" s="30">
        <v>6.018518518518519E-4</v>
      </c>
      <c r="N227" s="30">
        <v>1.9493055555555555E-2</v>
      </c>
      <c r="O227" s="30">
        <v>1.8592592592592595E-2</v>
      </c>
      <c r="P227" s="28" t="s">
        <v>3755</v>
      </c>
      <c r="Q227" s="30">
        <v>1.8592592592592595E-2</v>
      </c>
      <c r="R227" s="8">
        <f t="shared" si="3"/>
        <v>2308</v>
      </c>
    </row>
    <row r="228" spans="1:18" ht="43.5">
      <c r="A228" s="28">
        <v>46</v>
      </c>
      <c r="B228" s="28">
        <v>230</v>
      </c>
      <c r="C228" s="32" t="s">
        <v>135</v>
      </c>
      <c r="D228" s="28" t="s">
        <v>777</v>
      </c>
      <c r="E228" s="28" t="s">
        <v>3756</v>
      </c>
      <c r="F228" s="28" t="s">
        <v>319</v>
      </c>
      <c r="G228" s="28" t="s">
        <v>159</v>
      </c>
      <c r="H228" s="28"/>
      <c r="I228" s="28" t="s">
        <v>3690</v>
      </c>
      <c r="J228" s="30">
        <v>1.2593750000000001E-2</v>
      </c>
      <c r="K228" s="30">
        <v>1.1493055555555555E-3</v>
      </c>
      <c r="L228" s="30">
        <v>2.9641203703703701E-2</v>
      </c>
      <c r="M228" s="30">
        <v>6.4004629629629622E-4</v>
      </c>
      <c r="N228" s="30">
        <v>1.6255787037037037E-2</v>
      </c>
      <c r="O228" s="30">
        <v>1.8615740740740742E-2</v>
      </c>
      <c r="P228" s="28" t="s">
        <v>3757</v>
      </c>
      <c r="Q228" s="30">
        <v>1.8615740740740742E-2</v>
      </c>
      <c r="R228" s="8">
        <f t="shared" si="3"/>
        <v>2305</v>
      </c>
    </row>
    <row r="229" spans="1:18" ht="43.5">
      <c r="A229" s="28">
        <v>47</v>
      </c>
      <c r="B229" s="28">
        <v>276</v>
      </c>
      <c r="C229" s="32" t="s">
        <v>135</v>
      </c>
      <c r="D229" s="28" t="s">
        <v>872</v>
      </c>
      <c r="E229" s="28"/>
      <c r="F229" s="28" t="s">
        <v>340</v>
      </c>
      <c r="G229" s="28" t="s">
        <v>448</v>
      </c>
      <c r="H229" s="28">
        <v>1</v>
      </c>
      <c r="I229" s="28" t="s">
        <v>3697</v>
      </c>
      <c r="J229" s="30">
        <v>1.286111111111111E-2</v>
      </c>
      <c r="K229" s="30">
        <v>1.3472222222222221E-3</v>
      </c>
      <c r="L229" s="30">
        <v>2.8155092592592593E-2</v>
      </c>
      <c r="M229" s="30">
        <v>4.7685185185185195E-4</v>
      </c>
      <c r="N229" s="30">
        <v>1.7472222222222222E-2</v>
      </c>
      <c r="O229" s="30">
        <v>1.8648148148148146E-2</v>
      </c>
      <c r="P229" s="28" t="s">
        <v>3758</v>
      </c>
      <c r="Q229" s="30">
        <v>1.8648148148148146E-2</v>
      </c>
      <c r="R229" s="8">
        <f t="shared" si="3"/>
        <v>2301</v>
      </c>
    </row>
    <row r="230" spans="1:18" ht="43.5">
      <c r="A230" s="28">
        <v>48</v>
      </c>
      <c r="B230" s="28">
        <v>253</v>
      </c>
      <c r="C230" s="32" t="s">
        <v>135</v>
      </c>
      <c r="D230" s="28" t="s">
        <v>875</v>
      </c>
      <c r="E230" s="28" t="s">
        <v>877</v>
      </c>
      <c r="F230" s="28" t="s">
        <v>340</v>
      </c>
      <c r="G230" s="28" t="s">
        <v>624</v>
      </c>
      <c r="H230" s="28">
        <v>1</v>
      </c>
      <c r="I230" s="28" t="s">
        <v>3697</v>
      </c>
      <c r="J230" s="30">
        <v>1.1587962962962965E-2</v>
      </c>
      <c r="K230" s="30">
        <v>1.3645833333333331E-3</v>
      </c>
      <c r="L230" s="30">
        <v>2.8391203703703707E-2</v>
      </c>
      <c r="M230" s="30">
        <v>7.9282407407407394E-4</v>
      </c>
      <c r="N230" s="30">
        <v>1.8331018518518521E-2</v>
      </c>
      <c r="O230" s="30">
        <v>1.8803240740740742E-2</v>
      </c>
      <c r="P230" s="28" t="s">
        <v>3759</v>
      </c>
      <c r="Q230" s="30">
        <v>1.8803240740740742E-2</v>
      </c>
      <c r="R230" s="8">
        <f t="shared" si="3"/>
        <v>2282</v>
      </c>
    </row>
    <row r="231" spans="1:18" ht="43.5">
      <c r="A231" s="28">
        <v>49</v>
      </c>
      <c r="B231" s="28">
        <v>374</v>
      </c>
      <c r="C231" s="32" t="s">
        <v>135</v>
      </c>
      <c r="D231" s="28" t="s">
        <v>474</v>
      </c>
      <c r="E231" s="28" t="s">
        <v>367</v>
      </c>
      <c r="F231" s="28" t="s">
        <v>340</v>
      </c>
      <c r="G231" s="28" t="s">
        <v>352</v>
      </c>
      <c r="H231" s="28">
        <v>20</v>
      </c>
      <c r="I231" s="28" t="s">
        <v>3697</v>
      </c>
      <c r="J231" s="30">
        <v>1.0550925925925927E-2</v>
      </c>
      <c r="K231" s="30">
        <v>1.5752314814814815E-3</v>
      </c>
      <c r="L231" s="30">
        <v>2.999537037037037E-2</v>
      </c>
      <c r="M231" s="30">
        <v>7.291666666666667E-4</v>
      </c>
      <c r="N231" s="30">
        <v>1.8271990740740741E-2</v>
      </c>
      <c r="O231" s="30">
        <v>1.9459490740740742E-2</v>
      </c>
      <c r="P231" s="28" t="s">
        <v>3379</v>
      </c>
      <c r="Q231" s="30">
        <v>1.9459490740740742E-2</v>
      </c>
      <c r="R231" s="8">
        <f t="shared" si="3"/>
        <v>2205</v>
      </c>
    </row>
    <row r="232" spans="1:18" ht="43.5">
      <c r="A232" s="28">
        <v>50</v>
      </c>
      <c r="B232" s="28">
        <v>250</v>
      </c>
      <c r="C232" s="32" t="s">
        <v>135</v>
      </c>
      <c r="D232" s="28" t="s">
        <v>3760</v>
      </c>
      <c r="E232" s="28" t="s">
        <v>173</v>
      </c>
      <c r="F232" s="28" t="s">
        <v>319</v>
      </c>
      <c r="G232" s="28" t="s">
        <v>144</v>
      </c>
      <c r="H232" s="28">
        <v>1</v>
      </c>
      <c r="I232" s="28" t="s">
        <v>3690</v>
      </c>
      <c r="J232" s="30">
        <v>8.6689814814814806E-3</v>
      </c>
      <c r="K232" s="30">
        <v>8.9236111111111124E-4</v>
      </c>
      <c r="L232" s="30">
        <v>3.1052083333333338E-2</v>
      </c>
      <c r="M232" s="30">
        <v>3.7037037037037035E-4</v>
      </c>
      <c r="N232" s="30">
        <v>2.0246527777777776E-2</v>
      </c>
      <c r="O232" s="30">
        <v>1.9565972222222224E-2</v>
      </c>
      <c r="P232" s="28" t="s">
        <v>3761</v>
      </c>
      <c r="Q232" s="30">
        <v>1.9565972222222224E-2</v>
      </c>
      <c r="R232" s="8">
        <f t="shared" si="3"/>
        <v>2193</v>
      </c>
    </row>
    <row r="233" spans="1:18" ht="43.5">
      <c r="A233" s="28">
        <v>51</v>
      </c>
      <c r="B233" s="28">
        <v>278</v>
      </c>
      <c r="C233" s="32" t="s">
        <v>135</v>
      </c>
      <c r="D233" s="28" t="s">
        <v>3762</v>
      </c>
      <c r="E233" s="28"/>
      <c r="F233" s="28" t="s">
        <v>340</v>
      </c>
      <c r="G233" s="28" t="s">
        <v>352</v>
      </c>
      <c r="H233" s="28">
        <v>21</v>
      </c>
      <c r="I233" s="28" t="s">
        <v>3697</v>
      </c>
      <c r="J233" s="30">
        <v>1.5318287037037038E-2</v>
      </c>
      <c r="K233" s="30">
        <v>1.4641203703703706E-3</v>
      </c>
      <c r="L233" s="30">
        <v>2.7569444444444448E-2</v>
      </c>
      <c r="M233" s="30">
        <v>5.011574074074073E-4</v>
      </c>
      <c r="N233" s="30">
        <v>1.6518518518518519E-2</v>
      </c>
      <c r="O233" s="30">
        <v>1.9708333333333331E-2</v>
      </c>
      <c r="P233" s="28" t="s">
        <v>3763</v>
      </c>
      <c r="Q233" s="30">
        <v>1.9708333333333331E-2</v>
      </c>
      <c r="R233" s="8">
        <f t="shared" si="3"/>
        <v>2178</v>
      </c>
    </row>
    <row r="234" spans="1:18" ht="43.5">
      <c r="A234" s="28">
        <v>52</v>
      </c>
      <c r="B234" s="28">
        <v>234</v>
      </c>
      <c r="C234" s="32" t="s">
        <v>135</v>
      </c>
      <c r="D234" s="28" t="s">
        <v>2466</v>
      </c>
      <c r="E234" s="28" t="s">
        <v>199</v>
      </c>
      <c r="F234" s="28" t="s">
        <v>319</v>
      </c>
      <c r="G234" s="28" t="s">
        <v>159</v>
      </c>
      <c r="H234" s="28">
        <v>1</v>
      </c>
      <c r="I234" s="28" t="s">
        <v>3690</v>
      </c>
      <c r="J234" s="30">
        <v>1.2374999999999999E-2</v>
      </c>
      <c r="K234" s="30">
        <v>1.4120370370370369E-3</v>
      </c>
      <c r="L234" s="30">
        <v>2.9137731481481483E-2</v>
      </c>
      <c r="M234" s="30">
        <v>3.4259259259259263E-4</v>
      </c>
      <c r="N234" s="30">
        <v>1.8275462962962962E-2</v>
      </c>
      <c r="O234" s="30">
        <v>1.9878472222222224E-2</v>
      </c>
      <c r="P234" s="28" t="s">
        <v>3764</v>
      </c>
      <c r="Q234" s="30">
        <v>1.9878472222222224E-2</v>
      </c>
      <c r="R234" s="8">
        <f t="shared" si="3"/>
        <v>2159</v>
      </c>
    </row>
    <row r="235" spans="1:18" ht="43.5">
      <c r="A235" s="28">
        <v>53</v>
      </c>
      <c r="B235" s="28">
        <v>308</v>
      </c>
      <c r="C235" s="32" t="s">
        <v>135</v>
      </c>
      <c r="D235" s="28" t="s">
        <v>3765</v>
      </c>
      <c r="E235" s="28"/>
      <c r="F235" s="28" t="s">
        <v>340</v>
      </c>
      <c r="G235" s="28" t="s">
        <v>352</v>
      </c>
      <c r="H235" s="28">
        <v>22</v>
      </c>
      <c r="I235" s="28" t="s">
        <v>3697</v>
      </c>
      <c r="J235" s="30">
        <v>1.2684027777777778E-2</v>
      </c>
      <c r="K235" s="30">
        <v>1.0844907407407407E-3</v>
      </c>
      <c r="L235" s="30">
        <v>2.857291666666667E-2</v>
      </c>
      <c r="M235" s="30">
        <v>4.8611111111111104E-4</v>
      </c>
      <c r="N235" s="30">
        <v>1.8723379629629628E-2</v>
      </c>
      <c r="O235" s="30">
        <v>1.9885416666666666E-2</v>
      </c>
      <c r="P235" s="28" t="s">
        <v>3766</v>
      </c>
      <c r="Q235" s="30">
        <v>1.9885416666666666E-2</v>
      </c>
      <c r="R235" s="8">
        <f t="shared" si="3"/>
        <v>2158</v>
      </c>
    </row>
    <row r="236" spans="1:18" ht="43.5">
      <c r="A236" s="28">
        <v>54</v>
      </c>
      <c r="B236" s="28">
        <v>304</v>
      </c>
      <c r="C236" s="32" t="s">
        <v>135</v>
      </c>
      <c r="D236" s="28" t="s">
        <v>3767</v>
      </c>
      <c r="E236" s="28" t="s">
        <v>367</v>
      </c>
      <c r="F236" s="28" t="s">
        <v>340</v>
      </c>
      <c r="G236" s="28" t="s">
        <v>352</v>
      </c>
      <c r="H236" s="28">
        <v>23</v>
      </c>
      <c r="I236" s="28" t="s">
        <v>3697</v>
      </c>
      <c r="J236" s="30">
        <v>1.2265046296296295E-2</v>
      </c>
      <c r="K236" s="30">
        <v>1.4780092592592594E-3</v>
      </c>
      <c r="L236" s="30">
        <v>2.866087962962963E-2</v>
      </c>
      <c r="M236" s="30">
        <v>5.3703703703703704E-4</v>
      </c>
      <c r="N236" s="30">
        <v>1.8623842592592595E-2</v>
      </c>
      <c r="O236" s="30">
        <v>1.9900462962962964E-2</v>
      </c>
      <c r="P236" s="28" t="s">
        <v>3768</v>
      </c>
      <c r="Q236" s="30">
        <v>1.9900462962962964E-2</v>
      </c>
      <c r="R236" s="8">
        <f t="shared" si="3"/>
        <v>2157</v>
      </c>
    </row>
    <row r="237" spans="1:18" ht="43.5">
      <c r="A237" s="28">
        <v>55</v>
      </c>
      <c r="B237" s="28">
        <v>311</v>
      </c>
      <c r="C237" s="28"/>
      <c r="D237" s="28" t="s">
        <v>1731</v>
      </c>
      <c r="E237" s="28"/>
      <c r="F237" s="28" t="s">
        <v>340</v>
      </c>
      <c r="G237" s="28" t="s">
        <v>352</v>
      </c>
      <c r="H237" s="28">
        <v>24</v>
      </c>
      <c r="I237" s="28" t="s">
        <v>3697</v>
      </c>
      <c r="J237" s="30">
        <v>1.2027777777777778E-2</v>
      </c>
      <c r="K237" s="30">
        <v>1.6793981481481484E-3</v>
      </c>
      <c r="L237" s="30">
        <v>2.9178240740740741E-2</v>
      </c>
      <c r="M237" s="30">
        <v>8.1597222222222227E-4</v>
      </c>
      <c r="N237" s="30">
        <v>1.8077546296296296E-2</v>
      </c>
      <c r="O237" s="30">
        <v>2.0114583333333335E-2</v>
      </c>
      <c r="P237" s="28" t="s">
        <v>3769</v>
      </c>
      <c r="Q237" s="30">
        <v>2.0114583333333335E-2</v>
      </c>
      <c r="R237" s="8">
        <f t="shared" si="3"/>
        <v>2134</v>
      </c>
    </row>
    <row r="238" spans="1:18" ht="43.5">
      <c r="A238" s="28">
        <v>56</v>
      </c>
      <c r="B238" s="28">
        <v>378</v>
      </c>
      <c r="C238" s="32" t="s">
        <v>135</v>
      </c>
      <c r="D238" s="28" t="s">
        <v>902</v>
      </c>
      <c r="E238" s="28"/>
      <c r="F238" s="28" t="s">
        <v>340</v>
      </c>
      <c r="G238" s="28" t="s">
        <v>420</v>
      </c>
      <c r="H238" s="28">
        <v>4</v>
      </c>
      <c r="I238" s="28" t="s">
        <v>3697</v>
      </c>
      <c r="J238" s="30">
        <v>1.2907407407407407E-2</v>
      </c>
      <c r="K238" s="30">
        <v>1.3287037037037037E-3</v>
      </c>
      <c r="L238" s="30">
        <v>2.9587962962962965E-2</v>
      </c>
      <c r="M238" s="30">
        <v>5.0925925925925921E-4</v>
      </c>
      <c r="N238" s="30">
        <v>1.8164351851851852E-2</v>
      </c>
      <c r="O238" s="30">
        <v>2.0833333333333332E-2</v>
      </c>
      <c r="P238" s="28" t="s">
        <v>3770</v>
      </c>
      <c r="Q238" s="30">
        <v>2.0833333333333332E-2</v>
      </c>
      <c r="R238" s="8">
        <f t="shared" si="3"/>
        <v>2060</v>
      </c>
    </row>
    <row r="239" spans="1:18" ht="43.5">
      <c r="A239" s="28">
        <v>57</v>
      </c>
      <c r="B239" s="28">
        <v>274</v>
      </c>
      <c r="C239" s="32" t="s">
        <v>135</v>
      </c>
      <c r="D239" s="28" t="s">
        <v>3771</v>
      </c>
      <c r="E239" s="28"/>
      <c r="F239" s="28" t="s">
        <v>340</v>
      </c>
      <c r="G239" s="28" t="s">
        <v>352</v>
      </c>
      <c r="H239" s="28">
        <v>25</v>
      </c>
      <c r="I239" s="28" t="s">
        <v>3697</v>
      </c>
      <c r="J239" s="30">
        <v>1.3348379629629632E-2</v>
      </c>
      <c r="K239" s="30">
        <v>1.2604166666666666E-3</v>
      </c>
      <c r="L239" s="30">
        <v>2.8509259259259262E-2</v>
      </c>
      <c r="M239" s="30">
        <v>4.7916666666666664E-4</v>
      </c>
      <c r="N239" s="30">
        <v>1.8937499999999999E-2</v>
      </c>
      <c r="O239" s="30">
        <v>2.0869212962962961E-2</v>
      </c>
      <c r="P239" s="28" t="s">
        <v>3772</v>
      </c>
      <c r="Q239" s="30">
        <v>2.0869212962962961E-2</v>
      </c>
      <c r="R239" s="8">
        <f t="shared" si="3"/>
        <v>2056</v>
      </c>
    </row>
    <row r="240" spans="1:18" ht="43.5">
      <c r="A240" s="28">
        <v>58</v>
      </c>
      <c r="B240" s="28">
        <v>269</v>
      </c>
      <c r="C240" s="32" t="s">
        <v>135</v>
      </c>
      <c r="D240" s="28" t="s">
        <v>848</v>
      </c>
      <c r="E240" s="28" t="s">
        <v>850</v>
      </c>
      <c r="F240" s="28" t="s">
        <v>340</v>
      </c>
      <c r="G240" s="28" t="s">
        <v>352</v>
      </c>
      <c r="H240" s="28">
        <v>26</v>
      </c>
      <c r="I240" s="28" t="s">
        <v>3697</v>
      </c>
      <c r="J240" s="30">
        <v>1.3135416666666665E-2</v>
      </c>
      <c r="K240" s="30">
        <v>1.3923611111111109E-3</v>
      </c>
      <c r="L240" s="30">
        <v>2.8701388888888887E-2</v>
      </c>
      <c r="M240" s="30">
        <v>7.430555555555555E-4</v>
      </c>
      <c r="N240" s="30">
        <v>1.8990740740740742E-2</v>
      </c>
      <c r="O240" s="30">
        <v>2.1298611111111112E-2</v>
      </c>
      <c r="P240" s="28" t="s">
        <v>3773</v>
      </c>
      <c r="Q240" s="30">
        <v>2.1298611111111112E-2</v>
      </c>
      <c r="R240" s="8">
        <f t="shared" si="3"/>
        <v>2015</v>
      </c>
    </row>
    <row r="241" spans="1:18" ht="43.5">
      <c r="A241" s="28">
        <v>59</v>
      </c>
      <c r="B241" s="28">
        <v>293</v>
      </c>
      <c r="C241" s="32" t="s">
        <v>135</v>
      </c>
      <c r="D241" s="28" t="s">
        <v>1277</v>
      </c>
      <c r="E241" s="28"/>
      <c r="F241" s="28" t="s">
        <v>340</v>
      </c>
      <c r="G241" s="28" t="s">
        <v>352</v>
      </c>
      <c r="H241" s="28">
        <v>27</v>
      </c>
      <c r="I241" s="28" t="s">
        <v>3697</v>
      </c>
      <c r="J241" s="30">
        <v>1.4054398148148149E-2</v>
      </c>
      <c r="K241" s="30">
        <v>1.5740740740740741E-3</v>
      </c>
      <c r="L241" s="30">
        <v>2.7590277777777773E-2</v>
      </c>
      <c r="M241" s="30">
        <v>4.2939814814814821E-4</v>
      </c>
      <c r="N241" s="30">
        <v>1.9446759259259257E-2</v>
      </c>
      <c r="O241" s="30">
        <v>2.1429398148148149E-2</v>
      </c>
      <c r="P241" s="28" t="s">
        <v>3774</v>
      </c>
      <c r="Q241" s="30">
        <v>2.1429398148148149E-2</v>
      </c>
      <c r="R241" s="8">
        <f t="shared" si="3"/>
        <v>2003</v>
      </c>
    </row>
    <row r="242" spans="1:18" ht="43.5">
      <c r="A242" s="28">
        <v>60</v>
      </c>
      <c r="B242" s="28">
        <v>229</v>
      </c>
      <c r="C242" s="32" t="s">
        <v>135</v>
      </c>
      <c r="D242" s="28" t="s">
        <v>1264</v>
      </c>
      <c r="E242" s="28" t="s">
        <v>153</v>
      </c>
      <c r="F242" s="28" t="s">
        <v>319</v>
      </c>
      <c r="G242" s="28" t="s">
        <v>159</v>
      </c>
      <c r="H242" s="28">
        <v>2</v>
      </c>
      <c r="I242" s="28" t="s">
        <v>3690</v>
      </c>
      <c r="J242" s="30">
        <v>1.1421296296296296E-2</v>
      </c>
      <c r="K242" s="30">
        <v>1.4143518518518518E-3</v>
      </c>
      <c r="L242" s="30">
        <v>3.0729166666666669E-2</v>
      </c>
      <c r="M242" s="30">
        <v>5.0694444444444441E-4</v>
      </c>
      <c r="N242" s="30">
        <v>1.9071759259259261E-2</v>
      </c>
      <c r="O242" s="30">
        <v>2.1479166666666664E-2</v>
      </c>
      <c r="P242" s="28" t="s">
        <v>3775</v>
      </c>
      <c r="Q242" s="30">
        <v>2.1479166666666664E-2</v>
      </c>
      <c r="R242" s="8">
        <f t="shared" si="3"/>
        <v>1998</v>
      </c>
    </row>
    <row r="243" spans="1:18" ht="43.5">
      <c r="A243" s="28">
        <v>61</v>
      </c>
      <c r="B243" s="28">
        <v>313</v>
      </c>
      <c r="C243" s="32" t="s">
        <v>135</v>
      </c>
      <c r="D243" s="28" t="s">
        <v>602</v>
      </c>
      <c r="E243" s="28" t="s">
        <v>367</v>
      </c>
      <c r="F243" s="28" t="s">
        <v>340</v>
      </c>
      <c r="G243" s="28" t="s">
        <v>341</v>
      </c>
      <c r="H243" s="28">
        <v>7</v>
      </c>
      <c r="I243" s="28" t="s">
        <v>3697</v>
      </c>
      <c r="J243" s="30">
        <v>1.3923611111111111E-2</v>
      </c>
      <c r="K243" s="30">
        <v>1.6041666666666667E-3</v>
      </c>
      <c r="L243" s="30">
        <v>2.9096064814814814E-2</v>
      </c>
      <c r="M243" s="30">
        <v>7.9166666666666676E-4</v>
      </c>
      <c r="N243" s="30">
        <v>1.7843750000000002E-2</v>
      </c>
      <c r="O243" s="30">
        <v>2.1593749999999998E-2</v>
      </c>
      <c r="P243" s="28" t="s">
        <v>3776</v>
      </c>
      <c r="Q243" s="30">
        <v>2.1593749999999998E-2</v>
      </c>
      <c r="R243" s="8">
        <f t="shared" si="3"/>
        <v>1987</v>
      </c>
    </row>
    <row r="244" spans="1:18" ht="43.5">
      <c r="A244" s="28">
        <v>62</v>
      </c>
      <c r="B244" s="28">
        <v>196</v>
      </c>
      <c r="C244" s="32" t="s">
        <v>135</v>
      </c>
      <c r="D244" s="28" t="s">
        <v>973</v>
      </c>
      <c r="E244" s="28"/>
      <c r="F244" s="28" t="s">
        <v>340</v>
      </c>
      <c r="G244" s="28" t="s">
        <v>357</v>
      </c>
      <c r="H244" s="28">
        <v>9</v>
      </c>
      <c r="I244" s="28" t="s">
        <v>3690</v>
      </c>
      <c r="J244" s="30">
        <v>1.2186342592592591E-2</v>
      </c>
      <c r="K244" s="30">
        <v>1.7013888888888892E-3</v>
      </c>
      <c r="L244" s="30">
        <v>2.8657407407407406E-2</v>
      </c>
      <c r="M244" s="30">
        <v>6.8402777777777776E-4</v>
      </c>
      <c r="N244" s="30">
        <v>2.0046296296296295E-2</v>
      </c>
      <c r="O244" s="30">
        <v>2.1611111111111112E-2</v>
      </c>
      <c r="P244" s="28" t="s">
        <v>3777</v>
      </c>
      <c r="Q244" s="30">
        <v>2.1611111111111112E-2</v>
      </c>
      <c r="R244" s="8">
        <f t="shared" si="3"/>
        <v>1986</v>
      </c>
    </row>
    <row r="245" spans="1:18" ht="43.5">
      <c r="A245" s="28">
        <v>63</v>
      </c>
      <c r="B245" s="28">
        <v>290</v>
      </c>
      <c r="C245" s="32" t="s">
        <v>135</v>
      </c>
      <c r="D245" s="28" t="s">
        <v>3778</v>
      </c>
      <c r="E245" s="28"/>
      <c r="F245" s="28" t="s">
        <v>340</v>
      </c>
      <c r="G245" s="28" t="s">
        <v>352</v>
      </c>
      <c r="H245" s="28">
        <v>28</v>
      </c>
      <c r="I245" s="28" t="s">
        <v>3697</v>
      </c>
      <c r="J245" s="30">
        <v>1.0040509259259259E-2</v>
      </c>
      <c r="K245" s="30">
        <v>1.8634259259259261E-3</v>
      </c>
      <c r="L245" s="30">
        <v>3.109375E-2</v>
      </c>
      <c r="M245" s="30">
        <v>5.0578703703703712E-4</v>
      </c>
      <c r="N245" s="30">
        <v>1.9930555555555556E-2</v>
      </c>
      <c r="O245" s="30">
        <v>2.1770833333333336E-2</v>
      </c>
      <c r="P245" s="28" t="s">
        <v>3779</v>
      </c>
      <c r="Q245" s="30">
        <v>2.1770833333333336E-2</v>
      </c>
      <c r="R245" s="8">
        <f t="shared" si="3"/>
        <v>1971</v>
      </c>
    </row>
    <row r="246" spans="1:18" ht="43.5">
      <c r="A246" s="28">
        <v>64</v>
      </c>
      <c r="B246" s="28">
        <v>237</v>
      </c>
      <c r="C246" s="32" t="s">
        <v>135</v>
      </c>
      <c r="D246" s="28" t="s">
        <v>544</v>
      </c>
      <c r="E246" s="28"/>
      <c r="F246" s="28" t="s">
        <v>319</v>
      </c>
      <c r="G246" s="28" t="s">
        <v>159</v>
      </c>
      <c r="H246" s="28">
        <v>3</v>
      </c>
      <c r="I246" s="28" t="s">
        <v>3690</v>
      </c>
      <c r="J246" s="30">
        <v>1.1986111111111112E-2</v>
      </c>
      <c r="K246" s="30">
        <v>1.4016203703703706E-3</v>
      </c>
      <c r="L246" s="30">
        <v>3.0059027777777775E-2</v>
      </c>
      <c r="M246" s="30">
        <v>6.8287037037037025E-4</v>
      </c>
      <c r="N246" s="30">
        <v>1.9310185185185184E-2</v>
      </c>
      <c r="O246" s="30">
        <v>2.1775462962962965E-2</v>
      </c>
      <c r="P246" s="28" t="s">
        <v>2129</v>
      </c>
      <c r="Q246" s="30">
        <v>2.1775462962962965E-2</v>
      </c>
      <c r="R246" s="8">
        <f t="shared" si="3"/>
        <v>1971</v>
      </c>
    </row>
    <row r="247" spans="1:18" ht="43.5">
      <c r="A247" s="28">
        <v>65</v>
      </c>
      <c r="B247" s="28">
        <v>246</v>
      </c>
      <c r="C247" s="32" t="s">
        <v>135</v>
      </c>
      <c r="D247" s="28" t="s">
        <v>3780</v>
      </c>
      <c r="E247" s="28" t="s">
        <v>713</v>
      </c>
      <c r="F247" s="28" t="s">
        <v>319</v>
      </c>
      <c r="G247" s="28" t="s">
        <v>159</v>
      </c>
      <c r="H247" s="28">
        <v>4</v>
      </c>
      <c r="I247" s="28" t="s">
        <v>3690</v>
      </c>
      <c r="J247" s="30">
        <v>1.1788194444444447E-2</v>
      </c>
      <c r="K247" s="30">
        <v>9.9189814814814822E-4</v>
      </c>
      <c r="L247" s="30">
        <v>3.2400462962962964E-2</v>
      </c>
      <c r="M247" s="30">
        <v>4.0046296296296293E-4</v>
      </c>
      <c r="N247" s="30">
        <v>1.7878472222222223E-2</v>
      </c>
      <c r="O247" s="30">
        <v>2.179398148148148E-2</v>
      </c>
      <c r="P247" s="28" t="s">
        <v>3781</v>
      </c>
      <c r="Q247" s="30">
        <v>2.179398148148148E-2</v>
      </c>
      <c r="R247" s="8">
        <f t="shared" si="3"/>
        <v>1969</v>
      </c>
    </row>
    <row r="248" spans="1:18" ht="43.5">
      <c r="A248" s="28">
        <v>66</v>
      </c>
      <c r="B248" s="28">
        <v>273</v>
      </c>
      <c r="C248" s="32" t="s">
        <v>135</v>
      </c>
      <c r="D248" s="28" t="s">
        <v>3782</v>
      </c>
      <c r="E248" s="28"/>
      <c r="F248" s="28" t="s">
        <v>340</v>
      </c>
      <c r="G248" s="28" t="s">
        <v>341</v>
      </c>
      <c r="H248" s="28">
        <v>8</v>
      </c>
      <c r="I248" s="28" t="s">
        <v>3697</v>
      </c>
      <c r="J248" s="30">
        <v>1.375E-2</v>
      </c>
      <c r="K248" s="30">
        <v>1.3726851851851851E-3</v>
      </c>
      <c r="L248" s="30">
        <v>3.1756944444444442E-2</v>
      </c>
      <c r="M248" s="30">
        <v>3.1944444444444446E-4</v>
      </c>
      <c r="N248" s="30">
        <v>1.6474537037037038E-2</v>
      </c>
      <c r="O248" s="30">
        <v>2.200925925925926E-2</v>
      </c>
      <c r="P248" s="28" t="s">
        <v>3783</v>
      </c>
      <c r="Q248" s="30">
        <v>2.200925925925926E-2</v>
      </c>
      <c r="R248" s="8">
        <f t="shared" ref="R248:R311" si="4">IFERROR(ROUND($Q$183/Q248*900,0),0)</f>
        <v>1950</v>
      </c>
    </row>
    <row r="249" spans="1:18" ht="43.5">
      <c r="A249" s="28">
        <v>67</v>
      </c>
      <c r="B249" s="28">
        <v>251</v>
      </c>
      <c r="C249" s="32" t="s">
        <v>135</v>
      </c>
      <c r="D249" s="28" t="s">
        <v>1838</v>
      </c>
      <c r="E249" s="28" t="s">
        <v>1808</v>
      </c>
      <c r="F249" s="28" t="s">
        <v>319</v>
      </c>
      <c r="G249" s="28" t="s">
        <v>159</v>
      </c>
      <c r="H249" s="28">
        <v>5</v>
      </c>
      <c r="I249" s="28" t="s">
        <v>3690</v>
      </c>
      <c r="J249" s="30">
        <v>1.125347222222222E-2</v>
      </c>
      <c r="K249" s="30">
        <v>1.7465277777777781E-3</v>
      </c>
      <c r="L249" s="30">
        <v>3.1784722222222221E-2</v>
      </c>
      <c r="M249" s="30">
        <v>6.0532407407407399E-4</v>
      </c>
      <c r="N249" s="30">
        <v>1.840162037037037E-2</v>
      </c>
      <c r="O249" s="30">
        <v>2.2127314814814811E-2</v>
      </c>
      <c r="P249" s="28" t="s">
        <v>3784</v>
      </c>
      <c r="Q249" s="30">
        <v>2.2127314814814811E-2</v>
      </c>
      <c r="R249" s="8">
        <f t="shared" si="4"/>
        <v>1940</v>
      </c>
    </row>
    <row r="250" spans="1:18" ht="43.5">
      <c r="A250" s="28">
        <v>68</v>
      </c>
      <c r="B250" s="28">
        <v>321</v>
      </c>
      <c r="C250" s="32" t="s">
        <v>135</v>
      </c>
      <c r="D250" s="28" t="s">
        <v>3785</v>
      </c>
      <c r="E250" s="28"/>
      <c r="F250" s="28" t="s">
        <v>340</v>
      </c>
      <c r="G250" s="28" t="s">
        <v>357</v>
      </c>
      <c r="H250" s="28">
        <v>10</v>
      </c>
      <c r="I250" s="28" t="s">
        <v>3697</v>
      </c>
      <c r="J250" s="30">
        <v>1.0724537037037038E-2</v>
      </c>
      <c r="K250" s="30">
        <v>1.8923611111111112E-3</v>
      </c>
      <c r="L250" s="30">
        <v>3.209027777777778E-2</v>
      </c>
      <c r="M250" s="30">
        <v>5.3935185185185195E-4</v>
      </c>
      <c r="N250" s="30">
        <v>1.8636574074074073E-2</v>
      </c>
      <c r="O250" s="30">
        <v>2.2218749999999999E-2</v>
      </c>
      <c r="P250" s="28" t="s">
        <v>3786</v>
      </c>
      <c r="Q250" s="30">
        <v>2.2218749999999999E-2</v>
      </c>
      <c r="R250" s="8">
        <f t="shared" si="4"/>
        <v>1932</v>
      </c>
    </row>
    <row r="251" spans="1:18" ht="43.5">
      <c r="A251" s="28">
        <v>69</v>
      </c>
      <c r="B251" s="28">
        <v>248</v>
      </c>
      <c r="C251" s="32" t="s">
        <v>135</v>
      </c>
      <c r="D251" s="28" t="s">
        <v>2119</v>
      </c>
      <c r="E251" s="28"/>
      <c r="F251" s="28" t="s">
        <v>319</v>
      </c>
      <c r="G251" s="28" t="s">
        <v>159</v>
      </c>
      <c r="H251" s="28">
        <v>6</v>
      </c>
      <c r="I251" s="28" t="s">
        <v>3690</v>
      </c>
      <c r="J251" s="30">
        <v>1.1587962962962965E-2</v>
      </c>
      <c r="K251" s="30">
        <v>1.2291666666666668E-3</v>
      </c>
      <c r="L251" s="30">
        <v>3.1664351851851853E-2</v>
      </c>
      <c r="M251" s="30">
        <v>7.407407407407407E-4</v>
      </c>
      <c r="N251" s="30">
        <v>1.8797453703703702E-2</v>
      </c>
      <c r="O251" s="30">
        <v>2.2355324074074076E-2</v>
      </c>
      <c r="P251" s="28" t="s">
        <v>3787</v>
      </c>
      <c r="Q251" s="30">
        <v>2.2355324074074076E-2</v>
      </c>
      <c r="R251" s="8">
        <f t="shared" si="4"/>
        <v>1920</v>
      </c>
    </row>
    <row r="252" spans="1:18" ht="43.5">
      <c r="A252" s="28">
        <v>70</v>
      </c>
      <c r="B252" s="28">
        <v>298</v>
      </c>
      <c r="C252" s="32" t="s">
        <v>135</v>
      </c>
      <c r="D252" s="28" t="s">
        <v>3788</v>
      </c>
      <c r="E252" s="28"/>
      <c r="F252" s="28" t="s">
        <v>340</v>
      </c>
      <c r="G252" s="28" t="s">
        <v>352</v>
      </c>
      <c r="H252" s="28">
        <v>29</v>
      </c>
      <c r="I252" s="28" t="s">
        <v>3697</v>
      </c>
      <c r="J252" s="30">
        <v>1.3880787037037037E-2</v>
      </c>
      <c r="K252" s="30">
        <v>1.3217592592592593E-3</v>
      </c>
      <c r="L252" s="30">
        <v>2.9619212962962962E-2</v>
      </c>
      <c r="M252" s="30">
        <v>6.3425925925925922E-4</v>
      </c>
      <c r="N252" s="30">
        <v>1.8739583333333334E-2</v>
      </c>
      <c r="O252" s="30">
        <v>2.2532407407407407E-2</v>
      </c>
      <c r="P252" s="28" t="s">
        <v>3789</v>
      </c>
      <c r="Q252" s="30">
        <v>2.2532407407407407E-2</v>
      </c>
      <c r="R252" s="8">
        <f t="shared" si="4"/>
        <v>1905</v>
      </c>
    </row>
    <row r="253" spans="1:18" ht="43.5">
      <c r="A253" s="28">
        <v>71</v>
      </c>
      <c r="B253" s="28">
        <v>296</v>
      </c>
      <c r="C253" s="32" t="s">
        <v>135</v>
      </c>
      <c r="D253" s="28" t="s">
        <v>312</v>
      </c>
      <c r="E253" s="28" t="s">
        <v>138</v>
      </c>
      <c r="F253" s="28" t="s">
        <v>44</v>
      </c>
      <c r="G253" s="28" t="s">
        <v>352</v>
      </c>
      <c r="H253" s="28">
        <v>30</v>
      </c>
      <c r="I253" s="28" t="s">
        <v>3697</v>
      </c>
      <c r="J253" s="30">
        <v>1.3865740740740739E-2</v>
      </c>
      <c r="K253" s="30">
        <v>1.2511574074074074E-3</v>
      </c>
      <c r="L253" s="30">
        <v>2.842824074074074E-2</v>
      </c>
      <c r="M253" s="30">
        <v>4.6759259259259258E-4</v>
      </c>
      <c r="N253" s="30">
        <v>2.0452546296296299E-2</v>
      </c>
      <c r="O253" s="30">
        <v>2.2802083333333334E-2</v>
      </c>
      <c r="P253" s="28" t="s">
        <v>3790</v>
      </c>
      <c r="Q253" s="30">
        <v>6.446759259259259E-2</v>
      </c>
      <c r="R253" s="8">
        <f t="shared" si="4"/>
        <v>666</v>
      </c>
    </row>
    <row r="254" spans="1:18" ht="43.5">
      <c r="A254" s="28">
        <v>72</v>
      </c>
      <c r="B254" s="28">
        <v>236</v>
      </c>
      <c r="C254" s="32" t="s">
        <v>135</v>
      </c>
      <c r="D254" s="28" t="s">
        <v>929</v>
      </c>
      <c r="E254" s="28" t="s">
        <v>138</v>
      </c>
      <c r="F254" s="28" t="s">
        <v>39</v>
      </c>
      <c r="G254" s="28" t="s">
        <v>149</v>
      </c>
      <c r="H254" s="28">
        <v>1</v>
      </c>
      <c r="I254" s="28" t="s">
        <v>3690</v>
      </c>
      <c r="J254" s="30">
        <v>1.1900462962962962E-2</v>
      </c>
      <c r="K254" s="30">
        <v>1.7581018518518518E-3</v>
      </c>
      <c r="L254" s="30">
        <v>3.151388888888889E-2</v>
      </c>
      <c r="M254" s="30">
        <v>5.2430555555555553E-4</v>
      </c>
      <c r="N254" s="30">
        <v>1.8893518518518518E-2</v>
      </c>
      <c r="O254" s="30">
        <v>2.2924768518518518E-2</v>
      </c>
      <c r="P254" s="28" t="s">
        <v>3791</v>
      </c>
      <c r="Q254" s="30">
        <v>6.4594907407407406E-2</v>
      </c>
      <c r="R254" s="8">
        <f t="shared" si="4"/>
        <v>664</v>
      </c>
    </row>
    <row r="255" spans="1:18" ht="43.5">
      <c r="A255" s="28">
        <v>73</v>
      </c>
      <c r="B255" s="28">
        <v>315</v>
      </c>
      <c r="C255" s="32" t="s">
        <v>135</v>
      </c>
      <c r="D255" s="28" t="s">
        <v>302</v>
      </c>
      <c r="E255" s="28" t="s">
        <v>138</v>
      </c>
      <c r="F255" s="28" t="s">
        <v>42</v>
      </c>
      <c r="G255" s="28" t="s">
        <v>448</v>
      </c>
      <c r="H255" s="28">
        <v>2</v>
      </c>
      <c r="I255" s="28" t="s">
        <v>3697</v>
      </c>
      <c r="J255" s="30">
        <v>1.0905092592592593E-2</v>
      </c>
      <c r="K255" s="30">
        <v>2.0694444444444445E-3</v>
      </c>
      <c r="L255" s="30">
        <v>3.169560185185185E-2</v>
      </c>
      <c r="M255" s="30">
        <v>5.9953703703703699E-4</v>
      </c>
      <c r="N255" s="30">
        <v>1.945138888888889E-2</v>
      </c>
      <c r="O255" s="30">
        <v>2.3056712962962963E-2</v>
      </c>
      <c r="P255" s="28" t="s">
        <v>3792</v>
      </c>
      <c r="Q255" s="30">
        <v>6.4722222222222223E-2</v>
      </c>
      <c r="R255" s="8">
        <f t="shared" si="4"/>
        <v>663</v>
      </c>
    </row>
    <row r="256" spans="1:18" ht="43.5">
      <c r="A256" s="28">
        <v>74</v>
      </c>
      <c r="B256" s="28">
        <v>245</v>
      </c>
      <c r="C256" s="32" t="s">
        <v>135</v>
      </c>
      <c r="D256" s="28" t="s">
        <v>1791</v>
      </c>
      <c r="E256" s="28"/>
      <c r="F256" s="28" t="s">
        <v>319</v>
      </c>
      <c r="G256" s="28" t="s">
        <v>159</v>
      </c>
      <c r="H256" s="28">
        <v>7</v>
      </c>
      <c r="I256" s="28" t="s">
        <v>3690</v>
      </c>
      <c r="J256" s="30">
        <v>1.236574074074074E-2</v>
      </c>
      <c r="K256" s="30">
        <v>1.1250000000000001E-3</v>
      </c>
      <c r="L256" s="30">
        <v>3.2887731481481483E-2</v>
      </c>
      <c r="M256" s="30">
        <v>6.3425925925925922E-4</v>
      </c>
      <c r="N256" s="30">
        <v>1.7765046296296296E-2</v>
      </c>
      <c r="O256" s="30">
        <v>2.3113425925925926E-2</v>
      </c>
      <c r="P256" s="28" t="s">
        <v>3793</v>
      </c>
      <c r="Q256" s="30">
        <v>2.3113425925925926E-2</v>
      </c>
      <c r="R256" s="8">
        <f t="shared" si="4"/>
        <v>1857</v>
      </c>
    </row>
    <row r="257" spans="1:18" ht="43.5">
      <c r="A257" s="28">
        <v>75</v>
      </c>
      <c r="B257" s="28">
        <v>272</v>
      </c>
      <c r="C257" s="32" t="s">
        <v>135</v>
      </c>
      <c r="D257" s="28" t="s">
        <v>938</v>
      </c>
      <c r="E257" s="28" t="s">
        <v>940</v>
      </c>
      <c r="F257" s="28" t="s">
        <v>340</v>
      </c>
      <c r="G257" s="28" t="s">
        <v>624</v>
      </c>
      <c r="H257" s="28">
        <v>2</v>
      </c>
      <c r="I257" s="28" t="s">
        <v>3697</v>
      </c>
      <c r="J257" s="30">
        <v>1.648263888888889E-2</v>
      </c>
      <c r="K257" s="30">
        <v>1.2372685185185186E-3</v>
      </c>
      <c r="L257" s="30">
        <v>3.0084490740740738E-2</v>
      </c>
      <c r="M257" s="30">
        <v>1.0439814814814815E-3</v>
      </c>
      <c r="N257" s="30">
        <v>1.6531250000000001E-2</v>
      </c>
      <c r="O257" s="30">
        <v>2.3714120370370368E-2</v>
      </c>
      <c r="P257" s="28" t="s">
        <v>3794</v>
      </c>
      <c r="Q257" s="30">
        <v>2.3714120370370368E-2</v>
      </c>
      <c r="R257" s="8">
        <f t="shared" si="4"/>
        <v>1810</v>
      </c>
    </row>
    <row r="258" spans="1:18" ht="43.5">
      <c r="A258" s="28">
        <v>76</v>
      </c>
      <c r="B258" s="28">
        <v>241</v>
      </c>
      <c r="C258" s="32" t="s">
        <v>135</v>
      </c>
      <c r="D258" s="28" t="s">
        <v>2204</v>
      </c>
      <c r="E258" s="28" t="s">
        <v>138</v>
      </c>
      <c r="F258" s="28" t="s">
        <v>47</v>
      </c>
      <c r="G258" s="28" t="s">
        <v>159</v>
      </c>
      <c r="H258" s="28">
        <v>8</v>
      </c>
      <c r="I258" s="28" t="s">
        <v>3690</v>
      </c>
      <c r="J258" s="30">
        <v>1.2627314814814815E-2</v>
      </c>
      <c r="K258" s="30">
        <v>1.3657407407407409E-3</v>
      </c>
      <c r="L258" s="30">
        <v>3.1608796296296295E-2</v>
      </c>
      <c r="M258" s="30">
        <v>6.4236111111111113E-4</v>
      </c>
      <c r="N258" s="30">
        <v>1.9307870370370371E-2</v>
      </c>
      <c r="O258" s="30">
        <v>2.3886574074074074E-2</v>
      </c>
      <c r="P258" s="28" t="s">
        <v>3795</v>
      </c>
      <c r="Q258" s="30">
        <v>6.5555555555555561E-2</v>
      </c>
      <c r="R258" s="8">
        <f t="shared" si="4"/>
        <v>655</v>
      </c>
    </row>
    <row r="259" spans="1:18" ht="43.5">
      <c r="A259" s="28">
        <v>77</v>
      </c>
      <c r="B259" s="28">
        <v>309</v>
      </c>
      <c r="C259" s="28"/>
      <c r="D259" s="28" t="s">
        <v>926</v>
      </c>
      <c r="E259" s="28"/>
      <c r="F259" s="28" t="s">
        <v>340</v>
      </c>
      <c r="G259" s="28" t="s">
        <v>624</v>
      </c>
      <c r="H259" s="28">
        <v>3</v>
      </c>
      <c r="I259" s="28" t="s">
        <v>3697</v>
      </c>
      <c r="J259" s="30">
        <v>1.4402777777777776E-2</v>
      </c>
      <c r="K259" s="30">
        <v>1.4988425925925924E-3</v>
      </c>
      <c r="L259" s="30">
        <v>3.0496527777777779E-2</v>
      </c>
      <c r="M259" s="30">
        <v>8.0208333333333336E-4</v>
      </c>
      <c r="N259" s="30">
        <v>1.8356481481481481E-2</v>
      </c>
      <c r="O259" s="30">
        <v>2.3892361111111111E-2</v>
      </c>
      <c r="P259" s="28" t="s">
        <v>3796</v>
      </c>
      <c r="Q259" s="30">
        <v>2.3892361111111111E-2</v>
      </c>
      <c r="R259" s="8">
        <f t="shared" si="4"/>
        <v>1796</v>
      </c>
    </row>
    <row r="260" spans="1:18" ht="43.5">
      <c r="A260" s="28">
        <v>78</v>
      </c>
      <c r="B260" s="28">
        <v>375</v>
      </c>
      <c r="C260" s="32" t="s">
        <v>135</v>
      </c>
      <c r="D260" s="28" t="s">
        <v>3797</v>
      </c>
      <c r="E260" s="28"/>
      <c r="F260" s="28" t="s">
        <v>340</v>
      </c>
      <c r="G260" s="28" t="s">
        <v>641</v>
      </c>
      <c r="H260" s="28">
        <v>5</v>
      </c>
      <c r="I260" s="28" t="s">
        <v>3697</v>
      </c>
      <c r="J260" s="30">
        <v>1.055324074074074E-2</v>
      </c>
      <c r="K260" s="30">
        <v>1.0925925925925925E-3</v>
      </c>
      <c r="L260" s="30">
        <v>3.4234953703703705E-2</v>
      </c>
      <c r="M260" s="30">
        <v>3.5069444444444444E-4</v>
      </c>
      <c r="N260" s="30">
        <v>1.9908564814814813E-2</v>
      </c>
      <c r="O260" s="30">
        <v>2.4476851851851857E-2</v>
      </c>
      <c r="P260" s="28" t="s">
        <v>3798</v>
      </c>
      <c r="Q260" s="30">
        <v>2.4476851851851857E-2</v>
      </c>
      <c r="R260" s="8">
        <f t="shared" si="4"/>
        <v>1753</v>
      </c>
    </row>
    <row r="261" spans="1:18" ht="43.5">
      <c r="A261" s="28">
        <v>79</v>
      </c>
      <c r="B261" s="28">
        <v>270</v>
      </c>
      <c r="C261" s="32" t="s">
        <v>135</v>
      </c>
      <c r="D261" s="28" t="s">
        <v>3799</v>
      </c>
      <c r="E261" s="28" t="s">
        <v>3511</v>
      </c>
      <c r="F261" s="28" t="s">
        <v>340</v>
      </c>
      <c r="G261" s="28" t="s">
        <v>341</v>
      </c>
      <c r="H261" s="28">
        <v>9</v>
      </c>
      <c r="I261" s="28" t="s">
        <v>3697</v>
      </c>
      <c r="J261" s="30">
        <v>1.4016203703703704E-2</v>
      </c>
      <c r="K261" s="30">
        <v>1.9085648148148145E-3</v>
      </c>
      <c r="L261" s="30">
        <v>3.0156249999999999E-2</v>
      </c>
      <c r="M261" s="30">
        <v>1.5520833333333333E-3</v>
      </c>
      <c r="N261" s="30">
        <v>1.8579861111111109E-2</v>
      </c>
      <c r="O261" s="30">
        <v>2.4548611111111115E-2</v>
      </c>
      <c r="P261" s="28" t="s">
        <v>3800</v>
      </c>
      <c r="Q261" s="30">
        <v>2.4548611111111115E-2</v>
      </c>
      <c r="R261" s="8">
        <f t="shared" si="4"/>
        <v>1748</v>
      </c>
    </row>
    <row r="262" spans="1:18" ht="43.5">
      <c r="A262" s="28">
        <v>80</v>
      </c>
      <c r="B262" s="28">
        <v>291</v>
      </c>
      <c r="C262" s="32" t="s">
        <v>135</v>
      </c>
      <c r="D262" s="28" t="s">
        <v>3801</v>
      </c>
      <c r="E262" s="28" t="s">
        <v>3802</v>
      </c>
      <c r="F262" s="28" t="s">
        <v>340</v>
      </c>
      <c r="G262" s="28" t="s">
        <v>341</v>
      </c>
      <c r="H262" s="28">
        <v>10</v>
      </c>
      <c r="I262" s="28" t="s">
        <v>3697</v>
      </c>
      <c r="J262" s="30">
        <v>1.2479166666666666E-2</v>
      </c>
      <c r="K262" s="30">
        <v>1.8483796296296295E-3</v>
      </c>
      <c r="L262" s="30">
        <v>3.2706018518518516E-2</v>
      </c>
      <c r="M262" s="30">
        <v>7.8356481481481495E-4</v>
      </c>
      <c r="N262" s="30">
        <v>1.8556712962962966E-2</v>
      </c>
      <c r="O262" s="30">
        <v>2.4710648148148148E-2</v>
      </c>
      <c r="P262" s="28" t="s">
        <v>3803</v>
      </c>
      <c r="Q262" s="30">
        <v>2.4710648148148148E-2</v>
      </c>
      <c r="R262" s="8">
        <f t="shared" si="4"/>
        <v>1737</v>
      </c>
    </row>
    <row r="263" spans="1:18" ht="43.5">
      <c r="A263" s="28">
        <v>81</v>
      </c>
      <c r="B263" s="28">
        <v>286</v>
      </c>
      <c r="C263" s="32" t="s">
        <v>135</v>
      </c>
      <c r="D263" s="28" t="s">
        <v>3804</v>
      </c>
      <c r="E263" s="28"/>
      <c r="F263" s="28" t="s">
        <v>340</v>
      </c>
      <c r="G263" s="28" t="s">
        <v>352</v>
      </c>
      <c r="H263" s="28">
        <v>31</v>
      </c>
      <c r="I263" s="28" t="s">
        <v>3697</v>
      </c>
      <c r="J263" s="30">
        <v>1.329861111111111E-2</v>
      </c>
      <c r="K263" s="30">
        <v>1.6238425925925925E-3</v>
      </c>
      <c r="L263" s="30">
        <v>3.123842592592593E-2</v>
      </c>
      <c r="M263" s="30">
        <v>1.1724537037037035E-3</v>
      </c>
      <c r="N263" s="30">
        <v>1.9120370370370371E-2</v>
      </c>
      <c r="O263" s="30">
        <v>2.4789351851851851E-2</v>
      </c>
      <c r="P263" s="28" t="s">
        <v>3805</v>
      </c>
      <c r="Q263" s="30">
        <v>2.4789351851851851E-2</v>
      </c>
      <c r="R263" s="8">
        <f t="shared" si="4"/>
        <v>1731</v>
      </c>
    </row>
    <row r="264" spans="1:18" ht="43.5">
      <c r="A264" s="28">
        <v>82</v>
      </c>
      <c r="B264" s="28">
        <v>257</v>
      </c>
      <c r="C264" s="32" t="s">
        <v>135</v>
      </c>
      <c r="D264" s="28" t="s">
        <v>3806</v>
      </c>
      <c r="E264" s="28" t="s">
        <v>2174</v>
      </c>
      <c r="F264" s="28" t="s">
        <v>340</v>
      </c>
      <c r="G264" s="28" t="s">
        <v>624</v>
      </c>
      <c r="H264" s="28">
        <v>4</v>
      </c>
      <c r="I264" s="28" t="s">
        <v>3697</v>
      </c>
      <c r="J264" s="30">
        <v>1.2386574074074072E-2</v>
      </c>
      <c r="K264" s="30">
        <v>1.712962962962963E-3</v>
      </c>
      <c r="L264" s="30">
        <v>3.1055555555555555E-2</v>
      </c>
      <c r="M264" s="30">
        <v>1E-3</v>
      </c>
      <c r="N264" s="30">
        <v>2.0557870370370369E-2</v>
      </c>
      <c r="O264" s="30">
        <v>2.5048611111111108E-2</v>
      </c>
      <c r="P264" s="28" t="s">
        <v>3807</v>
      </c>
      <c r="Q264" s="30">
        <v>2.5048611111111108E-2</v>
      </c>
      <c r="R264" s="8">
        <f t="shared" si="4"/>
        <v>1713</v>
      </c>
    </row>
    <row r="265" spans="1:18" ht="43.5">
      <c r="A265" s="28">
        <v>83</v>
      </c>
      <c r="B265" s="28">
        <v>261</v>
      </c>
      <c r="C265" s="32" t="s">
        <v>135</v>
      </c>
      <c r="D265" s="28" t="s">
        <v>3808</v>
      </c>
      <c r="E265" s="28"/>
      <c r="F265" s="28" t="s">
        <v>340</v>
      </c>
      <c r="G265" s="28" t="s">
        <v>352</v>
      </c>
      <c r="H265" s="28">
        <v>32</v>
      </c>
      <c r="I265" s="28" t="s">
        <v>3697</v>
      </c>
      <c r="J265" s="30">
        <v>1.4104166666666666E-2</v>
      </c>
      <c r="K265" s="30">
        <v>1.4062499999999997E-3</v>
      </c>
      <c r="L265" s="30">
        <v>3.0534722222222224E-2</v>
      </c>
      <c r="M265" s="30">
        <v>8.0671296296296296E-4</v>
      </c>
      <c r="N265" s="30">
        <v>1.9866898148148151E-2</v>
      </c>
      <c r="O265" s="30">
        <v>2.5053240740740741E-2</v>
      </c>
      <c r="P265" s="28" t="s">
        <v>3809</v>
      </c>
      <c r="Q265" s="30">
        <v>2.5053240740740741E-2</v>
      </c>
      <c r="R265" s="8">
        <f t="shared" si="4"/>
        <v>1713</v>
      </c>
    </row>
    <row r="266" spans="1:18" ht="43.5">
      <c r="A266" s="28">
        <v>84</v>
      </c>
      <c r="B266" s="28">
        <v>243</v>
      </c>
      <c r="C266" s="32" t="s">
        <v>135</v>
      </c>
      <c r="D266" s="28" t="s">
        <v>3810</v>
      </c>
      <c r="E266" s="28" t="s">
        <v>3511</v>
      </c>
      <c r="F266" s="28" t="s">
        <v>319</v>
      </c>
      <c r="G266" s="28" t="s">
        <v>159</v>
      </c>
      <c r="H266" s="28">
        <v>9</v>
      </c>
      <c r="I266" s="28" t="s">
        <v>3690</v>
      </c>
      <c r="J266" s="30">
        <v>1.3003472222222224E-2</v>
      </c>
      <c r="K266" s="30">
        <v>1.5162037037037036E-3</v>
      </c>
      <c r="L266" s="30">
        <v>2.987037037037037E-2</v>
      </c>
      <c r="M266" s="30">
        <v>5.8564814814814818E-4</v>
      </c>
      <c r="N266" s="30">
        <v>2.1767361111111109E-2</v>
      </c>
      <c r="O266" s="30">
        <v>2.5077546296296296E-2</v>
      </c>
      <c r="P266" s="28" t="s">
        <v>3811</v>
      </c>
      <c r="Q266" s="30">
        <v>2.5077546296296296E-2</v>
      </c>
      <c r="R266" s="8">
        <f t="shared" si="4"/>
        <v>1711</v>
      </c>
    </row>
    <row r="267" spans="1:18" ht="43.5">
      <c r="A267" s="28">
        <v>85</v>
      </c>
      <c r="B267" s="28">
        <v>239</v>
      </c>
      <c r="C267" s="32" t="s">
        <v>140</v>
      </c>
      <c r="D267" s="28" t="s">
        <v>892</v>
      </c>
      <c r="E267" s="28" t="s">
        <v>2570</v>
      </c>
      <c r="F267" s="28" t="s">
        <v>319</v>
      </c>
      <c r="G267" s="28" t="s">
        <v>144</v>
      </c>
      <c r="H267" s="28">
        <v>2</v>
      </c>
      <c r="I267" s="28" t="s">
        <v>3690</v>
      </c>
      <c r="J267" s="30">
        <v>1.0423611111111111E-2</v>
      </c>
      <c r="K267" s="30">
        <v>9.9652777777777782E-4</v>
      </c>
      <c r="L267" s="30">
        <v>3.2687500000000001E-2</v>
      </c>
      <c r="M267" s="30">
        <v>3.4606481481481484E-4</v>
      </c>
      <c r="N267" s="30">
        <v>2.2546296296296297E-2</v>
      </c>
      <c r="O267" s="30">
        <v>2.5334490740740744E-2</v>
      </c>
      <c r="P267" s="28" t="s">
        <v>3812</v>
      </c>
      <c r="Q267" s="30">
        <v>2.5334490740740744E-2</v>
      </c>
      <c r="R267" s="8">
        <f t="shared" si="4"/>
        <v>1694</v>
      </c>
    </row>
    <row r="268" spans="1:18" ht="43.5">
      <c r="A268" s="28">
        <v>86</v>
      </c>
      <c r="B268" s="28">
        <v>228</v>
      </c>
      <c r="C268" s="32" t="s">
        <v>135</v>
      </c>
      <c r="D268" s="28" t="s">
        <v>2529</v>
      </c>
      <c r="E268" s="28" t="s">
        <v>199</v>
      </c>
      <c r="F268" s="28" t="s">
        <v>319</v>
      </c>
      <c r="G268" s="28" t="s">
        <v>159</v>
      </c>
      <c r="H268" s="28">
        <v>10</v>
      </c>
      <c r="I268" s="28" t="s">
        <v>3690</v>
      </c>
      <c r="J268" s="30">
        <v>1.3682870370370371E-2</v>
      </c>
      <c r="K268" s="30">
        <v>1.2604166666666666E-3</v>
      </c>
      <c r="L268" s="30">
        <v>2.942476851851852E-2</v>
      </c>
      <c r="M268" s="30">
        <v>6.2962962962962961E-4</v>
      </c>
      <c r="N268" s="30">
        <v>2.2010416666666668E-2</v>
      </c>
      <c r="O268" s="30">
        <v>2.5343749999999998E-2</v>
      </c>
      <c r="P268" s="28" t="s">
        <v>3813</v>
      </c>
      <c r="Q268" s="30">
        <v>2.5343749999999998E-2</v>
      </c>
      <c r="R268" s="8">
        <f t="shared" si="4"/>
        <v>1693</v>
      </c>
    </row>
    <row r="269" spans="1:18" ht="43.5">
      <c r="A269" s="28">
        <v>87</v>
      </c>
      <c r="B269" s="28">
        <v>242</v>
      </c>
      <c r="C269" s="32" t="s">
        <v>135</v>
      </c>
      <c r="D269" s="28" t="s">
        <v>923</v>
      </c>
      <c r="E269" s="28" t="s">
        <v>199</v>
      </c>
      <c r="F269" s="28" t="s">
        <v>319</v>
      </c>
      <c r="G269" s="28" t="s">
        <v>149</v>
      </c>
      <c r="H269" s="28">
        <v>2</v>
      </c>
      <c r="I269" s="28" t="s">
        <v>3690</v>
      </c>
      <c r="J269" s="30">
        <v>1.0689814814814813E-2</v>
      </c>
      <c r="K269" s="30">
        <v>1.4409722222222222E-3</v>
      </c>
      <c r="L269" s="30">
        <v>3.2046296296296302E-2</v>
      </c>
      <c r="M269" s="30">
        <v>1.0162037037037038E-3</v>
      </c>
      <c r="N269" s="30">
        <v>2.18900462962963E-2</v>
      </c>
      <c r="O269" s="30">
        <v>2.5417824074074072E-2</v>
      </c>
      <c r="P269" s="28" t="s">
        <v>3814</v>
      </c>
      <c r="Q269" s="30">
        <v>2.5417824074074072E-2</v>
      </c>
      <c r="R269" s="8">
        <f t="shared" si="4"/>
        <v>1688</v>
      </c>
    </row>
    <row r="270" spans="1:18" ht="43.5">
      <c r="A270" s="28">
        <v>88</v>
      </c>
      <c r="B270" s="28">
        <v>262</v>
      </c>
      <c r="C270" s="32" t="s">
        <v>135</v>
      </c>
      <c r="D270" s="28" t="s">
        <v>3815</v>
      </c>
      <c r="E270" s="28" t="s">
        <v>199</v>
      </c>
      <c r="F270" s="28" t="s">
        <v>340</v>
      </c>
      <c r="G270" s="28" t="s">
        <v>352</v>
      </c>
      <c r="H270" s="28">
        <v>33</v>
      </c>
      <c r="I270" s="28" t="s">
        <v>3697</v>
      </c>
      <c r="J270" s="30">
        <v>1.1300925925925924E-2</v>
      </c>
      <c r="K270" s="30">
        <v>1.9907407407407408E-3</v>
      </c>
      <c r="L270" s="30">
        <v>2.9040509259259259E-2</v>
      </c>
      <c r="M270" s="30">
        <v>7.407407407407407E-4</v>
      </c>
      <c r="N270" s="30">
        <v>2.4172453703703703E-2</v>
      </c>
      <c r="O270" s="30">
        <v>2.5581018518518517E-2</v>
      </c>
      <c r="P270" s="28" t="s">
        <v>3816</v>
      </c>
      <c r="Q270" s="30">
        <v>2.5581018518518517E-2</v>
      </c>
      <c r="R270" s="8">
        <f t="shared" si="4"/>
        <v>1678</v>
      </c>
    </row>
    <row r="271" spans="1:18" ht="43.5">
      <c r="A271" s="28">
        <v>89</v>
      </c>
      <c r="B271" s="28">
        <v>265</v>
      </c>
      <c r="C271" s="32" t="s">
        <v>135</v>
      </c>
      <c r="D271" s="28" t="s">
        <v>3817</v>
      </c>
      <c r="E271" s="28"/>
      <c r="F271" s="28" t="s">
        <v>340</v>
      </c>
      <c r="G271" s="28" t="s">
        <v>341</v>
      </c>
      <c r="H271" s="28">
        <v>11</v>
      </c>
      <c r="I271" s="28" t="s">
        <v>3697</v>
      </c>
      <c r="J271" s="30">
        <v>1.2962962962962963E-2</v>
      </c>
      <c r="K271" s="30">
        <v>1.8576388888888887E-3</v>
      </c>
      <c r="L271" s="30">
        <v>2.8881944444444446E-2</v>
      </c>
      <c r="M271" s="30">
        <v>8.9930555555555554E-4</v>
      </c>
      <c r="N271" s="30">
        <v>2.2797453703703702E-2</v>
      </c>
      <c r="O271" s="30">
        <v>2.5734953703703701E-2</v>
      </c>
      <c r="P271" s="28" t="s">
        <v>3818</v>
      </c>
      <c r="Q271" s="30">
        <v>2.5734953703703701E-2</v>
      </c>
      <c r="R271" s="8">
        <f t="shared" si="4"/>
        <v>1668</v>
      </c>
    </row>
    <row r="272" spans="1:18" ht="43.5">
      <c r="A272" s="28">
        <v>90</v>
      </c>
      <c r="B272" s="28">
        <v>260</v>
      </c>
      <c r="C272" s="32" t="s">
        <v>135</v>
      </c>
      <c r="D272" s="28" t="s">
        <v>2624</v>
      </c>
      <c r="E272" s="28"/>
      <c r="F272" s="28" t="s">
        <v>340</v>
      </c>
      <c r="G272" s="28" t="s">
        <v>341</v>
      </c>
      <c r="H272" s="28">
        <v>12</v>
      </c>
      <c r="I272" s="28" t="s">
        <v>3697</v>
      </c>
      <c r="J272" s="30">
        <v>1.3598379629629629E-2</v>
      </c>
      <c r="K272" s="30">
        <v>1.8715277777777782E-3</v>
      </c>
      <c r="L272" s="30">
        <v>2.9311342592592594E-2</v>
      </c>
      <c r="M272" s="30">
        <v>6.8865740740740736E-4</v>
      </c>
      <c r="N272" s="30">
        <v>2.2040509259259256E-2</v>
      </c>
      <c r="O272" s="30">
        <v>2.5846064814814815E-2</v>
      </c>
      <c r="P272" s="28" t="s">
        <v>3819</v>
      </c>
      <c r="Q272" s="30">
        <v>2.5846064814814815E-2</v>
      </c>
      <c r="R272" s="8">
        <f t="shared" si="4"/>
        <v>1660</v>
      </c>
    </row>
    <row r="273" spans="1:18" ht="43.5">
      <c r="A273" s="28">
        <v>91</v>
      </c>
      <c r="B273" s="28">
        <v>302</v>
      </c>
      <c r="C273" s="32" t="s">
        <v>135</v>
      </c>
      <c r="D273" s="28" t="s">
        <v>952</v>
      </c>
      <c r="E273" s="28" t="s">
        <v>3820</v>
      </c>
      <c r="F273" s="28" t="s">
        <v>340</v>
      </c>
      <c r="G273" s="28" t="s">
        <v>352</v>
      </c>
      <c r="H273" s="28">
        <v>34</v>
      </c>
      <c r="I273" s="28" t="s">
        <v>3697</v>
      </c>
      <c r="J273" s="30">
        <v>1.3913194444444445E-2</v>
      </c>
      <c r="K273" s="30">
        <v>1.4803240740740742E-3</v>
      </c>
      <c r="L273" s="30">
        <v>3.2909722222222222E-2</v>
      </c>
      <c r="M273" s="30">
        <v>6.5625000000000004E-4</v>
      </c>
      <c r="N273" s="30">
        <v>1.9104166666666669E-2</v>
      </c>
      <c r="O273" s="30">
        <v>2.6399305555555558E-2</v>
      </c>
      <c r="P273" s="28" t="s">
        <v>3821</v>
      </c>
      <c r="Q273" s="30">
        <v>2.6399305555555558E-2</v>
      </c>
      <c r="R273" s="8">
        <f t="shared" si="4"/>
        <v>1626</v>
      </c>
    </row>
    <row r="274" spans="1:18" ht="43.5">
      <c r="A274" s="28">
        <v>92</v>
      </c>
      <c r="B274" s="28">
        <v>238</v>
      </c>
      <c r="C274" s="32" t="s">
        <v>135</v>
      </c>
      <c r="D274" s="28" t="s">
        <v>3822</v>
      </c>
      <c r="E274" s="28" t="s">
        <v>153</v>
      </c>
      <c r="F274" s="28" t="s">
        <v>319</v>
      </c>
      <c r="G274" s="28" t="s">
        <v>149</v>
      </c>
      <c r="H274" s="28">
        <v>3</v>
      </c>
      <c r="I274" s="28" t="s">
        <v>3690</v>
      </c>
      <c r="J274" s="30">
        <v>1.3377314814814814E-2</v>
      </c>
      <c r="K274" s="30">
        <v>2.6620370370370374E-3</v>
      </c>
      <c r="L274" s="30">
        <v>3.3197916666666667E-2</v>
      </c>
      <c r="M274" s="30">
        <v>8.1365740740740736E-4</v>
      </c>
      <c r="N274" s="30">
        <v>1.8050925925925925E-2</v>
      </c>
      <c r="O274" s="30">
        <v>2.6437499999999999E-2</v>
      </c>
      <c r="P274" s="28" t="s">
        <v>3534</v>
      </c>
      <c r="Q274" s="30">
        <v>2.6437499999999999E-2</v>
      </c>
      <c r="R274" s="8">
        <f t="shared" si="4"/>
        <v>1623</v>
      </c>
    </row>
    <row r="275" spans="1:18" ht="43.5">
      <c r="A275" s="28">
        <v>93</v>
      </c>
      <c r="B275" s="28">
        <v>297</v>
      </c>
      <c r="C275" s="32" t="s">
        <v>135</v>
      </c>
      <c r="D275" s="28" t="s">
        <v>327</v>
      </c>
      <c r="E275" s="28"/>
      <c r="F275" s="28" t="s">
        <v>340</v>
      </c>
      <c r="G275" s="28" t="s">
        <v>352</v>
      </c>
      <c r="H275" s="28">
        <v>35</v>
      </c>
      <c r="I275" s="28" t="s">
        <v>3697</v>
      </c>
      <c r="J275" s="30">
        <v>1.3201388888888889E-2</v>
      </c>
      <c r="K275" s="30">
        <v>1.1388888888888889E-3</v>
      </c>
      <c r="L275" s="30">
        <v>3.0733796296296297E-2</v>
      </c>
      <c r="M275" s="30">
        <v>3.8888888888888892E-4</v>
      </c>
      <c r="N275" s="30">
        <v>2.2850694444444444E-2</v>
      </c>
      <c r="O275" s="30">
        <v>2.6649305555555555E-2</v>
      </c>
      <c r="P275" s="28" t="s">
        <v>3823</v>
      </c>
      <c r="Q275" s="30">
        <v>2.6649305555555555E-2</v>
      </c>
      <c r="R275" s="8">
        <f t="shared" si="4"/>
        <v>1610</v>
      </c>
    </row>
    <row r="276" spans="1:18" ht="43.5">
      <c r="A276" s="28">
        <v>94</v>
      </c>
      <c r="B276" s="28">
        <v>305</v>
      </c>
      <c r="C276" s="32" t="s">
        <v>135</v>
      </c>
      <c r="D276" s="28" t="s">
        <v>3824</v>
      </c>
      <c r="E276" s="28"/>
      <c r="F276" s="28" t="s">
        <v>340</v>
      </c>
      <c r="G276" s="28" t="s">
        <v>341</v>
      </c>
      <c r="H276" s="28">
        <v>13</v>
      </c>
      <c r="I276" s="28" t="s">
        <v>3697</v>
      </c>
      <c r="J276" s="30">
        <v>1.2166666666666666E-2</v>
      </c>
      <c r="K276" s="30">
        <v>1.9490740740740742E-3</v>
      </c>
      <c r="L276" s="30">
        <v>3.2226851851851854E-2</v>
      </c>
      <c r="M276" s="30">
        <v>1.1215277777777777E-3</v>
      </c>
      <c r="N276" s="30">
        <v>2.0913194444444446E-2</v>
      </c>
      <c r="O276" s="30">
        <v>2.6712962962962966E-2</v>
      </c>
      <c r="P276" s="28" t="s">
        <v>3825</v>
      </c>
      <c r="Q276" s="30">
        <v>2.6712962962962966E-2</v>
      </c>
      <c r="R276" s="8">
        <f t="shared" si="4"/>
        <v>1607</v>
      </c>
    </row>
    <row r="277" spans="1:18" ht="43.5">
      <c r="A277" s="28">
        <v>95</v>
      </c>
      <c r="B277" s="28">
        <v>232</v>
      </c>
      <c r="C277" s="32" t="s">
        <v>135</v>
      </c>
      <c r="D277" s="28" t="s">
        <v>3826</v>
      </c>
      <c r="E277" s="28"/>
      <c r="F277" s="28" t="s">
        <v>319</v>
      </c>
      <c r="G277" s="28" t="s">
        <v>159</v>
      </c>
      <c r="H277" s="28">
        <v>11</v>
      </c>
      <c r="I277" s="28" t="s">
        <v>3690</v>
      </c>
      <c r="J277" s="30">
        <v>1.2630787037037038E-2</v>
      </c>
      <c r="K277" s="30">
        <v>1.4247685185185186E-3</v>
      </c>
      <c r="L277" s="30">
        <v>3.4748842592592595E-2</v>
      </c>
      <c r="M277" s="30">
        <v>4.7916666666666664E-4</v>
      </c>
      <c r="N277" s="30">
        <v>1.9217592592592592E-2</v>
      </c>
      <c r="O277" s="30">
        <v>2.6835648148148147E-2</v>
      </c>
      <c r="P277" s="28" t="s">
        <v>3827</v>
      </c>
      <c r="Q277" s="30">
        <v>2.6835648148148147E-2</v>
      </c>
      <c r="R277" s="8">
        <f t="shared" si="4"/>
        <v>1599</v>
      </c>
    </row>
    <row r="278" spans="1:18" ht="43.5">
      <c r="A278" s="28">
        <v>96</v>
      </c>
      <c r="B278" s="28">
        <v>310</v>
      </c>
      <c r="C278" s="32" t="s">
        <v>135</v>
      </c>
      <c r="D278" s="28" t="s">
        <v>3828</v>
      </c>
      <c r="E278" s="28"/>
      <c r="F278" s="28" t="s">
        <v>340</v>
      </c>
      <c r="G278" s="28" t="s">
        <v>352</v>
      </c>
      <c r="H278" s="28">
        <v>36</v>
      </c>
      <c r="I278" s="28" t="s">
        <v>3697</v>
      </c>
      <c r="J278" s="30">
        <v>1.632638888888889E-2</v>
      </c>
      <c r="K278" s="30">
        <v>1.2662037037037036E-3</v>
      </c>
      <c r="L278" s="30">
        <v>2.9716435185185183E-2</v>
      </c>
      <c r="M278" s="30">
        <v>6.7013888888888885E-4</v>
      </c>
      <c r="N278" s="30">
        <v>2.0533564814814817E-2</v>
      </c>
      <c r="O278" s="30">
        <v>2.6848379629629632E-2</v>
      </c>
      <c r="P278" s="28" t="s">
        <v>3829</v>
      </c>
      <c r="Q278" s="30">
        <v>2.6848379629629632E-2</v>
      </c>
      <c r="R278" s="8">
        <f t="shared" si="4"/>
        <v>1598</v>
      </c>
    </row>
    <row r="279" spans="1:18" ht="43.5">
      <c r="A279" s="28">
        <v>97</v>
      </c>
      <c r="B279" s="28">
        <v>299</v>
      </c>
      <c r="C279" s="32" t="s">
        <v>135</v>
      </c>
      <c r="D279" s="28" t="s">
        <v>643</v>
      </c>
      <c r="E279" s="28" t="s">
        <v>367</v>
      </c>
      <c r="F279" s="28" t="s">
        <v>340</v>
      </c>
      <c r="G279" s="28" t="s">
        <v>341</v>
      </c>
      <c r="H279" s="28">
        <v>14</v>
      </c>
      <c r="I279" s="28" t="s">
        <v>3697</v>
      </c>
      <c r="J279" s="30">
        <v>1.3263888888888889E-2</v>
      </c>
      <c r="K279" s="30">
        <v>1.5671296296296299E-3</v>
      </c>
      <c r="L279" s="30">
        <v>3.2959490740740741E-2</v>
      </c>
      <c r="M279" s="30">
        <v>5.4282407407407404E-4</v>
      </c>
      <c r="N279" s="30">
        <v>2.0391203703703703E-2</v>
      </c>
      <c r="O279" s="30">
        <v>2.7059027777777783E-2</v>
      </c>
      <c r="P279" s="28" t="s">
        <v>3830</v>
      </c>
      <c r="Q279" s="30">
        <v>2.7059027777777783E-2</v>
      </c>
      <c r="R279" s="8">
        <f t="shared" si="4"/>
        <v>1586</v>
      </c>
    </row>
    <row r="280" spans="1:18" ht="43.5">
      <c r="A280" s="28">
        <v>98</v>
      </c>
      <c r="B280" s="28">
        <v>300</v>
      </c>
      <c r="C280" s="32" t="s">
        <v>135</v>
      </c>
      <c r="D280" s="28" t="s">
        <v>3831</v>
      </c>
      <c r="E280" s="28"/>
      <c r="F280" s="28" t="s">
        <v>340</v>
      </c>
      <c r="G280" s="28" t="s">
        <v>352</v>
      </c>
      <c r="H280" s="28">
        <v>37</v>
      </c>
      <c r="I280" s="28" t="s">
        <v>3697</v>
      </c>
      <c r="J280" s="30">
        <v>1.3797453703703702E-2</v>
      </c>
      <c r="K280" s="30">
        <v>1.980324074074074E-3</v>
      </c>
      <c r="L280" s="30">
        <v>3.2373842592592593E-2</v>
      </c>
      <c r="M280" s="30">
        <v>9.5601851851851848E-4</v>
      </c>
      <c r="N280" s="30">
        <v>2.020138888888889E-2</v>
      </c>
      <c r="O280" s="30">
        <v>2.7644675925925923E-2</v>
      </c>
      <c r="P280" s="28" t="s">
        <v>3832</v>
      </c>
      <c r="Q280" s="30">
        <v>2.7644675925925923E-2</v>
      </c>
      <c r="R280" s="8">
        <f t="shared" si="4"/>
        <v>1552</v>
      </c>
    </row>
    <row r="281" spans="1:18" ht="43.5">
      <c r="A281" s="28">
        <v>99</v>
      </c>
      <c r="B281" s="28">
        <v>316</v>
      </c>
      <c r="C281" s="32" t="s">
        <v>135</v>
      </c>
      <c r="D281" s="28" t="s">
        <v>3833</v>
      </c>
      <c r="E281" s="28" t="s">
        <v>3834</v>
      </c>
      <c r="F281" s="28" t="s">
        <v>340</v>
      </c>
      <c r="G281" s="28" t="s">
        <v>352</v>
      </c>
      <c r="H281" s="28">
        <v>38</v>
      </c>
      <c r="I281" s="28" t="s">
        <v>3697</v>
      </c>
      <c r="J281" s="30">
        <v>1.3368055555555557E-2</v>
      </c>
      <c r="K281" s="30">
        <v>1.7256944444444444E-3</v>
      </c>
      <c r="L281" s="30">
        <v>3.4225694444444441E-2</v>
      </c>
      <c r="M281" s="30">
        <v>9.6412037037037039E-4</v>
      </c>
      <c r="N281" s="30">
        <v>1.9130787037037036E-2</v>
      </c>
      <c r="O281" s="30">
        <v>2.7751157407407408E-2</v>
      </c>
      <c r="P281" s="28" t="s">
        <v>3835</v>
      </c>
      <c r="Q281" s="30">
        <v>2.7751157407407408E-2</v>
      </c>
      <c r="R281" s="8">
        <f t="shared" si="4"/>
        <v>1546</v>
      </c>
    </row>
    <row r="282" spans="1:18" ht="43.5">
      <c r="A282" s="28">
        <v>100</v>
      </c>
      <c r="B282" s="28">
        <v>318</v>
      </c>
      <c r="C282" s="32" t="s">
        <v>135</v>
      </c>
      <c r="D282" s="28" t="s">
        <v>932</v>
      </c>
      <c r="E282" s="28" t="s">
        <v>199</v>
      </c>
      <c r="F282" s="28" t="s">
        <v>340</v>
      </c>
      <c r="G282" s="28" t="s">
        <v>352</v>
      </c>
      <c r="H282" s="28">
        <v>39</v>
      </c>
      <c r="I282" s="28" t="s">
        <v>3697</v>
      </c>
      <c r="J282" s="30">
        <v>1.4778935185185185E-2</v>
      </c>
      <c r="K282" s="30">
        <v>1.6111111111111109E-3</v>
      </c>
      <c r="L282" s="30">
        <v>3.235416666666667E-2</v>
      </c>
      <c r="M282" s="30">
        <v>8.1018518518518516E-4</v>
      </c>
      <c r="N282" s="30">
        <v>1.9884259259259258E-2</v>
      </c>
      <c r="O282" s="30">
        <v>2.7774305555555556E-2</v>
      </c>
      <c r="P282" s="28" t="s">
        <v>3836</v>
      </c>
      <c r="Q282" s="30">
        <v>2.7774305555555556E-2</v>
      </c>
      <c r="R282" s="8">
        <f t="shared" si="4"/>
        <v>1545</v>
      </c>
    </row>
    <row r="283" spans="1:18" ht="43.5">
      <c r="A283" s="28">
        <v>101</v>
      </c>
      <c r="B283" s="28">
        <v>279</v>
      </c>
      <c r="C283" s="32" t="s">
        <v>135</v>
      </c>
      <c r="D283" s="28" t="s">
        <v>2631</v>
      </c>
      <c r="E283" s="28" t="s">
        <v>153</v>
      </c>
      <c r="F283" s="28" t="s">
        <v>340</v>
      </c>
      <c r="G283" s="28" t="s">
        <v>420</v>
      </c>
      <c r="H283" s="28">
        <v>5</v>
      </c>
      <c r="I283" s="28" t="s">
        <v>3690</v>
      </c>
      <c r="J283" s="30">
        <v>1.0771990740740742E-2</v>
      </c>
      <c r="K283" s="30">
        <v>1.5972222222222221E-3</v>
      </c>
      <c r="L283" s="30">
        <v>3.7003472222222215E-2</v>
      </c>
      <c r="M283" s="30">
        <v>9.5833333333333328E-4</v>
      </c>
      <c r="N283" s="30">
        <v>1.9224537037037037E-2</v>
      </c>
      <c r="O283" s="30">
        <v>2.7891203703703706E-2</v>
      </c>
      <c r="P283" s="28" t="s">
        <v>3837</v>
      </c>
      <c r="Q283" s="30">
        <v>2.7891203703703706E-2</v>
      </c>
      <c r="R283" s="8">
        <f t="shared" si="4"/>
        <v>1539</v>
      </c>
    </row>
    <row r="284" spans="1:18" ht="43.5">
      <c r="A284" s="28">
        <v>102</v>
      </c>
      <c r="B284" s="28">
        <v>255</v>
      </c>
      <c r="C284" s="32" t="s">
        <v>135</v>
      </c>
      <c r="D284" s="28" t="s">
        <v>3838</v>
      </c>
      <c r="E284" s="28" t="s">
        <v>3511</v>
      </c>
      <c r="F284" s="28" t="s">
        <v>340</v>
      </c>
      <c r="G284" s="28" t="s">
        <v>352</v>
      </c>
      <c r="H284" s="28">
        <v>40</v>
      </c>
      <c r="I284" s="28" t="s">
        <v>3697</v>
      </c>
      <c r="J284" s="30">
        <v>1.6444444444444446E-2</v>
      </c>
      <c r="K284" s="30">
        <v>1.7997685185185185E-3</v>
      </c>
      <c r="L284" s="30">
        <v>3.2232638888888887E-2</v>
      </c>
      <c r="M284" s="30">
        <v>4.9305555555555561E-4</v>
      </c>
      <c r="N284" s="30">
        <v>1.9108796296296294E-2</v>
      </c>
      <c r="O284" s="30">
        <v>2.8414351851851847E-2</v>
      </c>
      <c r="P284" s="28" t="s">
        <v>3839</v>
      </c>
      <c r="Q284" s="30">
        <v>2.8414351851851847E-2</v>
      </c>
      <c r="R284" s="8">
        <f t="shared" si="4"/>
        <v>1510</v>
      </c>
    </row>
    <row r="285" spans="1:18" ht="43.5">
      <c r="A285" s="28">
        <v>103</v>
      </c>
      <c r="B285" s="28">
        <v>193</v>
      </c>
      <c r="C285" s="32" t="s">
        <v>135</v>
      </c>
      <c r="D285" s="28" t="s">
        <v>3840</v>
      </c>
      <c r="E285" s="28"/>
      <c r="F285" s="28" t="s">
        <v>340</v>
      </c>
      <c r="G285" s="28" t="s">
        <v>641</v>
      </c>
      <c r="H285" s="28">
        <v>6</v>
      </c>
      <c r="I285" s="28" t="s">
        <v>3697</v>
      </c>
      <c r="J285" s="30">
        <v>1.1328703703703704E-2</v>
      </c>
      <c r="K285" s="30">
        <v>1.1886574074074074E-3</v>
      </c>
      <c r="L285" s="30">
        <v>3.7047453703703707E-2</v>
      </c>
      <c r="M285" s="30">
        <v>5.1736111111111112E-4</v>
      </c>
      <c r="N285" s="30">
        <v>0.02</v>
      </c>
      <c r="O285" s="30">
        <v>2.8417824074074075E-2</v>
      </c>
      <c r="P285" s="28" t="s">
        <v>989</v>
      </c>
      <c r="Q285" s="30">
        <v>2.8417824074074075E-2</v>
      </c>
      <c r="R285" s="8">
        <f t="shared" si="4"/>
        <v>1510</v>
      </c>
    </row>
    <row r="286" spans="1:18" ht="43.5">
      <c r="A286" s="28">
        <v>104</v>
      </c>
      <c r="B286" s="28">
        <v>233</v>
      </c>
      <c r="C286" s="32" t="s">
        <v>135</v>
      </c>
      <c r="D286" s="28" t="s">
        <v>3841</v>
      </c>
      <c r="E286" s="28" t="s">
        <v>3732</v>
      </c>
      <c r="F286" s="28" t="s">
        <v>319</v>
      </c>
      <c r="G286" s="28" t="s">
        <v>2935</v>
      </c>
      <c r="H286" s="28">
        <v>1</v>
      </c>
      <c r="I286" s="28" t="s">
        <v>3690</v>
      </c>
      <c r="J286" s="30">
        <v>1.0657407407407407E-2</v>
      </c>
      <c r="K286" s="30">
        <v>1.5567129629629629E-3</v>
      </c>
      <c r="L286" s="30">
        <v>3.5398148148148151E-2</v>
      </c>
      <c r="M286" s="30">
        <v>4.1319444444444449E-4</v>
      </c>
      <c r="N286" s="30">
        <v>2.2501157407407407E-2</v>
      </c>
      <c r="O286" s="30">
        <v>2.886226851851852E-2</v>
      </c>
      <c r="P286" s="28" t="s">
        <v>3842</v>
      </c>
      <c r="Q286" s="30">
        <v>2.886226851851852E-2</v>
      </c>
      <c r="R286" s="8">
        <f t="shared" si="4"/>
        <v>1487</v>
      </c>
    </row>
    <row r="287" spans="1:18" ht="43.5">
      <c r="A287" s="28">
        <v>105</v>
      </c>
      <c r="B287" s="28">
        <v>247</v>
      </c>
      <c r="C287" s="32" t="s">
        <v>135</v>
      </c>
      <c r="D287" s="28" t="s">
        <v>3843</v>
      </c>
      <c r="E287" s="28"/>
      <c r="F287" s="28" t="s">
        <v>319</v>
      </c>
      <c r="G287" s="28" t="s">
        <v>159</v>
      </c>
      <c r="H287" s="28">
        <v>12</v>
      </c>
      <c r="I287" s="28" t="s">
        <v>3690</v>
      </c>
      <c r="J287" s="30">
        <v>1.1010416666666667E-2</v>
      </c>
      <c r="K287" s="30">
        <v>1.8402777777777777E-3</v>
      </c>
      <c r="L287" s="30">
        <v>3.7787037037037036E-2</v>
      </c>
      <c r="M287" s="30">
        <v>3.7499999999999995E-4</v>
      </c>
      <c r="N287" s="30">
        <v>2.0336805555555556E-2</v>
      </c>
      <c r="O287" s="30">
        <v>2.9685185185185189E-2</v>
      </c>
      <c r="P287" s="28" t="s">
        <v>3557</v>
      </c>
      <c r="Q287" s="30">
        <v>2.9685185185185189E-2</v>
      </c>
      <c r="R287" s="8">
        <f t="shared" si="4"/>
        <v>1446</v>
      </c>
    </row>
    <row r="288" spans="1:18" ht="43.5">
      <c r="A288" s="28">
        <v>106</v>
      </c>
      <c r="B288" s="28">
        <v>235</v>
      </c>
      <c r="C288" s="32" t="s">
        <v>135</v>
      </c>
      <c r="D288" s="28" t="s">
        <v>3141</v>
      </c>
      <c r="E288" s="28" t="s">
        <v>3663</v>
      </c>
      <c r="F288" s="28" t="s">
        <v>319</v>
      </c>
      <c r="G288" s="28" t="s">
        <v>149</v>
      </c>
      <c r="H288" s="28">
        <v>4</v>
      </c>
      <c r="I288" s="28" t="s">
        <v>3690</v>
      </c>
      <c r="J288" s="30">
        <v>1.4243055555555557E-2</v>
      </c>
      <c r="K288" s="30">
        <v>9.0856481481481485E-4</v>
      </c>
      <c r="L288" s="30">
        <v>3.2557870370370369E-2</v>
      </c>
      <c r="M288" s="30">
        <v>8.4837962962962959E-4</v>
      </c>
      <c r="N288" s="30">
        <v>2.3436342592592595E-2</v>
      </c>
      <c r="O288" s="30">
        <v>3.032986111111111E-2</v>
      </c>
      <c r="P288" s="28" t="s">
        <v>3844</v>
      </c>
      <c r="Q288" s="30">
        <v>3.032986111111111E-2</v>
      </c>
      <c r="R288" s="8">
        <f t="shared" si="4"/>
        <v>1415</v>
      </c>
    </row>
    <row r="289" spans="1:18" ht="43.5">
      <c r="A289" s="28">
        <v>107</v>
      </c>
      <c r="B289" s="28">
        <v>256</v>
      </c>
      <c r="C289" s="32" t="s">
        <v>135</v>
      </c>
      <c r="D289" s="28" t="s">
        <v>2668</v>
      </c>
      <c r="E289" s="28"/>
      <c r="F289" s="28" t="s">
        <v>340</v>
      </c>
      <c r="G289" s="28" t="s">
        <v>352</v>
      </c>
      <c r="H289" s="28">
        <v>41</v>
      </c>
      <c r="I289" s="28" t="s">
        <v>3697</v>
      </c>
      <c r="J289" s="30">
        <v>1.2260416666666668E-2</v>
      </c>
      <c r="K289" s="30">
        <v>1.9629629629629628E-3</v>
      </c>
      <c r="L289" s="30">
        <v>3.3369212962962962E-2</v>
      </c>
      <c r="M289" s="30">
        <v>6.0648148148148139E-4</v>
      </c>
      <c r="N289" s="30">
        <v>2.4408564814814817E-2</v>
      </c>
      <c r="O289" s="30">
        <v>3.0942129629629628E-2</v>
      </c>
      <c r="P289" s="28" t="s">
        <v>3845</v>
      </c>
      <c r="Q289" s="30">
        <v>3.0942129629629628E-2</v>
      </c>
      <c r="R289" s="8">
        <f t="shared" si="4"/>
        <v>1387</v>
      </c>
    </row>
    <row r="290" spans="1:18" ht="43.5">
      <c r="A290" s="28">
        <v>108</v>
      </c>
      <c r="B290" s="28">
        <v>294</v>
      </c>
      <c r="C290" s="32" t="s">
        <v>135</v>
      </c>
      <c r="D290" s="28" t="s">
        <v>3846</v>
      </c>
      <c r="E290" s="28" t="s">
        <v>3482</v>
      </c>
      <c r="F290" s="28" t="s">
        <v>340</v>
      </c>
      <c r="G290" s="28" t="s">
        <v>357</v>
      </c>
      <c r="H290" s="28">
        <v>11</v>
      </c>
      <c r="I290" s="28" t="s">
        <v>3697</v>
      </c>
      <c r="J290" s="30">
        <v>1.6347222222222221E-2</v>
      </c>
      <c r="K290" s="30">
        <v>1.710648148148148E-3</v>
      </c>
      <c r="L290" s="30">
        <v>3.1913194444444445E-2</v>
      </c>
      <c r="M290" s="30">
        <v>6.7245370370370375E-4</v>
      </c>
      <c r="N290" s="30">
        <v>2.3313657407407404E-2</v>
      </c>
      <c r="O290" s="30">
        <v>3.2292824074074071E-2</v>
      </c>
      <c r="P290" s="28" t="s">
        <v>3847</v>
      </c>
      <c r="Q290" s="30">
        <v>3.2292824074074071E-2</v>
      </c>
      <c r="R290" s="8">
        <f t="shared" si="4"/>
        <v>1329</v>
      </c>
    </row>
    <row r="291" spans="1:18" ht="43.5">
      <c r="A291" s="28">
        <v>109</v>
      </c>
      <c r="B291" s="28">
        <v>287</v>
      </c>
      <c r="C291" s="32" t="s">
        <v>135</v>
      </c>
      <c r="D291" s="28" t="s">
        <v>1311</v>
      </c>
      <c r="E291" s="28"/>
      <c r="F291" s="28" t="s">
        <v>340</v>
      </c>
      <c r="G291" s="28" t="s">
        <v>352</v>
      </c>
      <c r="H291" s="28">
        <v>42</v>
      </c>
      <c r="I291" s="28" t="s">
        <v>3697</v>
      </c>
      <c r="J291" s="30">
        <v>1.3109953703703705E-2</v>
      </c>
      <c r="K291" s="30">
        <v>9.814814814814814E-4</v>
      </c>
      <c r="L291" s="30">
        <v>3.0973379629629632E-2</v>
      </c>
      <c r="M291" s="30">
        <v>5.3009259259259253E-4</v>
      </c>
      <c r="N291" s="30">
        <v>2.8934027777777777E-2</v>
      </c>
      <c r="O291" s="30">
        <v>3.2863425925925928E-2</v>
      </c>
      <c r="P291" s="28" t="s">
        <v>3848</v>
      </c>
      <c r="Q291" s="30">
        <v>3.2863425925925928E-2</v>
      </c>
      <c r="R291" s="8">
        <f t="shared" si="4"/>
        <v>1306</v>
      </c>
    </row>
    <row r="292" spans="1:18" ht="43.5">
      <c r="A292" s="28">
        <v>110</v>
      </c>
      <c r="B292" s="28">
        <v>266</v>
      </c>
      <c r="C292" s="32" t="s">
        <v>135</v>
      </c>
      <c r="D292" s="28" t="s">
        <v>2246</v>
      </c>
      <c r="E292" s="28" t="s">
        <v>2248</v>
      </c>
      <c r="F292" s="28" t="s">
        <v>340</v>
      </c>
      <c r="G292" s="28" t="s">
        <v>448</v>
      </c>
      <c r="H292" s="28">
        <v>3</v>
      </c>
      <c r="I292" s="28" t="s">
        <v>3690</v>
      </c>
      <c r="J292" s="30">
        <v>1.4512731481481481E-2</v>
      </c>
      <c r="K292" s="30">
        <v>1.4837962962962964E-3</v>
      </c>
      <c r="L292" s="30">
        <v>3.8921296296296294E-2</v>
      </c>
      <c r="M292" s="30">
        <v>1.5821759259259259E-3</v>
      </c>
      <c r="N292" s="30">
        <v>1.9079861111111113E-2</v>
      </c>
      <c r="O292" s="30">
        <v>3.3916666666666671E-2</v>
      </c>
      <c r="P292" s="28" t="s">
        <v>3849</v>
      </c>
      <c r="Q292" s="30">
        <v>3.3916666666666671E-2</v>
      </c>
      <c r="R292" s="8">
        <f t="shared" si="4"/>
        <v>1265</v>
      </c>
    </row>
    <row r="293" spans="1:18" ht="43.5">
      <c r="A293" s="28">
        <v>111</v>
      </c>
      <c r="B293" s="28">
        <v>301</v>
      </c>
      <c r="C293" s="32" t="s">
        <v>135</v>
      </c>
      <c r="D293" s="28" t="s">
        <v>2303</v>
      </c>
      <c r="E293" s="28" t="s">
        <v>3850</v>
      </c>
      <c r="F293" s="28" t="s">
        <v>340</v>
      </c>
      <c r="G293" s="28" t="s">
        <v>357</v>
      </c>
      <c r="H293" s="28">
        <v>12</v>
      </c>
      <c r="I293" s="28" t="s">
        <v>3697</v>
      </c>
      <c r="J293" s="30">
        <v>1.5863425925925927E-2</v>
      </c>
      <c r="K293" s="30">
        <v>2.3206018518518519E-3</v>
      </c>
      <c r="L293" s="30">
        <v>3.6347222222222225E-2</v>
      </c>
      <c r="M293" s="30">
        <v>9.780092592592592E-4</v>
      </c>
      <c r="N293" s="30">
        <v>2.0619212962962961E-2</v>
      </c>
      <c r="O293" s="30">
        <v>3.4462962962962966E-2</v>
      </c>
      <c r="P293" s="28" t="s">
        <v>3851</v>
      </c>
      <c r="Q293" s="30">
        <v>3.4462962962962966E-2</v>
      </c>
      <c r="R293" s="8">
        <f t="shared" si="4"/>
        <v>1245</v>
      </c>
    </row>
    <row r="294" spans="1:18" ht="43.5">
      <c r="A294" s="28">
        <v>112</v>
      </c>
      <c r="B294" s="28">
        <v>244</v>
      </c>
      <c r="C294" s="32" t="s">
        <v>135</v>
      </c>
      <c r="D294" s="28" t="s">
        <v>1014</v>
      </c>
      <c r="E294" s="28" t="s">
        <v>153</v>
      </c>
      <c r="F294" s="28" t="s">
        <v>319</v>
      </c>
      <c r="G294" s="28" t="s">
        <v>242</v>
      </c>
      <c r="H294" s="28">
        <v>1</v>
      </c>
      <c r="I294" s="28" t="s">
        <v>3690</v>
      </c>
      <c r="J294" s="30">
        <v>1.3995370370370368E-2</v>
      </c>
      <c r="K294" s="30">
        <v>1.8437499999999999E-3</v>
      </c>
      <c r="L294" s="30">
        <v>3.3730324074074072E-2</v>
      </c>
      <c r="M294" s="30">
        <v>4.3402777777777775E-4</v>
      </c>
      <c r="N294" s="30">
        <v>2.732638888888889E-2</v>
      </c>
      <c r="O294" s="30">
        <v>3.5666666666666666E-2</v>
      </c>
      <c r="P294" s="28" t="s">
        <v>3852</v>
      </c>
      <c r="Q294" s="30">
        <v>3.5666666666666666E-2</v>
      </c>
      <c r="R294" s="8">
        <f t="shared" si="4"/>
        <v>1203</v>
      </c>
    </row>
    <row r="295" spans="1:18" ht="43.5">
      <c r="A295" s="28">
        <v>113</v>
      </c>
      <c r="B295" s="28">
        <v>227</v>
      </c>
      <c r="C295" s="32" t="s">
        <v>135</v>
      </c>
      <c r="D295" s="28" t="s">
        <v>3853</v>
      </c>
      <c r="E295" s="28" t="s">
        <v>3854</v>
      </c>
      <c r="F295" s="28" t="s">
        <v>319</v>
      </c>
      <c r="G295" s="28" t="s">
        <v>159</v>
      </c>
      <c r="H295" s="28">
        <v>13</v>
      </c>
      <c r="I295" s="28" t="s">
        <v>3690</v>
      </c>
      <c r="J295" s="30">
        <v>2.0218749999999997E-2</v>
      </c>
      <c r="K295" s="30">
        <v>3.0509259259259261E-3</v>
      </c>
      <c r="L295" s="30">
        <v>3.5898148148148151E-2</v>
      </c>
      <c r="M295" s="30">
        <v>8.3449074074074068E-4</v>
      </c>
      <c r="N295" s="30">
        <v>2.0055555555555556E-2</v>
      </c>
      <c r="O295" s="30">
        <v>3.8392361111111113E-2</v>
      </c>
      <c r="P295" s="28" t="s">
        <v>3855</v>
      </c>
      <c r="Q295" s="30">
        <v>3.8392361111111113E-2</v>
      </c>
      <c r="R295" s="8">
        <f t="shared" si="4"/>
        <v>1118</v>
      </c>
    </row>
    <row r="296" spans="1:18" ht="43.5">
      <c r="A296" s="28">
        <v>114</v>
      </c>
      <c r="B296" s="28">
        <v>271</v>
      </c>
      <c r="C296" s="32" t="s">
        <v>135</v>
      </c>
      <c r="D296" s="28" t="s">
        <v>3856</v>
      </c>
      <c r="E296" s="28"/>
      <c r="F296" s="28" t="s">
        <v>340</v>
      </c>
      <c r="G296" s="28" t="s">
        <v>352</v>
      </c>
      <c r="H296" s="28">
        <v>43</v>
      </c>
      <c r="I296" s="28" t="s">
        <v>3697</v>
      </c>
      <c r="J296" s="30">
        <v>1.5490740740740741E-2</v>
      </c>
      <c r="K296" s="30">
        <v>2.3495370370370371E-3</v>
      </c>
      <c r="L296" s="30">
        <v>3.2115740740740743E-2</v>
      </c>
      <c r="M296" s="30">
        <v>9.3171296296296307E-4</v>
      </c>
      <c r="N296" s="30">
        <v>2.9265046296296296E-2</v>
      </c>
      <c r="O296" s="30">
        <v>3.8488425925925926E-2</v>
      </c>
      <c r="P296" s="28" t="s">
        <v>3857</v>
      </c>
      <c r="Q296" s="30">
        <v>3.8488425925925926E-2</v>
      </c>
      <c r="R296" s="8">
        <f t="shared" si="4"/>
        <v>1115</v>
      </c>
    </row>
    <row r="297" spans="1:18" ht="43.5">
      <c r="A297" s="28">
        <v>115</v>
      </c>
      <c r="B297" s="28">
        <v>240</v>
      </c>
      <c r="C297" s="32" t="s">
        <v>135</v>
      </c>
      <c r="D297" s="28" t="s">
        <v>3858</v>
      </c>
      <c r="E297" s="28" t="s">
        <v>1378</v>
      </c>
      <c r="F297" s="28" t="s">
        <v>319</v>
      </c>
      <c r="G297" s="28" t="s">
        <v>159</v>
      </c>
      <c r="H297" s="28">
        <v>14</v>
      </c>
      <c r="I297" s="28" t="s">
        <v>3690</v>
      </c>
      <c r="J297" s="30">
        <v>1.4702546296296297E-2</v>
      </c>
      <c r="K297" s="30">
        <v>1.8414351851851853E-3</v>
      </c>
      <c r="L297" s="30">
        <v>3.784490740740741E-2</v>
      </c>
      <c r="M297" s="30">
        <v>1.4085648148148147E-3</v>
      </c>
      <c r="N297" s="30">
        <v>2.5685185185185186E-2</v>
      </c>
      <c r="O297" s="30">
        <v>3.9817129629629626E-2</v>
      </c>
      <c r="P297" s="28" t="s">
        <v>3859</v>
      </c>
      <c r="Q297" s="30">
        <v>3.9817129629629626E-2</v>
      </c>
      <c r="R297" s="8">
        <f t="shared" si="4"/>
        <v>1078</v>
      </c>
    </row>
    <row r="298" spans="1:18" ht="43.5">
      <c r="A298" s="28">
        <v>116</v>
      </c>
      <c r="B298" s="28">
        <v>231</v>
      </c>
      <c r="C298" s="32" t="s">
        <v>135</v>
      </c>
      <c r="D298" s="28" t="s">
        <v>3860</v>
      </c>
      <c r="E298" s="28"/>
      <c r="F298" s="28" t="s">
        <v>319</v>
      </c>
      <c r="G298" s="28" t="s">
        <v>159</v>
      </c>
      <c r="H298" s="28">
        <v>15</v>
      </c>
      <c r="I298" s="28" t="s">
        <v>3690</v>
      </c>
      <c r="J298" s="30">
        <v>1.6304398148148148E-2</v>
      </c>
      <c r="K298" s="30">
        <v>2.3182870370370371E-3</v>
      </c>
      <c r="L298" s="30">
        <v>3.3619212962962962E-2</v>
      </c>
      <c r="M298" s="30">
        <v>4.8379629629629624E-4</v>
      </c>
      <c r="N298" s="30">
        <v>2.9402777777777781E-2</v>
      </c>
      <c r="O298" s="30">
        <v>4.0462962962962964E-2</v>
      </c>
      <c r="P298" s="28" t="s">
        <v>3861</v>
      </c>
      <c r="Q298" s="30">
        <v>4.0462962962962964E-2</v>
      </c>
      <c r="R298" s="8">
        <f t="shared" si="4"/>
        <v>1061</v>
      </c>
    </row>
    <row r="299" spans="1:18" ht="43.5">
      <c r="A299" s="28">
        <v>117</v>
      </c>
      <c r="B299" s="28">
        <v>376</v>
      </c>
      <c r="C299" s="32" t="s">
        <v>135</v>
      </c>
      <c r="D299" s="28" t="s">
        <v>3862</v>
      </c>
      <c r="E299" s="28"/>
      <c r="F299" s="28" t="s">
        <v>340</v>
      </c>
      <c r="G299" s="28" t="s">
        <v>624</v>
      </c>
      <c r="H299" s="28">
        <v>5</v>
      </c>
      <c r="I299" s="28" t="s">
        <v>3697</v>
      </c>
      <c r="J299" s="30">
        <v>1.794675925925926E-2</v>
      </c>
      <c r="K299" s="30">
        <v>1.9664351851851852E-3</v>
      </c>
      <c r="L299" s="30">
        <v>3.3974537037037032E-2</v>
      </c>
      <c r="M299" s="30">
        <v>1.3159722222222221E-3</v>
      </c>
      <c r="N299" s="30">
        <v>3.7172453703703708E-2</v>
      </c>
      <c r="O299" s="30">
        <v>9.045138888888889E-3</v>
      </c>
      <c r="P299" s="28" t="s">
        <v>3863</v>
      </c>
      <c r="Q299" s="30">
        <v>9.045138888888889E-3</v>
      </c>
      <c r="R299" s="8">
        <f t="shared" si="4"/>
        <v>4745</v>
      </c>
    </row>
    <row r="300" spans="1:18">
      <c r="A300">
        <v>6</v>
      </c>
      <c r="B300">
        <v>354</v>
      </c>
      <c r="C300" t="s">
        <v>3864</v>
      </c>
      <c r="D300" t="s">
        <v>3865</v>
      </c>
      <c r="E300" t="str">
        <f t="shared" ref="E300:E321" si="5">D300&amp;" "&amp;C300</f>
        <v>Andrius VENCKŪNAS</v>
      </c>
      <c r="F300" t="s">
        <v>538</v>
      </c>
      <c r="G300" t="s">
        <v>3866</v>
      </c>
      <c r="H300" s="15" t="s">
        <v>3867</v>
      </c>
      <c r="I300" s="15">
        <v>1.0833333333333333</v>
      </c>
      <c r="J300" s="15">
        <v>8.6678240740740736E-2</v>
      </c>
      <c r="K300" s="20">
        <v>8.3750000000000005E-2</v>
      </c>
      <c r="L300" s="15">
        <v>9.8495370370370372E-2</v>
      </c>
      <c r="M300" s="11">
        <v>3.2870370370370367E-4</v>
      </c>
      <c r="N300" s="15">
        <v>9.087962962962963E-2</v>
      </c>
      <c r="O300" s="20">
        <v>0.11013888888888888</v>
      </c>
      <c r="P300" s="15"/>
      <c r="Q300" s="8">
        <f t="shared" ref="Q300:Q359" si="6">IFERROR(ROUND($O$295/O300*700,0),0)</f>
        <v>244</v>
      </c>
      <c r="R300" s="8">
        <f t="shared" si="4"/>
        <v>0</v>
      </c>
    </row>
    <row r="301" spans="1:18">
      <c r="A301">
        <v>7</v>
      </c>
      <c r="B301">
        <v>303</v>
      </c>
      <c r="C301" t="s">
        <v>3868</v>
      </c>
      <c r="D301" t="s">
        <v>3869</v>
      </c>
      <c r="E301" t="str">
        <f t="shared" si="5"/>
        <v>Vladislav DUBROVSKIY</v>
      </c>
      <c r="G301" t="s">
        <v>3866</v>
      </c>
      <c r="H301" s="15" t="s">
        <v>3870</v>
      </c>
      <c r="I301" s="15">
        <v>1.0833333333333333</v>
      </c>
      <c r="J301" s="15">
        <v>8.7071759259259265E-2</v>
      </c>
      <c r="K301" s="20">
        <v>8.3888888888888888E-2</v>
      </c>
      <c r="L301" s="15">
        <v>9.9328703703703697E-2</v>
      </c>
      <c r="M301" s="11">
        <v>1.1342592592592593E-4</v>
      </c>
      <c r="N301" s="15">
        <v>8.9745370370370364E-2</v>
      </c>
      <c r="O301" s="20">
        <v>0.1102662037037037</v>
      </c>
      <c r="P301" s="15"/>
      <c r="Q301" s="8">
        <f t="shared" si="6"/>
        <v>244</v>
      </c>
      <c r="R301" s="8">
        <f t="shared" si="4"/>
        <v>0</v>
      </c>
    </row>
    <row r="302" spans="1:18">
      <c r="A302">
        <v>8</v>
      </c>
      <c r="B302">
        <v>347</v>
      </c>
      <c r="C302" t="s">
        <v>3871</v>
      </c>
      <c r="D302" t="s">
        <v>3872</v>
      </c>
      <c r="E302" t="str">
        <f t="shared" si="5"/>
        <v>Kazimieras UŽPALEVIČIUS</v>
      </c>
      <c r="F302" t="s">
        <v>803</v>
      </c>
      <c r="G302" t="s">
        <v>3866</v>
      </c>
      <c r="H302" s="15" t="s">
        <v>3873</v>
      </c>
      <c r="I302" s="15">
        <v>2.0833333333333335</v>
      </c>
      <c r="J302" s="15">
        <v>8.68287037037037E-2</v>
      </c>
      <c r="K302" s="20">
        <v>8.4189814814814815E-2</v>
      </c>
      <c r="L302" s="15">
        <v>9.7824074074074077E-2</v>
      </c>
      <c r="M302" s="11">
        <v>3.6922962962963001E-4</v>
      </c>
      <c r="N302" s="15">
        <v>9.1574074074074072E-2</v>
      </c>
      <c r="O302" s="20">
        <v>0.11078703703703703</v>
      </c>
      <c r="P302" s="15"/>
      <c r="Q302" s="8">
        <f t="shared" si="6"/>
        <v>243</v>
      </c>
      <c r="R302" s="8">
        <f t="shared" si="4"/>
        <v>0</v>
      </c>
    </row>
    <row r="303" spans="1:18">
      <c r="A303">
        <v>9</v>
      </c>
      <c r="B303">
        <v>343</v>
      </c>
      <c r="C303" t="s">
        <v>3874</v>
      </c>
      <c r="D303" t="s">
        <v>3875</v>
      </c>
      <c r="E303" t="str">
        <f t="shared" si="5"/>
        <v>Liepa TAMUTYTĖ</v>
      </c>
      <c r="F303" t="s">
        <v>3876</v>
      </c>
      <c r="G303" t="s">
        <v>3877</v>
      </c>
      <c r="H303" s="15" t="s">
        <v>3878</v>
      </c>
      <c r="I303" s="15"/>
      <c r="J303" s="15">
        <v>8.6203703703703699E-2</v>
      </c>
      <c r="K303" s="20">
        <v>8.3738425925925924E-2</v>
      </c>
      <c r="L303" s="15">
        <v>9.9201388888888895E-2</v>
      </c>
      <c r="M303" s="11">
        <v>1.7476851851851852E-4</v>
      </c>
      <c r="N303" s="15">
        <v>8.4722222222222227E-2</v>
      </c>
      <c r="O303" s="20">
        <v>0.11097222222222222</v>
      </c>
      <c r="P303" s="15"/>
      <c r="Q303" s="8">
        <f t="shared" si="6"/>
        <v>242</v>
      </c>
      <c r="R303" s="8">
        <f t="shared" si="4"/>
        <v>0</v>
      </c>
    </row>
    <row r="304" spans="1:18">
      <c r="A304">
        <v>10</v>
      </c>
      <c r="B304">
        <v>313</v>
      </c>
      <c r="C304" t="s">
        <v>3879</v>
      </c>
      <c r="D304" t="s">
        <v>3880</v>
      </c>
      <c r="E304" t="str">
        <f t="shared" si="5"/>
        <v>Valdas KORSAKOVAS</v>
      </c>
      <c r="F304" t="s">
        <v>3663</v>
      </c>
      <c r="G304" t="s">
        <v>3866</v>
      </c>
      <c r="H304" s="15" t="s">
        <v>3870</v>
      </c>
      <c r="I304" s="15">
        <v>2.0833333333333335</v>
      </c>
      <c r="J304" s="15">
        <v>8.6643518518518522E-2</v>
      </c>
      <c r="K304" s="20">
        <v>8.4201388888888895E-2</v>
      </c>
      <c r="L304" s="15">
        <v>9.7939814814814813E-2</v>
      </c>
      <c r="M304" s="11">
        <v>3.0324074074074075E-4</v>
      </c>
      <c r="N304" s="15">
        <v>9.240740740740741E-2</v>
      </c>
      <c r="O304" s="20">
        <v>0.11149305555555555</v>
      </c>
      <c r="P304" s="15"/>
      <c r="Q304" s="8">
        <f t="shared" si="6"/>
        <v>241</v>
      </c>
      <c r="R304" s="8">
        <f t="shared" si="4"/>
        <v>0</v>
      </c>
    </row>
    <row r="305" spans="1:18">
      <c r="A305">
        <v>11</v>
      </c>
      <c r="B305">
        <v>352</v>
      </c>
      <c r="C305" t="s">
        <v>3881</v>
      </c>
      <c r="D305" t="s">
        <v>3882</v>
      </c>
      <c r="E305" t="str">
        <f t="shared" si="5"/>
        <v>Emilija VASILJEVAITĖ</v>
      </c>
      <c r="G305" t="s">
        <v>3877</v>
      </c>
      <c r="H305" s="15" t="s">
        <v>3883</v>
      </c>
      <c r="I305" s="15"/>
      <c r="J305" s="15">
        <v>8.5960648148148147E-2</v>
      </c>
      <c r="K305" s="20">
        <v>8.3877314814814821E-2</v>
      </c>
      <c r="L305" s="15">
        <v>9.9189814814814814E-2</v>
      </c>
      <c r="M305" s="11">
        <v>3.7847222222222226E-4</v>
      </c>
      <c r="N305" s="15">
        <v>9.2384259259259263E-2</v>
      </c>
      <c r="O305" s="20">
        <v>0.11179398148148148</v>
      </c>
      <c r="P305" s="15"/>
      <c r="Q305" s="8">
        <f t="shared" si="6"/>
        <v>240</v>
      </c>
      <c r="R305" s="8">
        <f t="shared" si="4"/>
        <v>0</v>
      </c>
    </row>
    <row r="306" spans="1:18">
      <c r="A306">
        <v>2</v>
      </c>
      <c r="B306">
        <v>356</v>
      </c>
      <c r="C306" t="s">
        <v>3884</v>
      </c>
      <c r="D306" t="s">
        <v>3885</v>
      </c>
      <c r="E306" t="str">
        <f t="shared" si="5"/>
        <v>Rytis ZAVECKAS</v>
      </c>
      <c r="F306" t="s">
        <v>173</v>
      </c>
      <c r="G306" t="s">
        <v>3866</v>
      </c>
      <c r="H306" s="15" t="s">
        <v>3867</v>
      </c>
      <c r="I306" s="15">
        <v>2.0833333333333335</v>
      </c>
      <c r="J306" s="15">
        <v>8.6134259259259258E-2</v>
      </c>
      <c r="K306" s="20">
        <v>8.3842592592592594E-2</v>
      </c>
      <c r="L306" s="15">
        <v>0.10017361111111112</v>
      </c>
      <c r="M306" s="11">
        <v>2.3263888888888892E-4</v>
      </c>
      <c r="N306" s="15">
        <v>9.1655092592592594E-2</v>
      </c>
      <c r="O306" s="20">
        <v>0.11203703703703703</v>
      </c>
      <c r="P306" s="15"/>
      <c r="Q306" s="8">
        <f t="shared" si="6"/>
        <v>240</v>
      </c>
      <c r="R306" s="8">
        <f t="shared" si="4"/>
        <v>0</v>
      </c>
    </row>
    <row r="307" spans="1:18">
      <c r="A307">
        <v>13</v>
      </c>
      <c r="B307">
        <v>344</v>
      </c>
      <c r="C307" t="s">
        <v>3886</v>
      </c>
      <c r="D307" t="s">
        <v>3887</v>
      </c>
      <c r="E307" t="str">
        <f t="shared" si="5"/>
        <v>Gintas TESLIA</v>
      </c>
      <c r="F307" t="s">
        <v>2131</v>
      </c>
      <c r="G307" t="s">
        <v>3866</v>
      </c>
      <c r="H307" s="15" t="s">
        <v>3873</v>
      </c>
      <c r="I307" s="15">
        <v>3.0833333333333335</v>
      </c>
      <c r="J307" s="15">
        <v>8.700231481481481E-2</v>
      </c>
      <c r="K307" s="20">
        <v>8.4456018518518514E-2</v>
      </c>
      <c r="L307" s="15">
        <v>9.9340277777777777E-2</v>
      </c>
      <c r="M307" s="11">
        <v>1.6087962962962963E-4</v>
      </c>
      <c r="N307" s="15">
        <v>9.1469907407407403E-2</v>
      </c>
      <c r="O307" s="20">
        <v>0.11244212962962963</v>
      </c>
      <c r="P307" s="15"/>
      <c r="Q307" s="8">
        <f t="shared" si="6"/>
        <v>239</v>
      </c>
      <c r="R307" s="8">
        <f t="shared" si="4"/>
        <v>0</v>
      </c>
    </row>
    <row r="308" spans="1:18">
      <c r="A308">
        <v>14</v>
      </c>
      <c r="B308">
        <v>337</v>
      </c>
      <c r="C308" t="s">
        <v>3888</v>
      </c>
      <c r="D308" t="s">
        <v>3889</v>
      </c>
      <c r="E308" t="str">
        <f t="shared" si="5"/>
        <v>Saulė RIMKEVIČIŪTĖ</v>
      </c>
      <c r="F308" t="s">
        <v>3890</v>
      </c>
      <c r="G308" t="s">
        <v>3877</v>
      </c>
      <c r="H308" s="15" t="s">
        <v>3878</v>
      </c>
      <c r="I308" s="15">
        <v>1.0833333333333333</v>
      </c>
      <c r="J308" s="15">
        <v>8.6076388888888883E-2</v>
      </c>
      <c r="K308" s="20">
        <v>8.3784722222222219E-2</v>
      </c>
      <c r="L308" s="15">
        <v>0.10011574074074074</v>
      </c>
      <c r="M308" s="11">
        <v>1.7476851851851852E-4</v>
      </c>
      <c r="N308" s="15">
        <v>9.28587962962963E-2</v>
      </c>
      <c r="O308" s="20">
        <v>0.11300925925925925</v>
      </c>
      <c r="P308" s="15"/>
      <c r="Q308" s="8">
        <f t="shared" si="6"/>
        <v>238</v>
      </c>
      <c r="R308" s="8">
        <f t="shared" si="4"/>
        <v>0</v>
      </c>
    </row>
    <row r="309" spans="1:18">
      <c r="A309">
        <v>15</v>
      </c>
      <c r="B309">
        <v>338</v>
      </c>
      <c r="C309" t="s">
        <v>3891</v>
      </c>
      <c r="D309" t="s">
        <v>3892</v>
      </c>
      <c r="E309" t="str">
        <f t="shared" si="5"/>
        <v>Arnoldas STANAITIS</v>
      </c>
      <c r="F309" t="s">
        <v>199</v>
      </c>
      <c r="G309" t="s">
        <v>3866</v>
      </c>
      <c r="H309" s="15" t="s">
        <v>3870</v>
      </c>
      <c r="I309" s="15">
        <v>3.0833333333333335</v>
      </c>
      <c r="J309" s="15">
        <v>8.6689814814814817E-2</v>
      </c>
      <c r="K309" s="20">
        <v>8.414351851851852E-2</v>
      </c>
      <c r="L309" s="15">
        <v>9.8159722222222218E-2</v>
      </c>
      <c r="M309" s="11">
        <v>5.5787037037037036E-4</v>
      </c>
      <c r="N309" s="15">
        <v>9.3483796296296301E-2</v>
      </c>
      <c r="O309" s="20">
        <v>0.11302083333333333</v>
      </c>
      <c r="P309" s="15"/>
      <c r="Q309" s="8">
        <f t="shared" si="6"/>
        <v>238</v>
      </c>
      <c r="R309" s="8">
        <f t="shared" si="4"/>
        <v>0</v>
      </c>
    </row>
    <row r="310" spans="1:18">
      <c r="A310">
        <v>16</v>
      </c>
      <c r="B310">
        <v>500</v>
      </c>
      <c r="C310" t="s">
        <v>3893</v>
      </c>
      <c r="D310" t="s">
        <v>3894</v>
      </c>
      <c r="E310" t="str">
        <f t="shared" si="5"/>
        <v>Feliks LEONTJEV</v>
      </c>
      <c r="G310" t="s">
        <v>3866</v>
      </c>
      <c r="H310" s="15" t="s">
        <v>3867</v>
      </c>
      <c r="I310" s="15">
        <v>3.0833333333333335</v>
      </c>
      <c r="J310" s="15">
        <v>8.6076388888888883E-2</v>
      </c>
      <c r="K310" s="20">
        <v>8.3946759259259263E-2</v>
      </c>
      <c r="L310" s="15">
        <v>9.9780092592592587E-2</v>
      </c>
      <c r="M310" s="11">
        <v>3.8657407407407407E-4</v>
      </c>
      <c r="N310" s="15">
        <v>9.2893518518518514E-2</v>
      </c>
      <c r="O310" s="20">
        <v>0.11307870370370371</v>
      </c>
      <c r="P310" s="15"/>
      <c r="Q310" s="8">
        <f t="shared" si="6"/>
        <v>238</v>
      </c>
      <c r="R310" s="8">
        <f t="shared" si="4"/>
        <v>0</v>
      </c>
    </row>
    <row r="311" spans="1:18">
      <c r="A311">
        <v>17</v>
      </c>
      <c r="B311">
        <v>305</v>
      </c>
      <c r="C311" t="s">
        <v>3895</v>
      </c>
      <c r="D311" t="s">
        <v>3896</v>
      </c>
      <c r="E311" t="str">
        <f t="shared" si="5"/>
        <v>Virginijus GELZINIS</v>
      </c>
      <c r="G311" t="s">
        <v>3866</v>
      </c>
      <c r="H311" s="15" t="s">
        <v>3873</v>
      </c>
      <c r="I311" s="15">
        <v>4.083333333333333</v>
      </c>
      <c r="J311" s="15">
        <v>8.7407407407407406E-2</v>
      </c>
      <c r="K311" s="20">
        <v>8.4027777777777785E-2</v>
      </c>
      <c r="L311" s="15">
        <v>9.8553240740740747E-2</v>
      </c>
      <c r="M311" s="11">
        <v>2.4074074074074075E-4</v>
      </c>
      <c r="N311" s="15">
        <v>9.3078703703703705E-2</v>
      </c>
      <c r="O311" s="20">
        <v>0.11329861111111111</v>
      </c>
      <c r="P311" s="15"/>
      <c r="Q311" s="8">
        <f t="shared" si="6"/>
        <v>237</v>
      </c>
      <c r="R311" s="8">
        <f t="shared" si="4"/>
        <v>0</v>
      </c>
    </row>
    <row r="312" spans="1:18">
      <c r="A312">
        <v>18</v>
      </c>
      <c r="B312">
        <v>323</v>
      </c>
      <c r="C312" t="s">
        <v>3897</v>
      </c>
      <c r="D312" t="s">
        <v>3898</v>
      </c>
      <c r="E312" t="str">
        <f>D32&amp;" "&amp;C32</f>
        <v>KUKENYS Mantas LTU</v>
      </c>
      <c r="G312" t="s">
        <v>3866</v>
      </c>
      <c r="H312" s="15" t="s">
        <v>3870</v>
      </c>
      <c r="I312" s="15">
        <v>4.083333333333333</v>
      </c>
      <c r="J312" s="15">
        <v>8.6469907407407412E-2</v>
      </c>
      <c r="K312" s="20">
        <v>8.4050925925925932E-2</v>
      </c>
      <c r="L312" s="15">
        <v>9.9733796296296293E-2</v>
      </c>
      <c r="M312" s="11">
        <v>4.7106481481481484E-4</v>
      </c>
      <c r="N312" s="15">
        <v>9.2708333333333337E-2</v>
      </c>
      <c r="O312" s="20">
        <v>0.11342592592592593</v>
      </c>
      <c r="P312" s="15"/>
      <c r="Q312" s="8">
        <f>IFERROR(ROUND($O$295/O32*700,0),0)</f>
        <v>278</v>
      </c>
      <c r="R312" s="8">
        <f t="shared" ref="R312:R359" si="7">IFERROR(ROUND($Q$183/Q312*900,0),0)</f>
        <v>0</v>
      </c>
    </row>
    <row r="313" spans="1:18">
      <c r="A313">
        <v>19</v>
      </c>
      <c r="B313">
        <v>355</v>
      </c>
      <c r="C313" t="s">
        <v>3864</v>
      </c>
      <c r="D313" t="s">
        <v>3899</v>
      </c>
      <c r="E313" t="str">
        <f t="shared" si="5"/>
        <v>Vincentas VENCKŪNAS</v>
      </c>
      <c r="F313" t="s">
        <v>538</v>
      </c>
      <c r="G313" t="s">
        <v>3866</v>
      </c>
      <c r="H313" s="15" t="s">
        <v>3867</v>
      </c>
      <c r="I313" s="15">
        <v>4.083333333333333</v>
      </c>
      <c r="J313" s="15">
        <v>8.6701388888888883E-2</v>
      </c>
      <c r="K313" s="20">
        <v>8.3993055555555557E-2</v>
      </c>
      <c r="L313" s="15">
        <v>0.10028935185185185</v>
      </c>
      <c r="M313" s="11">
        <v>4.0625000000000004E-4</v>
      </c>
      <c r="N313" s="15">
        <v>8.5173611111111117E-2</v>
      </c>
      <c r="O313" s="20">
        <v>0.11350694444444444</v>
      </c>
      <c r="P313" s="15"/>
      <c r="Q313" s="8">
        <f t="shared" si="6"/>
        <v>237</v>
      </c>
      <c r="R313" s="8">
        <f t="shared" si="7"/>
        <v>0</v>
      </c>
    </row>
    <row r="314" spans="1:18">
      <c r="A314">
        <v>20</v>
      </c>
      <c r="B314">
        <v>333</v>
      </c>
      <c r="C314" t="s">
        <v>3900</v>
      </c>
      <c r="D314" t="s">
        <v>3901</v>
      </c>
      <c r="E314" t="str">
        <f t="shared" si="5"/>
        <v>Justas PLIAVGO</v>
      </c>
      <c r="F314" t="s">
        <v>3663</v>
      </c>
      <c r="G314" t="s">
        <v>3866</v>
      </c>
      <c r="H314" s="15" t="s">
        <v>3870</v>
      </c>
      <c r="I314" s="15">
        <v>5.083333333333333</v>
      </c>
      <c r="J314" s="15">
        <v>8.8032407407407406E-2</v>
      </c>
      <c r="K314" s="20">
        <v>8.3564814814814814E-2</v>
      </c>
      <c r="L314" s="15">
        <v>9.8946759259259262E-2</v>
      </c>
      <c r="M314" s="11">
        <v>3.4606481481481478E-4</v>
      </c>
      <c r="N314" s="15">
        <v>9.2719907407407404E-2</v>
      </c>
      <c r="O314" s="20">
        <v>0.11362268518518519</v>
      </c>
      <c r="P314" s="15"/>
      <c r="Q314" s="8">
        <f t="shared" si="6"/>
        <v>237</v>
      </c>
      <c r="R314" s="8">
        <f t="shared" si="7"/>
        <v>0</v>
      </c>
    </row>
    <row r="315" spans="1:18">
      <c r="A315">
        <v>21</v>
      </c>
      <c r="B315">
        <v>353</v>
      </c>
      <c r="C315" t="s">
        <v>3902</v>
      </c>
      <c r="D315" t="s">
        <v>3903</v>
      </c>
      <c r="E315" t="str">
        <f t="shared" si="5"/>
        <v>Liucija VENCKŪNAITĖ</v>
      </c>
      <c r="F315" t="s">
        <v>538</v>
      </c>
      <c r="G315" t="s">
        <v>3877</v>
      </c>
      <c r="H315" s="15" t="s">
        <v>3878</v>
      </c>
      <c r="I315" s="15">
        <v>2.0833333333333335</v>
      </c>
      <c r="J315" s="15">
        <v>8.6886574074074074E-2</v>
      </c>
      <c r="K315" s="20">
        <v>8.3831018518518513E-2</v>
      </c>
      <c r="L315" s="15">
        <v>0.10109953703703704</v>
      </c>
      <c r="M315" s="11">
        <v>2.9861111111111109E-4</v>
      </c>
      <c r="N315" s="15">
        <v>9.1516203703703697E-2</v>
      </c>
      <c r="O315" s="20">
        <v>0.11362268518518519</v>
      </c>
      <c r="P315" s="15"/>
      <c r="Q315" s="8">
        <f t="shared" si="6"/>
        <v>237</v>
      </c>
      <c r="R315" s="8">
        <f t="shared" si="7"/>
        <v>0</v>
      </c>
    </row>
    <row r="316" spans="1:18">
      <c r="A316">
        <v>22</v>
      </c>
      <c r="B316">
        <v>335</v>
      </c>
      <c r="C316" t="s">
        <v>3904</v>
      </c>
      <c r="D316" t="s">
        <v>3905</v>
      </c>
      <c r="E316" t="str">
        <f t="shared" si="5"/>
        <v>Laurynas REPEČKA</v>
      </c>
      <c r="G316" t="s">
        <v>3866</v>
      </c>
      <c r="H316" s="15" t="s">
        <v>3870</v>
      </c>
      <c r="I316" s="15">
        <v>6.083333333333333</v>
      </c>
      <c r="J316" s="15">
        <v>8.6261574074074074E-2</v>
      </c>
      <c r="K316" s="20">
        <v>8.4201388888888895E-2</v>
      </c>
      <c r="L316" s="15">
        <v>0.10011574074074074</v>
      </c>
      <c r="M316" s="11">
        <v>2.7083333333333332E-4</v>
      </c>
      <c r="N316" s="15">
        <v>9.313657407407408E-2</v>
      </c>
      <c r="O316" s="20">
        <v>0.11399305555555556</v>
      </c>
      <c r="P316" s="15"/>
      <c r="Q316" s="8">
        <f t="shared" si="6"/>
        <v>236</v>
      </c>
      <c r="R316" s="8">
        <f t="shared" si="7"/>
        <v>0</v>
      </c>
    </row>
    <row r="317" spans="1:18">
      <c r="A317">
        <v>23</v>
      </c>
      <c r="B317">
        <v>326</v>
      </c>
      <c r="C317" t="s">
        <v>3906</v>
      </c>
      <c r="D317" t="s">
        <v>3907</v>
      </c>
      <c r="E317" t="str">
        <f t="shared" si="5"/>
        <v>Aidas NAIKUS</v>
      </c>
      <c r="F317" t="s">
        <v>3663</v>
      </c>
      <c r="G317" t="s">
        <v>3866</v>
      </c>
      <c r="H317" s="15" t="s">
        <v>3870</v>
      </c>
      <c r="I317" s="15">
        <v>7.083333333333333</v>
      </c>
      <c r="J317" s="15">
        <v>8.7928240740740737E-2</v>
      </c>
      <c r="K317" s="20">
        <v>8.3634259259259255E-2</v>
      </c>
      <c r="L317" s="15">
        <v>9.9155092592592586E-2</v>
      </c>
      <c r="M317" s="11">
        <v>4.5833333333333332E-4</v>
      </c>
      <c r="N317" s="15">
        <v>9.2893518518518514E-2</v>
      </c>
      <c r="O317" s="20">
        <v>0.11407407407407408</v>
      </c>
      <c r="P317" s="15"/>
      <c r="Q317" s="8">
        <f t="shared" si="6"/>
        <v>236</v>
      </c>
      <c r="R317" s="8">
        <f t="shared" si="7"/>
        <v>0</v>
      </c>
    </row>
    <row r="318" spans="1:18">
      <c r="A318">
        <v>24</v>
      </c>
      <c r="B318">
        <v>320</v>
      </c>
      <c r="C318" t="s">
        <v>3908</v>
      </c>
      <c r="D318" t="s">
        <v>3909</v>
      </c>
      <c r="E318" t="str">
        <f t="shared" si="5"/>
        <v>Julija LAUKIENĖ</v>
      </c>
      <c r="F318" t="s">
        <v>3910</v>
      </c>
      <c r="G318" t="s">
        <v>3877</v>
      </c>
      <c r="H318" s="15" t="s">
        <v>3911</v>
      </c>
      <c r="I318" s="15">
        <v>1.0833333333333333</v>
      </c>
      <c r="J318" s="15">
        <v>8.6736111111111111E-2</v>
      </c>
      <c r="K318" s="20">
        <v>8.4004629629629624E-2</v>
      </c>
      <c r="L318" s="15">
        <v>9.9988425925925925E-2</v>
      </c>
      <c r="M318" s="11">
        <v>2.9398148148148149E-4</v>
      </c>
      <c r="N318" s="15">
        <v>9.3078703703703705E-2</v>
      </c>
      <c r="O318" s="20">
        <v>0.11421296296296296</v>
      </c>
      <c r="P318" s="15"/>
      <c r="Q318" s="8">
        <f t="shared" si="6"/>
        <v>235</v>
      </c>
      <c r="R318" s="8">
        <f t="shared" si="7"/>
        <v>0</v>
      </c>
    </row>
    <row r="319" spans="1:18">
      <c r="A319">
        <v>25</v>
      </c>
      <c r="B319">
        <v>349</v>
      </c>
      <c r="C319" t="s">
        <v>3912</v>
      </c>
      <c r="D319" t="s">
        <v>3913</v>
      </c>
      <c r="E319" t="str">
        <f t="shared" si="5"/>
        <v>Miglė VALMAITĖ</v>
      </c>
      <c r="F319" t="s">
        <v>803</v>
      </c>
      <c r="G319" t="s">
        <v>3877</v>
      </c>
      <c r="H319" s="15" t="s">
        <v>3911</v>
      </c>
      <c r="I319" s="15">
        <v>2.0833333333333335</v>
      </c>
      <c r="J319" s="15">
        <v>8.7719907407407413E-2</v>
      </c>
      <c r="K319" s="20">
        <v>8.4259259259259256E-2</v>
      </c>
      <c r="L319" s="15">
        <v>9.9074074074074078E-2</v>
      </c>
      <c r="M319" s="11">
        <v>3.6922962962963001E-4</v>
      </c>
      <c r="N319" s="15">
        <v>9.2789351851851845E-2</v>
      </c>
      <c r="O319" s="20">
        <v>0.11422453703703704</v>
      </c>
      <c r="P319" s="15"/>
      <c r="Q319" s="8">
        <f t="shared" si="6"/>
        <v>235</v>
      </c>
      <c r="R319" s="8">
        <f t="shared" si="7"/>
        <v>0</v>
      </c>
    </row>
    <row r="320" spans="1:18">
      <c r="A320">
        <v>26</v>
      </c>
      <c r="B320">
        <v>346</v>
      </c>
      <c r="C320" t="s">
        <v>3914</v>
      </c>
      <c r="D320" t="s">
        <v>3915</v>
      </c>
      <c r="E320" t="str">
        <f t="shared" si="5"/>
        <v>Kristina UŽPALEVIČIENĖ</v>
      </c>
      <c r="F320" t="s">
        <v>803</v>
      </c>
      <c r="G320" t="s">
        <v>3877</v>
      </c>
      <c r="H320" s="15" t="s">
        <v>3916</v>
      </c>
      <c r="I320" s="15">
        <v>1.0833333333333333</v>
      </c>
      <c r="J320" s="15">
        <v>8.7812500000000002E-2</v>
      </c>
      <c r="K320" s="20">
        <v>8.4282407407407403E-2</v>
      </c>
      <c r="L320" s="15">
        <v>9.9131944444444439E-2</v>
      </c>
      <c r="M320" s="11">
        <v>2.8935185185185184E-4</v>
      </c>
      <c r="N320" s="15">
        <v>9.2719907407407404E-2</v>
      </c>
      <c r="O320" s="20">
        <v>0.11424768518518519</v>
      </c>
      <c r="P320" s="15"/>
      <c r="Q320" s="8">
        <f t="shared" si="6"/>
        <v>235</v>
      </c>
      <c r="R320" s="8">
        <f t="shared" si="7"/>
        <v>0</v>
      </c>
    </row>
    <row r="321" spans="1:18">
      <c r="A321">
        <v>27</v>
      </c>
      <c r="B321">
        <v>32</v>
      </c>
      <c r="C321" t="s">
        <v>3917</v>
      </c>
      <c r="D321" t="s">
        <v>3918</v>
      </c>
      <c r="E321" t="str">
        <f t="shared" si="5"/>
        <v>Adas KESTAUSKAS</v>
      </c>
      <c r="G321" t="s">
        <v>3866</v>
      </c>
      <c r="H321" s="15" t="s">
        <v>3870</v>
      </c>
      <c r="I321" s="15">
        <v>8.0833333333333339</v>
      </c>
      <c r="J321" s="15">
        <v>8.6898148148148155E-2</v>
      </c>
      <c r="K321" s="20">
        <v>8.3715277777777777E-2</v>
      </c>
      <c r="L321" s="15">
        <v>0.1</v>
      </c>
      <c r="M321" s="11">
        <v>3.7500000000000001E-4</v>
      </c>
      <c r="N321" s="15">
        <v>9.4004629629629632E-2</v>
      </c>
      <c r="O321" s="20">
        <v>0.11498842592592592</v>
      </c>
      <c r="P321" s="15"/>
      <c r="Q321" s="8">
        <f t="shared" si="6"/>
        <v>234</v>
      </c>
      <c r="R321" s="8">
        <f t="shared" si="7"/>
        <v>0</v>
      </c>
    </row>
    <row r="322" spans="1:18">
      <c r="A322">
        <v>28</v>
      </c>
      <c r="B322">
        <v>321</v>
      </c>
      <c r="C322" t="s">
        <v>3919</v>
      </c>
      <c r="D322" t="s">
        <v>3920</v>
      </c>
      <c r="E322" t="str">
        <f t="shared" ref="E322:E359" si="8">D322&amp;" "&amp;C322</f>
        <v>Pijus LAZAUSKAS</v>
      </c>
      <c r="G322" t="s">
        <v>3866</v>
      </c>
      <c r="H322" s="15" t="s">
        <v>3870</v>
      </c>
      <c r="I322" s="15">
        <v>9.0833333333333339</v>
      </c>
      <c r="J322" s="15">
        <v>8.6805555555555552E-2</v>
      </c>
      <c r="K322" s="20">
        <v>8.459490740740741E-2</v>
      </c>
      <c r="L322" s="15">
        <v>0.10065972222222222</v>
      </c>
      <c r="M322" s="11">
        <v>4.2013888888888884E-4</v>
      </c>
      <c r="N322" s="15">
        <v>9.2581018518518521E-2</v>
      </c>
      <c r="O322" s="20">
        <v>0.11505787037037037</v>
      </c>
      <c r="P322" s="15"/>
      <c r="Q322" s="8">
        <f t="shared" si="6"/>
        <v>234</v>
      </c>
      <c r="R322" s="8">
        <f t="shared" si="7"/>
        <v>0</v>
      </c>
    </row>
    <row r="323" spans="1:18">
      <c r="A323">
        <v>29</v>
      </c>
      <c r="B323">
        <v>339</v>
      </c>
      <c r="C323" t="s">
        <v>3921</v>
      </c>
      <c r="D323" t="s">
        <v>1348</v>
      </c>
      <c r="E323" t="str">
        <f t="shared" si="8"/>
        <v>Saulius STANKEVIČIUS</v>
      </c>
      <c r="G323" t="s">
        <v>3866</v>
      </c>
      <c r="H323" s="15" t="s">
        <v>3873</v>
      </c>
      <c r="I323" s="15">
        <v>5.083333333333333</v>
      </c>
      <c r="J323" s="15">
        <v>8.729166666666667E-2</v>
      </c>
      <c r="K323" s="20">
        <v>8.4155092592592587E-2</v>
      </c>
      <c r="L323" s="15">
        <v>9.9409722222222219E-2</v>
      </c>
      <c r="M323" s="11">
        <v>2.8819444444444444E-4</v>
      </c>
      <c r="N323" s="15">
        <v>9.4050925925925927E-2</v>
      </c>
      <c r="O323" s="20">
        <v>0.11520833333333333</v>
      </c>
      <c r="P323" s="15"/>
      <c r="Q323" s="8">
        <f t="shared" si="6"/>
        <v>233</v>
      </c>
      <c r="R323" s="8">
        <f t="shared" si="7"/>
        <v>0</v>
      </c>
    </row>
    <row r="324" spans="1:18">
      <c r="A324">
        <v>30</v>
      </c>
      <c r="B324">
        <v>293</v>
      </c>
      <c r="C324" t="s">
        <v>3922</v>
      </c>
      <c r="D324" t="s">
        <v>3923</v>
      </c>
      <c r="E324" t="str">
        <f t="shared" si="8"/>
        <v>Jeronimas BERTULIS</v>
      </c>
      <c r="G324" t="s">
        <v>3866</v>
      </c>
      <c r="H324" s="15" t="s">
        <v>3870</v>
      </c>
      <c r="I324" s="15">
        <v>10.083333333333334</v>
      </c>
      <c r="J324" s="15">
        <v>8.756944444444445E-2</v>
      </c>
      <c r="K324" s="20">
        <v>8.4618055555555557E-2</v>
      </c>
      <c r="L324" s="15">
        <v>0.10048611111111111</v>
      </c>
      <c r="M324" s="11">
        <v>4.4791666666666672E-4</v>
      </c>
      <c r="N324" s="15">
        <v>8.5173611111111117E-2</v>
      </c>
      <c r="O324" s="20">
        <v>0.11524305555555556</v>
      </c>
      <c r="P324" s="15"/>
      <c r="Q324" s="8">
        <f t="shared" si="6"/>
        <v>233</v>
      </c>
      <c r="R324" s="8">
        <f t="shared" si="7"/>
        <v>0</v>
      </c>
    </row>
    <row r="325" spans="1:18">
      <c r="A325">
        <v>31</v>
      </c>
      <c r="B325">
        <v>329</v>
      </c>
      <c r="C325" t="s">
        <v>3924</v>
      </c>
      <c r="D325" t="s">
        <v>3925</v>
      </c>
      <c r="E325" t="str">
        <f t="shared" si="8"/>
        <v>Stanislovas NORKUS</v>
      </c>
      <c r="G325" t="s">
        <v>3866</v>
      </c>
      <c r="H325" s="15" t="s">
        <v>3870</v>
      </c>
      <c r="I325" s="15">
        <v>11.083333333333334</v>
      </c>
      <c r="J325" s="15">
        <v>8.7083333333333332E-2</v>
      </c>
      <c r="K325" s="20">
        <v>8.4259259259259256E-2</v>
      </c>
      <c r="L325" s="15">
        <v>0.10126157407407407</v>
      </c>
      <c r="M325" s="11">
        <v>1.922962962963E-4</v>
      </c>
      <c r="N325" s="15">
        <v>9.2581018518518521E-2</v>
      </c>
      <c r="O325" s="20">
        <v>0.11537037037037037</v>
      </c>
      <c r="P325" s="15"/>
      <c r="Q325" s="8">
        <f t="shared" si="6"/>
        <v>233</v>
      </c>
      <c r="R325" s="8">
        <f t="shared" si="7"/>
        <v>0</v>
      </c>
    </row>
    <row r="326" spans="1:18">
      <c r="A326">
        <v>32</v>
      </c>
      <c r="B326">
        <v>348</v>
      </c>
      <c r="C326" t="s">
        <v>3926</v>
      </c>
      <c r="D326" t="s">
        <v>3927</v>
      </c>
      <c r="E326" t="str">
        <f t="shared" si="8"/>
        <v>Gerda VAIČIŪNAITĖ</v>
      </c>
      <c r="F326" t="s">
        <v>173</v>
      </c>
      <c r="G326" t="s">
        <v>3877</v>
      </c>
      <c r="H326" s="15" t="s">
        <v>3911</v>
      </c>
      <c r="I326" s="15">
        <v>3.0833333333333335</v>
      </c>
      <c r="J326" s="15">
        <v>8.7685185185185185E-2</v>
      </c>
      <c r="K326" s="20">
        <v>8.3530092592592586E-2</v>
      </c>
      <c r="L326" s="15">
        <v>0.10046296296296296</v>
      </c>
      <c r="M326" s="11">
        <v>7.6620370370370373E-4</v>
      </c>
      <c r="N326" s="15">
        <v>9.3148148148148147E-2</v>
      </c>
      <c r="O326" s="20">
        <v>0.11559027777777778</v>
      </c>
      <c r="P326" s="15"/>
      <c r="Q326" s="8">
        <f t="shared" si="6"/>
        <v>232</v>
      </c>
      <c r="R326" s="8">
        <f t="shared" si="7"/>
        <v>0</v>
      </c>
    </row>
    <row r="327" spans="1:18">
      <c r="A327">
        <v>33</v>
      </c>
      <c r="B327">
        <v>336</v>
      </c>
      <c r="C327" t="s">
        <v>3928</v>
      </c>
      <c r="D327" t="s">
        <v>1352</v>
      </c>
      <c r="E327" t="str">
        <f t="shared" si="8"/>
        <v>Arūnas RIMAS</v>
      </c>
      <c r="F327" t="s">
        <v>3929</v>
      </c>
      <c r="G327" t="s">
        <v>3866</v>
      </c>
      <c r="H327" s="15" t="s">
        <v>3870</v>
      </c>
      <c r="I327" s="15">
        <v>2.0833333333333335</v>
      </c>
      <c r="J327" s="15">
        <v>8.8321759259259253E-2</v>
      </c>
      <c r="K327" s="20">
        <v>8.4247685185185189E-2</v>
      </c>
      <c r="L327" s="15">
        <v>0.10140046296296296</v>
      </c>
      <c r="M327" s="11">
        <v>2.1180555555555558E-4</v>
      </c>
      <c r="N327" s="15">
        <v>8.5000000000000006E-2</v>
      </c>
      <c r="O327" s="20">
        <v>0.11612268518518519</v>
      </c>
      <c r="P327" s="15"/>
      <c r="Q327" s="8">
        <f t="shared" si="6"/>
        <v>231</v>
      </c>
      <c r="R327" s="8">
        <f t="shared" si="7"/>
        <v>0</v>
      </c>
    </row>
    <row r="328" spans="1:18">
      <c r="A328">
        <v>34</v>
      </c>
      <c r="B328">
        <v>324</v>
      </c>
      <c r="C328" t="s">
        <v>3897</v>
      </c>
      <c r="D328" t="s">
        <v>3930</v>
      </c>
      <c r="E328" t="str">
        <f t="shared" si="8"/>
        <v>Tadas MITRIKAS</v>
      </c>
      <c r="G328" t="s">
        <v>3866</v>
      </c>
      <c r="H328" s="15" t="s">
        <v>3873</v>
      </c>
      <c r="I328" s="15">
        <v>6.083333333333333</v>
      </c>
      <c r="J328" s="15">
        <v>8.6712962962962964E-2</v>
      </c>
      <c r="K328" s="20">
        <v>8.4259259259259256E-2</v>
      </c>
      <c r="L328" s="15">
        <v>0.10025462962962962</v>
      </c>
      <c r="M328" s="11">
        <v>7.5810185185185182E-4</v>
      </c>
      <c r="N328" s="15">
        <v>9.4155092592592596E-2</v>
      </c>
      <c r="O328" s="20">
        <v>0.11613425925925926</v>
      </c>
      <c r="P328" s="15"/>
      <c r="Q328" s="8">
        <f t="shared" si="6"/>
        <v>231</v>
      </c>
      <c r="R328" s="8">
        <f t="shared" si="7"/>
        <v>0</v>
      </c>
    </row>
    <row r="329" spans="1:18">
      <c r="A329">
        <v>35</v>
      </c>
      <c r="B329">
        <v>317</v>
      </c>
      <c r="C329" t="s">
        <v>3931</v>
      </c>
      <c r="D329" t="s">
        <v>3932</v>
      </c>
      <c r="E329" t="str">
        <f t="shared" si="8"/>
        <v>Gustė KUBILIŪTĖ</v>
      </c>
      <c r="F329" t="s">
        <v>138</v>
      </c>
      <c r="G329" t="s">
        <v>3877</v>
      </c>
      <c r="H329" s="15" t="s">
        <v>3911</v>
      </c>
      <c r="I329" s="15">
        <v>4.083333333333333</v>
      </c>
      <c r="J329" s="15">
        <v>8.6712962962962964E-2</v>
      </c>
      <c r="K329" s="20">
        <v>8.4027777777777785E-2</v>
      </c>
      <c r="L329" s="15">
        <v>0.10054398148148148</v>
      </c>
      <c r="M329" s="11">
        <v>2.3495370370370372E-4</v>
      </c>
      <c r="N329" s="15">
        <v>9.4618055555555552E-2</v>
      </c>
      <c r="O329" s="20">
        <v>0.11614583333333334</v>
      </c>
      <c r="P329" s="15"/>
      <c r="Q329" s="8">
        <f t="shared" si="6"/>
        <v>231</v>
      </c>
      <c r="R329" s="8">
        <f t="shared" si="7"/>
        <v>0</v>
      </c>
    </row>
    <row r="330" spans="1:18">
      <c r="A330">
        <v>36</v>
      </c>
      <c r="B330">
        <v>340</v>
      </c>
      <c r="C330" t="s">
        <v>3933</v>
      </c>
      <c r="D330" t="s">
        <v>3934</v>
      </c>
      <c r="E330" t="str">
        <f t="shared" si="8"/>
        <v>Asta STAVECKIENĖ</v>
      </c>
      <c r="G330" t="s">
        <v>3877</v>
      </c>
      <c r="H330" s="15" t="s">
        <v>3916</v>
      </c>
      <c r="I330" s="15">
        <v>2.0833333333333335</v>
      </c>
      <c r="J330" s="15">
        <v>8.7523148148148142E-2</v>
      </c>
      <c r="K330" s="20">
        <v>8.4062499999999998E-2</v>
      </c>
      <c r="L330" s="15">
        <v>0.10050925925925926</v>
      </c>
      <c r="M330" s="11">
        <v>4.2824074074074075E-4</v>
      </c>
      <c r="N330" s="15">
        <v>9.3657407407407411E-2</v>
      </c>
      <c r="O330" s="20">
        <v>0.1162037037037037</v>
      </c>
      <c r="P330" s="15"/>
      <c r="Q330" s="8">
        <f t="shared" si="6"/>
        <v>231</v>
      </c>
      <c r="R330" s="8">
        <f t="shared" si="7"/>
        <v>0</v>
      </c>
    </row>
    <row r="331" spans="1:18">
      <c r="A331">
        <v>37</v>
      </c>
      <c r="B331">
        <v>291</v>
      </c>
      <c r="C331" t="s">
        <v>3935</v>
      </c>
      <c r="D331" t="s">
        <v>1359</v>
      </c>
      <c r="E331" t="str">
        <f t="shared" si="8"/>
        <v>Jūratė ANTANAVIČIENĖ</v>
      </c>
      <c r="G331" t="s">
        <v>3877</v>
      </c>
      <c r="H331" s="15" t="s">
        <v>3916</v>
      </c>
      <c r="I331" s="15">
        <v>3.0833333333333335</v>
      </c>
      <c r="J331" s="15">
        <v>8.863425925925926E-2</v>
      </c>
      <c r="K331" s="20">
        <v>8.4606481481481477E-2</v>
      </c>
      <c r="L331" s="15">
        <v>0.1013425925925926</v>
      </c>
      <c r="M331" s="11">
        <v>2.3495370370370372E-4</v>
      </c>
      <c r="N331" s="15">
        <v>9.1412037037037042E-2</v>
      </c>
      <c r="O331" s="20">
        <v>0.11623842592592593</v>
      </c>
      <c r="P331" s="15"/>
      <c r="Q331" s="8">
        <f t="shared" si="6"/>
        <v>231</v>
      </c>
      <c r="R331" s="8">
        <f t="shared" si="7"/>
        <v>0</v>
      </c>
    </row>
    <row r="332" spans="1:18">
      <c r="A332">
        <v>38</v>
      </c>
      <c r="B332">
        <v>294</v>
      </c>
      <c r="C332" t="s">
        <v>3936</v>
      </c>
      <c r="D332" t="s">
        <v>3937</v>
      </c>
      <c r="E332" t="str">
        <f t="shared" si="8"/>
        <v>Samanta BLIUVAITĖ</v>
      </c>
      <c r="G332" t="s">
        <v>3877</v>
      </c>
      <c r="H332" s="15" t="s">
        <v>3911</v>
      </c>
      <c r="I332" s="15">
        <v>5.083333333333333</v>
      </c>
      <c r="J332" s="15">
        <v>8.8263888888888892E-2</v>
      </c>
      <c r="K332" s="20">
        <v>8.4282407407407403E-2</v>
      </c>
      <c r="L332" s="15">
        <v>0.10084490740740741</v>
      </c>
      <c r="M332" s="11">
        <v>4.0277777777777773E-4</v>
      </c>
      <c r="N332" s="15">
        <v>9.256944444444444E-2</v>
      </c>
      <c r="O332" s="20">
        <v>0.11636574074074074</v>
      </c>
      <c r="P332" s="15"/>
      <c r="Q332" s="8">
        <f t="shared" si="6"/>
        <v>231</v>
      </c>
      <c r="R332" s="8">
        <f t="shared" si="7"/>
        <v>0</v>
      </c>
    </row>
    <row r="333" spans="1:18">
      <c r="A333">
        <v>39</v>
      </c>
      <c r="B333">
        <v>357</v>
      </c>
      <c r="C333" t="s">
        <v>3938</v>
      </c>
      <c r="D333" t="s">
        <v>3939</v>
      </c>
      <c r="E333" t="str">
        <f t="shared" si="8"/>
        <v>Grantas ŽASETIS</v>
      </c>
      <c r="G333" t="s">
        <v>3866</v>
      </c>
      <c r="H333" s="15" t="s">
        <v>3940</v>
      </c>
      <c r="I333" s="15">
        <v>1.0833333333333333</v>
      </c>
      <c r="J333" s="15">
        <v>8.8252314814814811E-2</v>
      </c>
      <c r="K333" s="20">
        <v>8.4479166666666661E-2</v>
      </c>
      <c r="L333" s="15">
        <v>0.10054398148148148</v>
      </c>
      <c r="M333" s="11">
        <v>4.4907407407407407E-4</v>
      </c>
      <c r="N333" s="15">
        <v>9.268518518518519E-2</v>
      </c>
      <c r="O333" s="20">
        <v>0.11641203703703704</v>
      </c>
      <c r="P333" s="15"/>
      <c r="Q333" s="8">
        <f t="shared" si="6"/>
        <v>231</v>
      </c>
      <c r="R333" s="8">
        <f t="shared" si="7"/>
        <v>0</v>
      </c>
    </row>
    <row r="334" spans="1:18">
      <c r="A334">
        <v>40</v>
      </c>
      <c r="B334">
        <v>292</v>
      </c>
      <c r="C334" t="s">
        <v>3941</v>
      </c>
      <c r="D334" t="s">
        <v>3942</v>
      </c>
      <c r="E334" t="str">
        <f t="shared" si="8"/>
        <v>Nida BALTRANAITE</v>
      </c>
      <c r="F334" t="s">
        <v>203</v>
      </c>
      <c r="G334" t="s">
        <v>3877</v>
      </c>
      <c r="H334" s="15" t="s">
        <v>3911</v>
      </c>
      <c r="I334" s="15">
        <v>6.083333333333333</v>
      </c>
      <c r="J334" s="15">
        <v>8.7766203703703707E-2</v>
      </c>
      <c r="K334" s="20">
        <v>8.4733796296296293E-2</v>
      </c>
      <c r="L334" s="15">
        <v>0.1009375</v>
      </c>
      <c r="M334" s="11">
        <v>3.5648148148148149E-4</v>
      </c>
      <c r="N334" s="15">
        <v>9.284722222222222E-2</v>
      </c>
      <c r="O334" s="20">
        <v>0.11664351851851852</v>
      </c>
      <c r="P334" s="15"/>
      <c r="Q334" s="8">
        <f t="shared" si="6"/>
        <v>230</v>
      </c>
      <c r="R334" s="8">
        <f t="shared" si="7"/>
        <v>0</v>
      </c>
    </row>
    <row r="335" spans="1:18">
      <c r="A335">
        <v>41</v>
      </c>
      <c r="B335">
        <v>330</v>
      </c>
      <c r="C335" t="s">
        <v>3943</v>
      </c>
      <c r="D335" t="s">
        <v>3944</v>
      </c>
      <c r="E335" t="str">
        <f t="shared" si="8"/>
        <v>Vitalija OPONAVIČIŪTĖ</v>
      </c>
      <c r="F335" t="s">
        <v>3910</v>
      </c>
      <c r="G335" t="s">
        <v>3877</v>
      </c>
      <c r="H335" s="15" t="s">
        <v>3911</v>
      </c>
      <c r="I335" s="15">
        <v>7.083333333333333</v>
      </c>
      <c r="J335" s="15">
        <v>8.8391203703703708E-2</v>
      </c>
      <c r="K335" s="20">
        <v>8.4050925925925932E-2</v>
      </c>
      <c r="L335" s="15">
        <v>0.10114583333333334</v>
      </c>
      <c r="M335" s="11">
        <v>4.1782407407407409E-4</v>
      </c>
      <c r="N335" s="15">
        <v>9.2615740740740735E-2</v>
      </c>
      <c r="O335" s="20">
        <v>0.11673611111111111</v>
      </c>
      <c r="P335" s="15"/>
      <c r="Q335" s="8">
        <f t="shared" si="6"/>
        <v>230</v>
      </c>
      <c r="R335" s="8">
        <f t="shared" si="7"/>
        <v>0</v>
      </c>
    </row>
    <row r="336" spans="1:18">
      <c r="A336">
        <v>42</v>
      </c>
      <c r="B336">
        <v>332</v>
      </c>
      <c r="C336" t="s">
        <v>3945</v>
      </c>
      <c r="D336" t="s">
        <v>3946</v>
      </c>
      <c r="E336" t="str">
        <f t="shared" si="8"/>
        <v>Robertas PETUKAUSKAS</v>
      </c>
      <c r="F336" t="s">
        <v>3850</v>
      </c>
      <c r="G336" t="s">
        <v>3866</v>
      </c>
      <c r="H336" s="15" t="s">
        <v>3940</v>
      </c>
      <c r="I336" s="15">
        <v>2.0833333333333335</v>
      </c>
      <c r="J336" s="15">
        <v>8.7986111111111112E-2</v>
      </c>
      <c r="K336" s="20">
        <v>8.4907407407407404E-2</v>
      </c>
      <c r="L336" s="15">
        <v>0.10136574074074074</v>
      </c>
      <c r="M336" s="11">
        <v>6.2615740740740741E-4</v>
      </c>
      <c r="N336" s="15">
        <v>8.4942129629629631E-2</v>
      </c>
      <c r="O336" s="20">
        <v>0.1167824074074074</v>
      </c>
      <c r="P336" s="15"/>
      <c r="Q336" s="8">
        <f t="shared" si="6"/>
        <v>230</v>
      </c>
      <c r="R336" s="8">
        <f t="shared" si="7"/>
        <v>0</v>
      </c>
    </row>
    <row r="337" spans="1:18">
      <c r="A337">
        <v>43</v>
      </c>
      <c r="B337">
        <v>334</v>
      </c>
      <c r="C337" t="s">
        <v>3947</v>
      </c>
      <c r="D337" t="s">
        <v>1359</v>
      </c>
      <c r="E337" t="str">
        <f t="shared" si="8"/>
        <v>Jūratė PŠITULSKIENĖ</v>
      </c>
      <c r="G337" t="s">
        <v>3877</v>
      </c>
      <c r="H337" s="15" t="s">
        <v>3916</v>
      </c>
      <c r="I337" s="15">
        <v>4.083333333333333</v>
      </c>
      <c r="J337" s="15">
        <v>8.6851851851851847E-2</v>
      </c>
      <c r="K337" s="20">
        <v>8.414351851851852E-2</v>
      </c>
      <c r="L337" s="15">
        <v>0.10188657407407407</v>
      </c>
      <c r="M337" s="11">
        <v>4.5949074074074078E-4</v>
      </c>
      <c r="N337" s="15">
        <v>9.3819444444444441E-2</v>
      </c>
      <c r="O337" s="20">
        <v>0.11717592592592592</v>
      </c>
      <c r="P337" s="15"/>
      <c r="Q337" s="8">
        <f t="shared" si="6"/>
        <v>229</v>
      </c>
      <c r="R337" s="8">
        <f t="shared" si="7"/>
        <v>0</v>
      </c>
    </row>
    <row r="338" spans="1:18">
      <c r="A338">
        <v>44</v>
      </c>
      <c r="B338">
        <v>300</v>
      </c>
      <c r="C338" t="s">
        <v>3948</v>
      </c>
      <c r="D338" t="s">
        <v>3949</v>
      </c>
      <c r="E338" t="str">
        <f t="shared" si="8"/>
        <v>Glorija DIEČKĖ</v>
      </c>
      <c r="F338" t="s">
        <v>310</v>
      </c>
      <c r="G338" t="s">
        <v>3877</v>
      </c>
      <c r="H338" s="15" t="s">
        <v>3911</v>
      </c>
      <c r="I338" s="15">
        <v>8.0833333333333339</v>
      </c>
      <c r="J338" s="15">
        <v>8.7372685185185192E-2</v>
      </c>
      <c r="K338" s="20">
        <v>8.4317129629629631E-2</v>
      </c>
      <c r="L338" s="15">
        <v>0.10164351851851852</v>
      </c>
      <c r="M338" s="11">
        <v>3.9236111111111107E-4</v>
      </c>
      <c r="N338" s="15">
        <v>9.3657407407407411E-2</v>
      </c>
      <c r="O338" s="20">
        <v>0.11738425925925926</v>
      </c>
      <c r="P338" s="15"/>
      <c r="Q338" s="8">
        <f t="shared" si="6"/>
        <v>229</v>
      </c>
      <c r="R338" s="8">
        <f t="shared" si="7"/>
        <v>0</v>
      </c>
    </row>
    <row r="339" spans="1:18">
      <c r="A339">
        <v>45</v>
      </c>
      <c r="B339">
        <v>301</v>
      </c>
      <c r="C339" t="s">
        <v>3950</v>
      </c>
      <c r="D339" t="s">
        <v>3951</v>
      </c>
      <c r="E339" t="str">
        <f t="shared" si="8"/>
        <v>Joris DIEČKUS</v>
      </c>
      <c r="F339" t="s">
        <v>310</v>
      </c>
      <c r="G339" t="s">
        <v>3866</v>
      </c>
      <c r="H339" s="15" t="s">
        <v>3870</v>
      </c>
      <c r="I339" s="15">
        <v>13.083333333333334</v>
      </c>
      <c r="J339" s="15">
        <v>8.6956018518518516E-2</v>
      </c>
      <c r="K339" s="20">
        <v>8.4537037037037036E-2</v>
      </c>
      <c r="L339" s="15">
        <v>0.10233796296296296</v>
      </c>
      <c r="M339" s="11">
        <v>3.4143518518518518E-4</v>
      </c>
      <c r="N339" s="15">
        <v>9.3229166666666669E-2</v>
      </c>
      <c r="O339" s="20">
        <v>0.11739583333333334</v>
      </c>
      <c r="P339" s="15"/>
      <c r="Q339" s="8">
        <f t="shared" si="6"/>
        <v>229</v>
      </c>
      <c r="R339" s="8">
        <f t="shared" si="7"/>
        <v>0</v>
      </c>
    </row>
    <row r="340" spans="1:18">
      <c r="A340">
        <v>46</v>
      </c>
      <c r="B340">
        <v>297</v>
      </c>
      <c r="C340" t="s">
        <v>3952</v>
      </c>
      <c r="D340" t="s">
        <v>3953</v>
      </c>
      <c r="E340" t="str">
        <f t="shared" si="8"/>
        <v>Augustė BUIKAITĖ</v>
      </c>
      <c r="F340" t="s">
        <v>3954</v>
      </c>
      <c r="G340" t="s">
        <v>3877</v>
      </c>
      <c r="H340" s="15" t="s">
        <v>3878</v>
      </c>
      <c r="I340" s="15">
        <v>3.0833333333333335</v>
      </c>
      <c r="J340" s="15">
        <v>8.7337962962962964E-2</v>
      </c>
      <c r="K340" s="20">
        <v>8.4178240740740734E-2</v>
      </c>
      <c r="L340" s="15">
        <v>0.10071759259259259</v>
      </c>
      <c r="M340" s="11">
        <v>3.8657407407407407E-4</v>
      </c>
      <c r="N340" s="15">
        <v>9.554398148148148E-2</v>
      </c>
      <c r="O340" s="20">
        <v>0.11818287037037037</v>
      </c>
      <c r="P340" s="15"/>
      <c r="Q340" s="8">
        <f t="shared" si="6"/>
        <v>227</v>
      </c>
      <c r="R340" s="8">
        <f t="shared" si="7"/>
        <v>0</v>
      </c>
    </row>
    <row r="341" spans="1:18">
      <c r="A341">
        <v>47</v>
      </c>
      <c r="B341">
        <v>302</v>
      </c>
      <c r="C341" t="s">
        <v>3955</v>
      </c>
      <c r="D341" t="s">
        <v>3956</v>
      </c>
      <c r="E341" t="str">
        <f t="shared" si="8"/>
        <v>Vytenis DIRMEIKIS</v>
      </c>
      <c r="G341" t="s">
        <v>3866</v>
      </c>
      <c r="H341" s="15" t="s">
        <v>3870</v>
      </c>
      <c r="I341" s="15">
        <v>14.083333333333334</v>
      </c>
      <c r="J341" s="15">
        <v>8.7210648148148148E-2</v>
      </c>
      <c r="K341" s="20">
        <v>8.4710648148148146E-2</v>
      </c>
      <c r="L341" s="15">
        <v>0.10097222222222223</v>
      </c>
      <c r="M341" s="11">
        <v>3.7847222222222226E-4</v>
      </c>
      <c r="N341" s="15">
        <v>9.4918981481481479E-2</v>
      </c>
      <c r="O341" s="20">
        <v>0.11818287037037037</v>
      </c>
      <c r="P341" s="15"/>
      <c r="Q341" s="8">
        <f t="shared" si="6"/>
        <v>227</v>
      </c>
      <c r="R341" s="8">
        <f t="shared" si="7"/>
        <v>0</v>
      </c>
    </row>
    <row r="342" spans="1:18">
      <c r="A342">
        <v>48</v>
      </c>
      <c r="B342">
        <v>360</v>
      </c>
      <c r="C342" t="s">
        <v>3957</v>
      </c>
      <c r="D342" t="s">
        <v>3958</v>
      </c>
      <c r="E342" t="str">
        <f t="shared" si="8"/>
        <v>Aleksandr ŽURAVSKIJ</v>
      </c>
      <c r="G342" t="s">
        <v>3866</v>
      </c>
      <c r="H342" s="15" t="s">
        <v>3870</v>
      </c>
      <c r="I342" s="15">
        <v>15.083333333333334</v>
      </c>
      <c r="J342" s="15">
        <v>8.7858796296296296E-2</v>
      </c>
      <c r="K342" s="20">
        <v>8.3923611111111115E-2</v>
      </c>
      <c r="L342" s="15">
        <v>0.10292824074074074</v>
      </c>
      <c r="M342" s="11">
        <v>1.898148148148148E-4</v>
      </c>
      <c r="N342" s="15">
        <v>9.329861111111111E-2</v>
      </c>
      <c r="O342" s="20">
        <v>0.11820601851851852</v>
      </c>
      <c r="P342" s="15"/>
      <c r="Q342" s="8">
        <f t="shared" si="6"/>
        <v>227</v>
      </c>
      <c r="R342" s="8">
        <f t="shared" si="7"/>
        <v>0</v>
      </c>
    </row>
    <row r="343" spans="1:18">
      <c r="A343">
        <v>49</v>
      </c>
      <c r="B343">
        <v>314</v>
      </c>
      <c r="C343" t="s">
        <v>3959</v>
      </c>
      <c r="D343" t="s">
        <v>3960</v>
      </c>
      <c r="E343" t="str">
        <f t="shared" si="8"/>
        <v>Vilma KUBILĖ</v>
      </c>
      <c r="F343" t="s">
        <v>1453</v>
      </c>
      <c r="G343" t="s">
        <v>3877</v>
      </c>
      <c r="H343" s="15" t="s">
        <v>3916</v>
      </c>
      <c r="I343" s="15">
        <v>5.083333333333333</v>
      </c>
      <c r="J343" s="15">
        <v>8.7141203703703707E-2</v>
      </c>
      <c r="K343" s="20">
        <v>8.4155092592592587E-2</v>
      </c>
      <c r="L343" s="15">
        <v>0.10306712962962963</v>
      </c>
      <c r="M343" s="11">
        <v>3.9236111111111107E-4</v>
      </c>
      <c r="N343" s="15">
        <v>9.3796296296296294E-2</v>
      </c>
      <c r="O343" s="20">
        <v>0.11856481481481482</v>
      </c>
      <c r="P343" s="15"/>
      <c r="Q343" s="8">
        <f t="shared" si="6"/>
        <v>227</v>
      </c>
      <c r="R343" s="8">
        <f t="shared" si="7"/>
        <v>0</v>
      </c>
    </row>
    <row r="344" spans="1:18">
      <c r="A344">
        <v>50</v>
      </c>
      <c r="B344">
        <v>322</v>
      </c>
      <c r="C344" t="s">
        <v>3961</v>
      </c>
      <c r="D344" t="s">
        <v>3962</v>
      </c>
      <c r="E344" t="str">
        <f t="shared" si="8"/>
        <v>Karina LESEVIČIŪTĖ</v>
      </c>
      <c r="G344" t="s">
        <v>3877</v>
      </c>
      <c r="H344" s="15" t="s">
        <v>3911</v>
      </c>
      <c r="I344" s="15">
        <v>9.0833333333333339</v>
      </c>
      <c r="J344" s="15">
        <v>8.8217592592592597E-2</v>
      </c>
      <c r="K344" s="20">
        <v>8.4340277777777778E-2</v>
      </c>
      <c r="L344" s="15">
        <v>0.10165509259259259</v>
      </c>
      <c r="M344" s="11">
        <v>6.3888888888888893E-4</v>
      </c>
      <c r="N344" s="15">
        <v>9.3715277777777772E-2</v>
      </c>
      <c r="O344" s="20">
        <v>0.11858796296296296</v>
      </c>
      <c r="P344" s="15"/>
      <c r="Q344" s="8">
        <f t="shared" si="6"/>
        <v>227</v>
      </c>
      <c r="R344" s="8">
        <f t="shared" si="7"/>
        <v>0</v>
      </c>
    </row>
    <row r="345" spans="1:18">
      <c r="A345">
        <v>51</v>
      </c>
      <c r="B345">
        <v>310</v>
      </c>
      <c r="C345" t="s">
        <v>3963</v>
      </c>
      <c r="D345" t="s">
        <v>3964</v>
      </c>
      <c r="E345" t="str">
        <f t="shared" si="8"/>
        <v>Marius KAPLERIS</v>
      </c>
      <c r="F345" t="s">
        <v>3965</v>
      </c>
      <c r="G345" t="s">
        <v>3866</v>
      </c>
      <c r="H345" s="15" t="s">
        <v>3870</v>
      </c>
      <c r="I345" s="15">
        <v>16.083333333333332</v>
      </c>
      <c r="J345" s="15">
        <v>8.7511574074074075E-2</v>
      </c>
      <c r="K345" s="20">
        <v>8.4965277777777778E-2</v>
      </c>
      <c r="L345" s="15">
        <v>0.10243055555555555</v>
      </c>
      <c r="M345" s="11">
        <v>3.4606481481481478E-4</v>
      </c>
      <c r="N345" s="15">
        <v>9.3483796296296301E-2</v>
      </c>
      <c r="O345" s="20">
        <v>0.11873842592592593</v>
      </c>
      <c r="P345" s="15"/>
      <c r="Q345" s="8">
        <f t="shared" si="6"/>
        <v>226</v>
      </c>
      <c r="R345" s="8">
        <f t="shared" si="7"/>
        <v>0</v>
      </c>
    </row>
    <row r="346" spans="1:18">
      <c r="A346">
        <v>52</v>
      </c>
      <c r="B346">
        <v>331</v>
      </c>
      <c r="C346" t="s">
        <v>3966</v>
      </c>
      <c r="D346" t="s">
        <v>3967</v>
      </c>
      <c r="E346" t="str">
        <f t="shared" si="8"/>
        <v>Julius PETNIŪNAS</v>
      </c>
      <c r="G346" t="s">
        <v>3866</v>
      </c>
      <c r="H346" s="15" t="s">
        <v>3870</v>
      </c>
      <c r="I346" s="15">
        <v>17.083333333333332</v>
      </c>
      <c r="J346" s="15">
        <v>8.8101851851851848E-2</v>
      </c>
      <c r="K346" s="20">
        <v>8.5613425925925926E-2</v>
      </c>
      <c r="L346" s="15">
        <v>0.10144675925925926</v>
      </c>
      <c r="M346" s="11">
        <v>6.3194444444444442E-4</v>
      </c>
      <c r="N346" s="15">
        <v>9.2962962962962969E-2</v>
      </c>
      <c r="O346" s="20">
        <v>0.11874999999999999</v>
      </c>
      <c r="P346" s="15"/>
      <c r="Q346" s="8">
        <f t="shared" si="6"/>
        <v>226</v>
      </c>
      <c r="R346" s="8">
        <f t="shared" si="7"/>
        <v>0</v>
      </c>
    </row>
    <row r="347" spans="1:18">
      <c r="A347">
        <v>53</v>
      </c>
      <c r="B347">
        <v>311</v>
      </c>
      <c r="C347" t="s">
        <v>3968</v>
      </c>
      <c r="D347" t="s">
        <v>3969</v>
      </c>
      <c r="E347" t="str">
        <f t="shared" si="8"/>
        <v>Simona KARBONSKYTĖ</v>
      </c>
      <c r="F347" t="s">
        <v>3663</v>
      </c>
      <c r="G347" t="s">
        <v>3877</v>
      </c>
      <c r="H347" s="15" t="s">
        <v>3911</v>
      </c>
      <c r="I347" s="15">
        <v>10.083333333333334</v>
      </c>
      <c r="J347" s="15">
        <v>8.7650462962962958E-2</v>
      </c>
      <c r="K347" s="20">
        <v>8.4293981481481484E-2</v>
      </c>
      <c r="L347" s="15">
        <v>0.10108796296296296</v>
      </c>
      <c r="M347" s="11">
        <v>4.2361111111111115E-4</v>
      </c>
      <c r="N347" s="15">
        <v>9.5451388888888891E-2</v>
      </c>
      <c r="O347" s="20">
        <v>0.11891203703703704</v>
      </c>
      <c r="P347" s="15"/>
      <c r="Q347" s="8">
        <f t="shared" si="6"/>
        <v>226</v>
      </c>
      <c r="R347" s="8">
        <f t="shared" si="7"/>
        <v>0</v>
      </c>
    </row>
    <row r="348" spans="1:18">
      <c r="A348">
        <v>54</v>
      </c>
      <c r="B348">
        <v>359</v>
      </c>
      <c r="C348" t="s">
        <v>3970</v>
      </c>
      <c r="D348" t="s">
        <v>3971</v>
      </c>
      <c r="E348" t="str">
        <f t="shared" si="8"/>
        <v>Rasa ŽILINSKAITĖ</v>
      </c>
      <c r="G348" t="s">
        <v>3877</v>
      </c>
      <c r="H348" s="15" t="s">
        <v>3911</v>
      </c>
      <c r="I348" s="15">
        <v>11.083333333333334</v>
      </c>
      <c r="J348" s="15">
        <v>8.9155092592592591E-2</v>
      </c>
      <c r="K348" s="20">
        <v>8.4259259259259256E-2</v>
      </c>
      <c r="L348" s="15">
        <v>0.10094907407407408</v>
      </c>
      <c r="M348" s="11">
        <v>6.2615740740740741E-4</v>
      </c>
      <c r="N348" s="15">
        <v>9.447916666666667E-2</v>
      </c>
      <c r="O348" s="20">
        <v>0.11947916666666666</v>
      </c>
      <c r="P348" s="15"/>
      <c r="Q348" s="8">
        <f t="shared" si="6"/>
        <v>225</v>
      </c>
      <c r="R348" s="8">
        <f t="shared" si="7"/>
        <v>0</v>
      </c>
    </row>
    <row r="349" spans="1:18">
      <c r="A349">
        <v>55</v>
      </c>
      <c r="B349">
        <v>315</v>
      </c>
      <c r="C349" t="s">
        <v>3972</v>
      </c>
      <c r="D349" t="s">
        <v>3930</v>
      </c>
      <c r="E349" t="str">
        <f t="shared" si="8"/>
        <v>Tadas KUBILIUS</v>
      </c>
      <c r="G349" t="s">
        <v>3866</v>
      </c>
      <c r="H349" s="15" t="s">
        <v>3873</v>
      </c>
      <c r="I349" s="15">
        <v>7.083333333333333</v>
      </c>
      <c r="J349" s="15">
        <v>8.7986111111111112E-2</v>
      </c>
      <c r="K349" s="20">
        <v>8.4502314814814808E-2</v>
      </c>
      <c r="L349" s="15">
        <v>0.10121527777777778</v>
      </c>
      <c r="M349" s="11">
        <v>4.7222222222222218E-4</v>
      </c>
      <c r="N349" s="15">
        <v>9.5300925925925928E-2</v>
      </c>
      <c r="O349" s="20">
        <v>0.11947916666666666</v>
      </c>
      <c r="P349" s="15"/>
      <c r="Q349" s="8">
        <f t="shared" si="6"/>
        <v>225</v>
      </c>
      <c r="R349" s="8">
        <f t="shared" si="7"/>
        <v>0</v>
      </c>
    </row>
    <row r="350" spans="1:18">
      <c r="A350">
        <v>56</v>
      </c>
      <c r="B350">
        <v>351</v>
      </c>
      <c r="C350" t="s">
        <v>3973</v>
      </c>
      <c r="D350" t="s">
        <v>3974</v>
      </c>
      <c r="E350" t="str">
        <f t="shared" si="8"/>
        <v>Denis VANPOUCKE</v>
      </c>
      <c r="G350" t="s">
        <v>3866</v>
      </c>
      <c r="H350" s="15" t="s">
        <v>3870</v>
      </c>
      <c r="I350" s="15">
        <v>18.083333333333332</v>
      </c>
      <c r="J350" s="15">
        <v>8.8391203703703708E-2</v>
      </c>
      <c r="K350" s="20">
        <v>8.4328703703703697E-2</v>
      </c>
      <c r="L350" s="15">
        <v>0.10336805555555556</v>
      </c>
      <c r="M350" s="11">
        <v>3.1597222222222221E-4</v>
      </c>
      <c r="N350" s="15">
        <v>9.3587962962962956E-2</v>
      </c>
      <c r="O350" s="20">
        <v>0.12</v>
      </c>
      <c r="P350" s="15"/>
      <c r="Q350" s="8">
        <f t="shared" si="6"/>
        <v>224</v>
      </c>
      <c r="R350" s="8">
        <f t="shared" si="7"/>
        <v>0</v>
      </c>
    </row>
    <row r="351" spans="1:18">
      <c r="A351">
        <v>57</v>
      </c>
      <c r="B351">
        <v>306</v>
      </c>
      <c r="C351" t="s">
        <v>3975</v>
      </c>
      <c r="D351" t="s">
        <v>3875</v>
      </c>
      <c r="E351" t="str">
        <f t="shared" si="8"/>
        <v>Liepa GERVELĖ</v>
      </c>
      <c r="F351" t="s">
        <v>138</v>
      </c>
      <c r="G351" t="s">
        <v>3877</v>
      </c>
      <c r="H351" s="15" t="s">
        <v>3878</v>
      </c>
      <c r="I351" s="15">
        <v>4.083333333333333</v>
      </c>
      <c r="J351" s="15">
        <v>8.6574074074074067E-2</v>
      </c>
      <c r="K351" s="20">
        <v>8.4178240740740734E-2</v>
      </c>
      <c r="L351" s="15">
        <v>0.10186342592592593</v>
      </c>
      <c r="M351" s="11">
        <v>4.2939814814814815E-4</v>
      </c>
      <c r="N351" s="15">
        <v>9.7013888888888886E-2</v>
      </c>
      <c r="O351" s="20">
        <v>0.12005787037037037</v>
      </c>
      <c r="P351" s="15"/>
      <c r="Q351" s="8">
        <f t="shared" si="6"/>
        <v>224</v>
      </c>
      <c r="R351" s="8">
        <f t="shared" si="7"/>
        <v>0</v>
      </c>
    </row>
    <row r="352" spans="1:18">
      <c r="A352">
        <v>58</v>
      </c>
      <c r="B352">
        <v>325</v>
      </c>
      <c r="C352" t="s">
        <v>3976</v>
      </c>
      <c r="D352" t="s">
        <v>3977</v>
      </c>
      <c r="E352" t="str">
        <f t="shared" si="8"/>
        <v>Ieva NAIKIENĖ</v>
      </c>
      <c r="F352" t="s">
        <v>3663</v>
      </c>
      <c r="G352" t="s">
        <v>3877</v>
      </c>
      <c r="H352" s="15" t="s">
        <v>3911</v>
      </c>
      <c r="I352" s="15">
        <v>2.0833333333333335</v>
      </c>
      <c r="J352" s="15">
        <v>8.8321759259259253E-2</v>
      </c>
      <c r="K352" s="20">
        <v>8.4108796296296293E-2</v>
      </c>
      <c r="L352" s="15">
        <v>0.1031712962962963</v>
      </c>
      <c r="M352" s="11">
        <v>5.1620370370370372E-4</v>
      </c>
      <c r="N352" s="15">
        <v>9.4675925925925927E-2</v>
      </c>
      <c r="O352" s="20">
        <v>0.12079861111111111</v>
      </c>
      <c r="P352" s="15"/>
      <c r="Q352" s="8">
        <f t="shared" si="6"/>
        <v>222</v>
      </c>
      <c r="R352" s="8">
        <f t="shared" si="7"/>
        <v>0</v>
      </c>
    </row>
    <row r="353" spans="1:19">
      <c r="A353">
        <v>59</v>
      </c>
      <c r="B353">
        <v>319</v>
      </c>
      <c r="C353" t="s">
        <v>3978</v>
      </c>
      <c r="D353" t="s">
        <v>3901</v>
      </c>
      <c r="E353" t="str">
        <f t="shared" si="8"/>
        <v>Justas KVEDERIS</v>
      </c>
      <c r="G353" t="s">
        <v>3866</v>
      </c>
      <c r="H353" s="15" t="s">
        <v>3870</v>
      </c>
      <c r="I353" s="15">
        <v>19.083333333333332</v>
      </c>
      <c r="J353" s="15">
        <v>8.802083333333334E-2</v>
      </c>
      <c r="K353" s="20">
        <v>8.4768518518518521E-2</v>
      </c>
      <c r="L353" s="15">
        <v>0.10350694444444444</v>
      </c>
      <c r="M353" s="11">
        <v>3.5995370370370369E-4</v>
      </c>
      <c r="N353" s="15">
        <v>9.4143518518518515E-2</v>
      </c>
      <c r="O353" s="20">
        <v>0.12082175925925925</v>
      </c>
      <c r="P353" s="15"/>
      <c r="Q353" s="8">
        <f t="shared" si="6"/>
        <v>222</v>
      </c>
      <c r="R353" s="8">
        <f t="shared" si="7"/>
        <v>0</v>
      </c>
    </row>
    <row r="354" spans="1:19">
      <c r="A354">
        <v>60</v>
      </c>
      <c r="B354">
        <v>358</v>
      </c>
      <c r="C354" t="s">
        <v>3979</v>
      </c>
      <c r="D354" t="s">
        <v>3980</v>
      </c>
      <c r="E354" t="str">
        <f t="shared" si="8"/>
        <v>Smiltė ŽASETYTĖ</v>
      </c>
      <c r="G354" t="s">
        <v>3877</v>
      </c>
      <c r="H354" s="15" t="s">
        <v>3878</v>
      </c>
      <c r="I354" s="15">
        <v>5.083333333333333</v>
      </c>
      <c r="J354" s="15">
        <v>8.8437500000000002E-2</v>
      </c>
      <c r="K354" s="20">
        <v>8.4247685185185189E-2</v>
      </c>
      <c r="L354" s="15">
        <v>0.10313657407407407</v>
      </c>
      <c r="M354" s="11">
        <v>2.9282407407407409E-4</v>
      </c>
      <c r="N354" s="15">
        <v>9.4872685185185185E-2</v>
      </c>
      <c r="O354" s="20">
        <v>0.12100694444444444</v>
      </c>
      <c r="P354" s="15"/>
      <c r="Q354" s="8">
        <f t="shared" si="6"/>
        <v>222</v>
      </c>
      <c r="R354" s="8">
        <f t="shared" si="7"/>
        <v>0</v>
      </c>
    </row>
    <row r="355" spans="1:19">
      <c r="A355">
        <v>61</v>
      </c>
      <c r="B355">
        <v>304</v>
      </c>
      <c r="C355" t="s">
        <v>3981</v>
      </c>
      <c r="D355" t="s">
        <v>3982</v>
      </c>
      <c r="E355" t="str">
        <f t="shared" si="8"/>
        <v>Kotryna GEDMINĖ</v>
      </c>
      <c r="G355" t="s">
        <v>3877</v>
      </c>
      <c r="H355" s="15" t="s">
        <v>3911</v>
      </c>
      <c r="I355" s="15">
        <v>13.083333333333334</v>
      </c>
      <c r="J355" s="15">
        <v>8.8761574074074076E-2</v>
      </c>
      <c r="K355" s="20">
        <v>8.50462962962963E-2</v>
      </c>
      <c r="L355" s="15">
        <v>0.10167824074074074</v>
      </c>
      <c r="M355" s="11">
        <v>3.4837962962962964E-4</v>
      </c>
      <c r="N355" s="15">
        <v>9.5324074074074075E-2</v>
      </c>
      <c r="O355" s="20">
        <v>0.12116898148148147</v>
      </c>
      <c r="P355" s="15"/>
      <c r="Q355" s="8">
        <f t="shared" si="6"/>
        <v>222</v>
      </c>
      <c r="R355" s="8">
        <f t="shared" si="7"/>
        <v>0</v>
      </c>
    </row>
    <row r="356" spans="1:19">
      <c r="A356">
        <v>62</v>
      </c>
      <c r="B356">
        <v>318</v>
      </c>
      <c r="C356" t="s">
        <v>3983</v>
      </c>
      <c r="D356" t="s">
        <v>3984</v>
      </c>
      <c r="E356" t="str">
        <f t="shared" si="8"/>
        <v>Kostas KUKENYS</v>
      </c>
      <c r="F356" t="s">
        <v>138</v>
      </c>
      <c r="G356" t="s">
        <v>3866</v>
      </c>
      <c r="H356" s="15" t="s">
        <v>3867</v>
      </c>
      <c r="I356" s="15">
        <v>5.083333333333333</v>
      </c>
      <c r="J356" s="15">
        <v>8.7685185185185185E-2</v>
      </c>
      <c r="K356" s="20">
        <v>8.4687499999999999E-2</v>
      </c>
      <c r="L356" s="15">
        <v>0.10383101851851852</v>
      </c>
      <c r="M356" s="11">
        <v>5.983796296296297E-4</v>
      </c>
      <c r="N356" s="15">
        <v>9.707175925925926E-2</v>
      </c>
      <c r="O356" s="20">
        <v>0.12387731481481482</v>
      </c>
      <c r="P356" s="15"/>
      <c r="Q356" s="8">
        <f t="shared" si="6"/>
        <v>217</v>
      </c>
      <c r="R356" s="8">
        <f t="shared" si="7"/>
        <v>0</v>
      </c>
    </row>
    <row r="357" spans="1:19">
      <c r="A357">
        <v>63</v>
      </c>
      <c r="B357">
        <v>342</v>
      </c>
      <c r="C357" t="s">
        <v>3985</v>
      </c>
      <c r="D357" t="s">
        <v>3986</v>
      </c>
      <c r="E357" t="str">
        <f t="shared" si="8"/>
        <v>Povilas STUČKA</v>
      </c>
      <c r="G357" t="s">
        <v>3866</v>
      </c>
      <c r="H357" s="15" t="s">
        <v>3870</v>
      </c>
      <c r="I357" s="15">
        <v>20.083333333333332</v>
      </c>
      <c r="J357" s="15">
        <v>8.9409722222222224E-2</v>
      </c>
      <c r="K357" s="20">
        <v>8.3587962962962961E-2</v>
      </c>
      <c r="L357" s="15">
        <v>0.10578703703703704</v>
      </c>
      <c r="M357" s="11">
        <v>1.4467592592592592E-4</v>
      </c>
      <c r="N357" s="15">
        <v>9.5578703703703707E-2</v>
      </c>
      <c r="O357" s="20">
        <v>0.12451388888888888</v>
      </c>
      <c r="P357" s="15"/>
      <c r="Q357" s="8">
        <f t="shared" si="6"/>
        <v>216</v>
      </c>
      <c r="R357" s="8">
        <f t="shared" si="7"/>
        <v>0</v>
      </c>
    </row>
    <row r="358" spans="1:19">
      <c r="A358">
        <v>64</v>
      </c>
      <c r="B358">
        <v>341</v>
      </c>
      <c r="C358" t="s">
        <v>3987</v>
      </c>
      <c r="D358" t="s">
        <v>3988</v>
      </c>
      <c r="E358" t="str">
        <f t="shared" si="8"/>
        <v>Aura STUCKIENE</v>
      </c>
      <c r="G358" t="s">
        <v>3877</v>
      </c>
      <c r="H358" s="15" t="s">
        <v>3911</v>
      </c>
      <c r="I358" s="15">
        <v>14.083333333333334</v>
      </c>
      <c r="J358" s="15">
        <v>8.8298611111111105E-2</v>
      </c>
      <c r="K358" s="20">
        <v>8.4699074074074079E-2</v>
      </c>
      <c r="L358" s="15">
        <v>0.10585648148148148</v>
      </c>
      <c r="M358" s="11">
        <v>1.3425925925925926E-4</v>
      </c>
      <c r="N358" s="15">
        <v>9.5578703703703707E-2</v>
      </c>
      <c r="O358" s="20">
        <v>0.12457175925925926</v>
      </c>
      <c r="P358" s="15"/>
      <c r="Q358" s="8">
        <f t="shared" si="6"/>
        <v>216</v>
      </c>
      <c r="R358" s="8">
        <f t="shared" si="7"/>
        <v>0</v>
      </c>
    </row>
    <row r="359" spans="1:19">
      <c r="A359" t="s">
        <v>3989</v>
      </c>
      <c r="B359">
        <v>345</v>
      </c>
      <c r="C359" t="s">
        <v>3990</v>
      </c>
      <c r="D359" t="s">
        <v>3991</v>
      </c>
      <c r="E359" t="str">
        <f t="shared" si="8"/>
        <v>Žygimantas URBIETIS</v>
      </c>
      <c r="G359" t="s">
        <v>3866</v>
      </c>
      <c r="H359" s="15" t="s">
        <v>3870</v>
      </c>
      <c r="I359" s="15"/>
      <c r="J359" s="15"/>
      <c r="L359" s="15"/>
      <c r="M359" s="11"/>
      <c r="N359" s="15"/>
      <c r="O359" t="s">
        <v>3992</v>
      </c>
      <c r="P359" s="15"/>
      <c r="Q359" s="8">
        <f t="shared" si="6"/>
        <v>0</v>
      </c>
      <c r="R359" s="8">
        <f t="shared" si="7"/>
        <v>0</v>
      </c>
    </row>
    <row r="360" spans="1:19">
      <c r="H360" s="15"/>
      <c r="I360" s="15"/>
      <c r="J360" s="15"/>
      <c r="L360" s="15"/>
      <c r="M360" s="11"/>
      <c r="N360" s="15"/>
      <c r="P360" s="15"/>
      <c r="Q360" s="15"/>
      <c r="R360" s="14"/>
    </row>
    <row r="361" spans="1:19">
      <c r="H361" s="15"/>
      <c r="I361" s="15"/>
      <c r="J361" s="15"/>
      <c r="L361" s="15"/>
      <c r="M361" s="11"/>
      <c r="N361" s="15"/>
      <c r="P361" s="15"/>
      <c r="Q361" s="15"/>
      <c r="R361" s="14"/>
    </row>
    <row r="362" spans="1:19" ht="29.1">
      <c r="A362" s="28">
        <v>1</v>
      </c>
      <c r="B362" s="28">
        <v>225</v>
      </c>
      <c r="C362" s="32" t="s">
        <v>135</v>
      </c>
      <c r="D362" s="28" t="s">
        <v>3993</v>
      </c>
      <c r="E362" s="28" t="s">
        <v>3994</v>
      </c>
      <c r="F362" s="28"/>
      <c r="G362" s="28" t="s">
        <v>340</v>
      </c>
      <c r="H362" s="28" t="s">
        <v>3940</v>
      </c>
      <c r="I362" s="28"/>
      <c r="J362" s="30">
        <v>8.5439814814814816E-2</v>
      </c>
      <c r="K362" s="30">
        <v>8.385416666666666E-2</v>
      </c>
      <c r="L362" s="30">
        <v>9.5127314814814817E-2</v>
      </c>
      <c r="M362" s="30">
        <v>8.368055555555555E-2</v>
      </c>
      <c r="N362" s="30">
        <v>8.924768518518518E-2</v>
      </c>
      <c r="O362" s="30">
        <v>0.10413194444444444</v>
      </c>
      <c r="P362" s="28"/>
      <c r="Q362" s="8">
        <f t="shared" ref="Q362" si="9">IFERROR(ROUND($O$295/O362*700,0),0)</f>
        <v>258</v>
      </c>
      <c r="R362" s="14"/>
    </row>
    <row r="363" spans="1:19" ht="29.1">
      <c r="A363" s="28">
        <v>8</v>
      </c>
      <c r="B363" s="28">
        <v>202</v>
      </c>
      <c r="C363" s="32" t="s">
        <v>135</v>
      </c>
      <c r="D363" s="28" t="s">
        <v>3995</v>
      </c>
      <c r="E363" s="28" t="s">
        <v>138</v>
      </c>
      <c r="F363" s="28"/>
      <c r="G363" s="28" t="s">
        <v>340</v>
      </c>
      <c r="H363" s="28" t="s">
        <v>3870</v>
      </c>
      <c r="I363" s="28">
        <v>1</v>
      </c>
      <c r="J363" s="30">
        <v>8.6539351851851853E-2</v>
      </c>
      <c r="K363" s="30">
        <v>8.414351851851852E-2</v>
      </c>
      <c r="L363" s="30">
        <v>9.5671296296296296E-2</v>
      </c>
      <c r="M363" s="30">
        <v>8.351851851851852E-2</v>
      </c>
      <c r="N363" s="30">
        <v>9.0335648148148151E-2</v>
      </c>
      <c r="O363" s="30">
        <v>0.10686342592592593</v>
      </c>
      <c r="P363" s="28" t="s">
        <v>3996</v>
      </c>
      <c r="Q363" s="15"/>
      <c r="R363" s="14"/>
    </row>
    <row r="364" spans="1:19" ht="29.1">
      <c r="A364" s="28">
        <v>36</v>
      </c>
      <c r="B364" s="28">
        <v>228</v>
      </c>
      <c r="C364" s="32" t="s">
        <v>135</v>
      </c>
      <c r="D364" s="28" t="s">
        <v>3997</v>
      </c>
      <c r="E364" s="28" t="s">
        <v>138</v>
      </c>
      <c r="F364" s="28"/>
      <c r="G364" s="28" t="s">
        <v>340</v>
      </c>
      <c r="H364" s="28" t="s">
        <v>3940</v>
      </c>
      <c r="I364" s="28">
        <v>4</v>
      </c>
      <c r="J364" s="30">
        <v>8.6261574074074074E-2</v>
      </c>
      <c r="K364" s="30">
        <v>8.458333333333333E-2</v>
      </c>
      <c r="L364" s="30">
        <v>9.8506944444444439E-2</v>
      </c>
      <c r="M364" s="30">
        <v>8.3553240740740747E-2</v>
      </c>
      <c r="N364" s="30">
        <v>9.4039351851851846E-2</v>
      </c>
      <c r="O364" s="30">
        <v>0.11362268518518519</v>
      </c>
      <c r="P364" s="28" t="s">
        <v>3998</v>
      </c>
      <c r="R364" s="14"/>
    </row>
    <row r="365" spans="1:19">
      <c r="H365" s="15"/>
      <c r="I365" s="15"/>
      <c r="J365" s="15"/>
      <c r="L365" s="15"/>
      <c r="M365" s="11"/>
      <c r="N365" s="15"/>
      <c r="P365" s="15"/>
      <c r="Q365" s="15"/>
      <c r="R365" s="14"/>
    </row>
    <row r="366" spans="1:19">
      <c r="H366" s="15"/>
      <c r="I366" s="15"/>
      <c r="J366" s="15"/>
      <c r="L366" s="15"/>
      <c r="M366" s="11"/>
      <c r="N366" s="15"/>
      <c r="P366" s="15"/>
      <c r="Q366" s="15"/>
      <c r="R366" s="14"/>
    </row>
    <row r="367" spans="1:19" ht="43.5">
      <c r="A367" s="28">
        <v>1</v>
      </c>
      <c r="B367" s="28">
        <v>341</v>
      </c>
      <c r="C367" s="32" t="s">
        <v>135</v>
      </c>
      <c r="D367" s="28" t="s">
        <v>3999</v>
      </c>
      <c r="E367" s="28" t="s">
        <v>4000</v>
      </c>
      <c r="F367" s="28"/>
      <c r="G367" s="28" t="s">
        <v>3940</v>
      </c>
      <c r="H367" s="28"/>
      <c r="I367" s="28" t="s">
        <v>4001</v>
      </c>
      <c r="J367" s="30">
        <v>2.2916666666666667E-3</v>
      </c>
      <c r="K367" s="30">
        <v>5.8564814814814818E-4</v>
      </c>
      <c r="L367" s="30">
        <v>1.3854166666666666E-2</v>
      </c>
      <c r="M367" s="30">
        <v>2.9861111111111109E-4</v>
      </c>
      <c r="N367" s="30">
        <v>6.8043981481481488E-3</v>
      </c>
      <c r="O367" s="30">
        <v>2.3836805555555559E-2</v>
      </c>
      <c r="P367" s="28"/>
      <c r="Q367" s="30">
        <v>2.3842592592592592E-2</v>
      </c>
      <c r="R367" s="8">
        <f>IFERROR(ROUND($Q$367/Q367*700,0),0)</f>
        <v>700</v>
      </c>
      <c r="S367" s="8">
        <f>IFERROR(ROUND($Q$367/R367*700,0),0)</f>
        <v>0</v>
      </c>
    </row>
    <row r="368" spans="1:19" ht="43.5">
      <c r="A368" s="28">
        <v>15</v>
      </c>
      <c r="B368" s="28">
        <v>358</v>
      </c>
      <c r="C368" s="32" t="s">
        <v>135</v>
      </c>
      <c r="D368" s="28" t="s">
        <v>3997</v>
      </c>
      <c r="E368" s="28" t="s">
        <v>138</v>
      </c>
      <c r="F368" s="21" t="s">
        <v>4002</v>
      </c>
      <c r="G368" s="28" t="s">
        <v>3940</v>
      </c>
      <c r="H368" s="28">
        <v>2</v>
      </c>
      <c r="I368" s="28" t="s">
        <v>4001</v>
      </c>
      <c r="J368" s="30">
        <v>2.9062499999999995E-3</v>
      </c>
      <c r="K368" s="30">
        <v>1.0277777777777778E-3</v>
      </c>
      <c r="L368" s="30">
        <v>1.6164351851851853E-2</v>
      </c>
      <c r="M368" s="30">
        <v>2.6388888888888886E-4</v>
      </c>
      <c r="N368" s="30">
        <v>9.2106481481481484E-3</v>
      </c>
      <c r="O368" s="30">
        <v>2.9576388888888892E-2</v>
      </c>
      <c r="P368" s="28" t="s">
        <v>4003</v>
      </c>
      <c r="Q368" s="30">
        <v>2.9571759259259259E-2</v>
      </c>
      <c r="R368" s="8">
        <f>IFERROR(ROUND($Q$367/Q368*700,0),0)</f>
        <v>564</v>
      </c>
    </row>
    <row r="369" spans="2:18">
      <c r="H369" s="15"/>
      <c r="I369" s="15"/>
      <c r="J369" s="15"/>
      <c r="L369" s="15"/>
      <c r="M369" s="11"/>
      <c r="N369" s="15"/>
      <c r="P369" s="15"/>
      <c r="Q369" s="15"/>
      <c r="R369" s="14"/>
    </row>
    <row r="370" spans="2:18">
      <c r="H370" s="15"/>
      <c r="I370" s="15"/>
      <c r="J370" s="15"/>
      <c r="L370" s="15"/>
      <c r="M370" s="11"/>
      <c r="N370" s="15"/>
      <c r="P370" s="15"/>
      <c r="Q370" s="15"/>
      <c r="R370" s="14"/>
    </row>
    <row r="371" spans="2:18">
      <c r="H371" s="15"/>
      <c r="I371" s="15"/>
      <c r="J371" s="15"/>
      <c r="L371" s="15"/>
      <c r="M371" s="11"/>
      <c r="N371" s="15"/>
      <c r="P371" s="15"/>
      <c r="Q371" s="15"/>
      <c r="R371" s="14"/>
    </row>
    <row r="372" spans="2:18">
      <c r="H372" s="15"/>
      <c r="I372" s="15"/>
      <c r="J372" s="15"/>
      <c r="L372" s="15"/>
      <c r="M372" s="11"/>
      <c r="N372" s="15"/>
      <c r="P372" s="15"/>
      <c r="Q372" s="15"/>
      <c r="R372" s="14"/>
    </row>
    <row r="373" spans="2:18">
      <c r="H373" s="15"/>
      <c r="I373" s="15"/>
      <c r="J373" s="15"/>
      <c r="L373" s="15"/>
      <c r="M373" s="11"/>
      <c r="N373" s="15"/>
      <c r="P373" s="15"/>
      <c r="Q373" s="15"/>
      <c r="R373" s="14"/>
    </row>
    <row r="374" spans="2:18">
      <c r="H374" s="15"/>
      <c r="I374" s="15"/>
      <c r="J374" s="15"/>
      <c r="L374" s="15"/>
      <c r="M374" s="11"/>
      <c r="N374" s="15"/>
      <c r="P374" s="15"/>
      <c r="Q374" s="15"/>
      <c r="R374" s="14"/>
    </row>
    <row r="375" spans="2:18">
      <c r="H375" s="15"/>
      <c r="I375" s="15"/>
      <c r="J375" s="15"/>
      <c r="L375" s="15"/>
      <c r="M375" s="11"/>
      <c r="N375" s="15"/>
      <c r="P375" s="15"/>
      <c r="Q375" s="15"/>
      <c r="R375" s="14"/>
    </row>
    <row r="376" spans="2:18">
      <c r="H376" s="15"/>
      <c r="I376" s="15"/>
      <c r="J376" s="15"/>
      <c r="L376" s="15"/>
      <c r="M376" s="11"/>
      <c r="N376" s="15"/>
      <c r="P376" s="15"/>
      <c r="Q376" s="15"/>
      <c r="R376" s="14"/>
    </row>
    <row r="377" spans="2:18">
      <c r="H377" s="15"/>
      <c r="I377" s="15"/>
      <c r="J377" s="15"/>
      <c r="L377" s="15"/>
      <c r="M377" s="11"/>
      <c r="N377" s="15"/>
      <c r="P377" s="15"/>
      <c r="Q377" s="15"/>
      <c r="R377" s="14"/>
    </row>
    <row r="378" spans="2:18">
      <c r="H378" s="15"/>
      <c r="I378" s="15"/>
      <c r="J378" s="15"/>
      <c r="L378" s="15"/>
      <c r="M378" s="11"/>
      <c r="N378" s="15"/>
      <c r="P378" s="15"/>
      <c r="Q378" s="15"/>
      <c r="R378" s="14"/>
    </row>
    <row r="379" spans="2:18">
      <c r="H379" s="15"/>
      <c r="I379" s="15"/>
      <c r="J379" s="15"/>
      <c r="L379" s="15"/>
      <c r="M379" s="11"/>
      <c r="N379" s="15"/>
      <c r="P379" s="15"/>
      <c r="Q379" s="15"/>
      <c r="R379" s="14"/>
    </row>
    <row r="380" spans="2:18">
      <c r="H380" s="15"/>
      <c r="I380" s="15"/>
      <c r="J380" s="15"/>
      <c r="L380" s="15"/>
      <c r="M380" s="11"/>
      <c r="N380" s="15"/>
      <c r="P380" s="15"/>
      <c r="Q380" s="15"/>
      <c r="R380" s="14"/>
    </row>
    <row r="381" spans="2:18">
      <c r="H381" s="15"/>
      <c r="I381" s="15"/>
      <c r="J381" s="15"/>
      <c r="L381" s="15"/>
      <c r="M381" s="11"/>
      <c r="N381" s="15"/>
      <c r="P381" s="15"/>
      <c r="Q381" s="15"/>
      <c r="R381" s="14"/>
    </row>
    <row r="382" spans="2:18">
      <c r="H382" s="15"/>
      <c r="I382" s="15"/>
      <c r="J382" s="15"/>
      <c r="L382" s="15"/>
      <c r="M382" s="11"/>
      <c r="N382" s="15"/>
      <c r="P382" s="15"/>
      <c r="Q382" s="15"/>
      <c r="R382" s="14"/>
    </row>
    <row r="383" spans="2:18">
      <c r="B383" s="88"/>
      <c r="H383" s="15"/>
      <c r="I383" s="15"/>
      <c r="J383" s="15"/>
      <c r="L383" s="15"/>
      <c r="M383" s="11"/>
      <c r="N383" s="15"/>
      <c r="P383" s="15"/>
      <c r="Q383" s="15"/>
      <c r="R383" s="14"/>
    </row>
    <row r="384" spans="2:18">
      <c r="H384" s="15"/>
      <c r="I384" s="15"/>
      <c r="J384" s="15"/>
      <c r="L384" s="15"/>
      <c r="M384" s="11"/>
      <c r="N384" s="15"/>
      <c r="P384" s="15"/>
      <c r="Q384" s="15"/>
      <c r="R384" s="14"/>
    </row>
    <row r="385" spans="8:18">
      <c r="H385" s="15"/>
      <c r="I385" s="15"/>
      <c r="J385" s="15"/>
      <c r="L385" s="15"/>
      <c r="M385" s="11"/>
      <c r="N385" s="15"/>
      <c r="P385" s="15"/>
      <c r="Q385" s="15"/>
      <c r="R385" s="14"/>
    </row>
    <row r="386" spans="8:18">
      <c r="H386" s="15"/>
      <c r="I386" s="15"/>
      <c r="J386" s="15"/>
      <c r="L386" s="15"/>
      <c r="M386" s="11"/>
      <c r="N386" s="15"/>
      <c r="P386" s="15"/>
      <c r="Q386" s="15"/>
      <c r="R386" s="14"/>
    </row>
    <row r="387" spans="8:18">
      <c r="H387" s="15"/>
      <c r="I387" s="15"/>
      <c r="J387" s="15"/>
      <c r="L387" s="15"/>
      <c r="M387" s="11"/>
      <c r="N387" s="15"/>
      <c r="P387" s="15"/>
      <c r="Q387" s="15"/>
      <c r="R387" s="14"/>
    </row>
    <row r="388" spans="8:18">
      <c r="H388" s="15"/>
      <c r="I388" s="15"/>
      <c r="J388" s="15"/>
      <c r="L388" s="15"/>
      <c r="M388" s="11"/>
      <c r="N388" s="15"/>
      <c r="P388" s="15"/>
      <c r="Q388" s="15"/>
      <c r="R388" s="14"/>
    </row>
    <row r="389" spans="8:18">
      <c r="H389" s="15"/>
      <c r="I389" s="15"/>
      <c r="J389" s="15"/>
      <c r="L389" s="15"/>
      <c r="M389" s="11"/>
      <c r="N389" s="15"/>
      <c r="P389" s="15"/>
      <c r="Q389" s="15"/>
      <c r="R389" s="14"/>
    </row>
    <row r="390" spans="8:18">
      <c r="H390" s="15"/>
      <c r="I390" s="15"/>
      <c r="J390" s="15"/>
      <c r="L390" s="15"/>
      <c r="M390" s="11"/>
      <c r="N390" s="15"/>
      <c r="P390" s="15"/>
      <c r="Q390" s="15"/>
      <c r="R390" s="14"/>
    </row>
    <row r="391" spans="8:18">
      <c r="H391" s="15"/>
      <c r="I391" s="15"/>
      <c r="J391" s="15"/>
      <c r="L391" s="15"/>
      <c r="M391" s="11"/>
      <c r="N391" s="15"/>
      <c r="P391" s="15"/>
      <c r="Q391" s="15"/>
      <c r="R391" s="14"/>
    </row>
    <row r="392" spans="8:18">
      <c r="H392" s="15"/>
      <c r="I392" s="15"/>
      <c r="J392" s="15"/>
      <c r="L392" s="15"/>
      <c r="M392" s="11"/>
      <c r="N392" s="15"/>
      <c r="P392" s="15"/>
      <c r="Q392" s="15"/>
      <c r="R392" s="14"/>
    </row>
    <row r="393" spans="8:18">
      <c r="H393" s="15"/>
      <c r="I393" s="15"/>
      <c r="J393" s="15"/>
      <c r="L393" s="15"/>
      <c r="M393" s="11"/>
      <c r="N393" s="15"/>
      <c r="P393" s="15"/>
      <c r="Q393" s="15"/>
      <c r="R393" s="14"/>
    </row>
    <row r="394" spans="8:18">
      <c r="H394" s="15"/>
      <c r="I394" s="15"/>
      <c r="J394" s="15"/>
      <c r="L394" s="15"/>
      <c r="M394" s="11"/>
      <c r="N394" s="15"/>
      <c r="P394" s="15"/>
      <c r="Q394" s="15"/>
      <c r="R394" s="14"/>
    </row>
    <row r="395" spans="8:18">
      <c r="H395" s="15"/>
      <c r="I395" s="15"/>
      <c r="J395" s="15"/>
      <c r="L395" s="15"/>
      <c r="M395" s="11"/>
      <c r="N395" s="15"/>
      <c r="P395" s="15"/>
      <c r="Q395" s="15"/>
      <c r="R395" s="14"/>
    </row>
    <row r="396" spans="8:18">
      <c r="H396" s="15"/>
      <c r="I396" s="15"/>
      <c r="J396" s="15"/>
      <c r="L396" s="15"/>
      <c r="M396" s="11"/>
      <c r="N396" s="15"/>
      <c r="P396" s="15"/>
      <c r="Q396" s="15"/>
      <c r="R396" s="14"/>
    </row>
    <row r="397" spans="8:18">
      <c r="H397" s="15"/>
      <c r="I397" s="15"/>
      <c r="J397" s="15"/>
      <c r="L397" s="15"/>
      <c r="M397" s="11"/>
      <c r="N397" s="15"/>
      <c r="P397" s="15"/>
      <c r="Q397" s="15"/>
      <c r="R397" s="14"/>
    </row>
    <row r="398" spans="8:18">
      <c r="H398" s="15"/>
      <c r="I398" s="15"/>
      <c r="J398" s="15"/>
      <c r="L398" s="15"/>
      <c r="M398" s="11"/>
      <c r="N398" s="15"/>
      <c r="P398" s="15"/>
      <c r="Q398" s="15"/>
      <c r="R398" s="14"/>
    </row>
    <row r="399" spans="8:18">
      <c r="H399" s="15"/>
      <c r="I399" s="15"/>
      <c r="J399" s="15"/>
      <c r="L399" s="15"/>
      <c r="M399" s="11"/>
      <c r="N399" s="15"/>
      <c r="P399" s="15"/>
      <c r="Q399" s="15"/>
      <c r="R399" s="14"/>
    </row>
    <row r="400" spans="8:18">
      <c r="H400" s="15"/>
      <c r="I400" s="15"/>
      <c r="J400" s="15"/>
      <c r="L400" s="15"/>
      <c r="M400" s="11"/>
      <c r="N400" s="15"/>
      <c r="P400" s="15"/>
      <c r="Q400" s="15"/>
      <c r="R400" s="14"/>
    </row>
    <row r="401" spans="8:18">
      <c r="H401" s="15"/>
      <c r="I401" s="15"/>
      <c r="J401" s="15"/>
      <c r="L401" s="15"/>
      <c r="M401" s="11"/>
      <c r="N401" s="15"/>
      <c r="P401" s="15"/>
      <c r="Q401" s="15"/>
      <c r="R401" s="14"/>
    </row>
    <row r="402" spans="8:18">
      <c r="H402" s="15"/>
      <c r="I402" s="15"/>
      <c r="J402" s="15"/>
      <c r="L402" s="15"/>
      <c r="M402" s="11"/>
      <c r="N402" s="15"/>
      <c r="P402" s="15"/>
      <c r="Q402" s="15"/>
      <c r="R402" s="14"/>
    </row>
    <row r="403" spans="8:18">
      <c r="H403" s="15"/>
      <c r="I403" s="15"/>
      <c r="J403" s="15"/>
      <c r="L403" s="15"/>
      <c r="M403" s="11"/>
      <c r="N403" s="15"/>
      <c r="P403" s="15"/>
      <c r="Q403" s="15"/>
      <c r="R403" s="14"/>
    </row>
    <row r="404" spans="8:18">
      <c r="H404" s="15"/>
      <c r="I404" s="15"/>
      <c r="J404" s="15"/>
      <c r="L404" s="15"/>
      <c r="M404" s="11"/>
      <c r="N404" s="15"/>
      <c r="P404" s="15"/>
      <c r="Q404" s="15"/>
      <c r="R404" s="14"/>
    </row>
    <row r="405" spans="8:18">
      <c r="H405" s="15"/>
      <c r="I405" s="15"/>
      <c r="J405" s="15"/>
      <c r="L405" s="15"/>
      <c r="M405" s="11"/>
      <c r="N405" s="15"/>
      <c r="P405" s="15"/>
      <c r="Q405" s="15"/>
      <c r="R405" s="14"/>
    </row>
    <row r="406" spans="8:18">
      <c r="H406" s="15"/>
      <c r="I406" s="15"/>
      <c r="J406" s="15"/>
      <c r="L406" s="15"/>
      <c r="M406" s="11"/>
      <c r="N406" s="15"/>
      <c r="P406" s="15"/>
      <c r="Q406" s="15"/>
      <c r="R406" s="14"/>
    </row>
    <row r="407" spans="8:18">
      <c r="H407" s="15"/>
      <c r="I407" s="15"/>
      <c r="J407" s="15"/>
      <c r="L407" s="15"/>
      <c r="M407" s="11"/>
      <c r="N407" s="15"/>
      <c r="P407" s="15"/>
      <c r="Q407" s="15"/>
      <c r="R407" s="14"/>
    </row>
    <row r="408" spans="8:18">
      <c r="H408" s="15"/>
      <c r="I408" s="15"/>
      <c r="J408" s="15"/>
      <c r="L408" s="15"/>
      <c r="M408" s="11"/>
      <c r="N408" s="15"/>
      <c r="P408" s="15"/>
      <c r="Q408" s="15"/>
      <c r="R408" s="14"/>
    </row>
    <row r="409" spans="8:18">
      <c r="H409" s="15"/>
      <c r="I409" s="15"/>
      <c r="J409" s="15"/>
      <c r="L409" s="15"/>
      <c r="M409" s="11"/>
      <c r="N409" s="15"/>
      <c r="P409" s="15"/>
      <c r="Q409" s="15"/>
      <c r="R409" s="14"/>
    </row>
    <row r="410" spans="8:18">
      <c r="H410" s="15"/>
      <c r="I410" s="15"/>
      <c r="J410" s="15"/>
      <c r="L410" s="15"/>
      <c r="M410" s="11"/>
      <c r="N410" s="15"/>
      <c r="P410" s="15"/>
      <c r="Q410" s="15"/>
      <c r="R410" s="14"/>
    </row>
    <row r="411" spans="8:18">
      <c r="H411" s="15"/>
      <c r="I411" s="15"/>
      <c r="J411" s="15"/>
      <c r="L411" s="15"/>
      <c r="M411" s="11"/>
      <c r="N411" s="15"/>
      <c r="P411" s="15"/>
      <c r="Q411" s="15"/>
      <c r="R411" s="14"/>
    </row>
    <row r="412" spans="8:18">
      <c r="H412" s="15"/>
      <c r="I412" s="15"/>
      <c r="J412" s="15"/>
      <c r="L412" s="15"/>
      <c r="M412" s="11"/>
      <c r="N412" s="15"/>
      <c r="P412" s="15"/>
      <c r="Q412" s="15"/>
      <c r="R412" s="14"/>
    </row>
    <row r="413" spans="8:18">
      <c r="H413" s="15"/>
      <c r="I413" s="15"/>
      <c r="J413" s="15"/>
      <c r="L413" s="15"/>
      <c r="M413" s="11"/>
      <c r="N413" s="15"/>
      <c r="P413" s="15"/>
      <c r="Q413" s="15"/>
      <c r="R413" s="14"/>
    </row>
    <row r="414" spans="8:18">
      <c r="H414" s="15"/>
      <c r="I414" s="15"/>
      <c r="J414" s="15"/>
      <c r="L414" s="15"/>
      <c r="M414" s="11"/>
      <c r="N414" s="15"/>
      <c r="P414" s="15"/>
      <c r="Q414" s="15"/>
      <c r="R414" s="14"/>
    </row>
    <row r="415" spans="8:18">
      <c r="H415" s="15"/>
      <c r="I415" s="15"/>
      <c r="J415" s="15"/>
      <c r="L415" s="15"/>
      <c r="M415" s="11"/>
      <c r="N415" s="15"/>
      <c r="P415" s="15"/>
      <c r="Q415" s="15"/>
      <c r="R415" s="14"/>
    </row>
    <row r="416" spans="8:18">
      <c r="H416" s="15"/>
      <c r="I416" s="15"/>
      <c r="J416" s="15"/>
      <c r="L416" s="15"/>
      <c r="M416" s="11"/>
      <c r="N416" s="15"/>
      <c r="P416" s="15"/>
      <c r="Q416" s="15"/>
      <c r="R416" s="14"/>
    </row>
    <row r="417" spans="8:18">
      <c r="H417" s="15"/>
      <c r="I417" s="15"/>
      <c r="J417" s="15"/>
      <c r="L417" s="15"/>
      <c r="M417" s="11"/>
      <c r="N417" s="15"/>
      <c r="P417" s="15"/>
      <c r="Q417" s="15"/>
      <c r="R417" s="14"/>
    </row>
    <row r="418" spans="8:18">
      <c r="H418" s="15"/>
      <c r="I418" s="15"/>
      <c r="J418" s="15"/>
      <c r="L418" s="15"/>
      <c r="M418" s="11"/>
      <c r="N418" s="15"/>
      <c r="P418" s="15"/>
      <c r="Q418" s="15"/>
      <c r="R418" s="14"/>
    </row>
    <row r="419" spans="8:18">
      <c r="H419" s="15"/>
      <c r="I419" s="15"/>
      <c r="J419" s="15"/>
      <c r="L419" s="15"/>
      <c r="M419" s="11"/>
      <c r="N419" s="15"/>
      <c r="P419" s="15"/>
      <c r="Q419" s="15"/>
      <c r="R419" s="14"/>
    </row>
    <row r="420" spans="8:18">
      <c r="H420" s="15"/>
      <c r="I420" s="15"/>
      <c r="J420" s="15"/>
      <c r="L420" s="15"/>
      <c r="M420" s="11"/>
      <c r="N420" s="15"/>
      <c r="P420" s="15"/>
      <c r="Q420" s="15"/>
      <c r="R420" s="14"/>
    </row>
    <row r="421" spans="8:18">
      <c r="H421" s="15"/>
      <c r="I421" s="15"/>
      <c r="J421" s="15"/>
      <c r="L421" s="15"/>
      <c r="M421" s="11"/>
      <c r="N421" s="15"/>
      <c r="P421" s="15"/>
      <c r="Q421" s="15"/>
      <c r="R421" s="14"/>
    </row>
    <row r="422" spans="8:18">
      <c r="H422" s="15"/>
      <c r="I422" s="15"/>
      <c r="J422" s="15"/>
      <c r="L422" s="15"/>
      <c r="M422" s="11"/>
      <c r="N422" s="15"/>
      <c r="P422" s="15"/>
      <c r="Q422" s="15"/>
      <c r="R422" s="14"/>
    </row>
    <row r="423" spans="8:18">
      <c r="H423" s="15"/>
      <c r="I423" s="15"/>
      <c r="J423" s="15"/>
      <c r="L423" s="15"/>
      <c r="M423" s="11"/>
      <c r="N423" s="15"/>
      <c r="P423" s="15"/>
      <c r="Q423" s="15"/>
      <c r="R423" s="14"/>
    </row>
    <row r="424" spans="8:18">
      <c r="H424" s="15"/>
      <c r="I424" s="15"/>
      <c r="J424" s="15"/>
      <c r="L424" s="15"/>
      <c r="M424" s="11"/>
      <c r="N424" s="15"/>
      <c r="P424" s="15"/>
      <c r="Q424" s="15"/>
      <c r="R424" s="14"/>
    </row>
  </sheetData>
  <autoFilter ref="A182:R359" xr:uid="{1763BFF7-F180-4C02-BACA-82C821BF968A}"/>
  <conditionalFormatting sqref="I2:I155">
    <cfRule type="cellIs" dxfId="3" priority="6" operator="equal">
      <formula>0</formula>
    </cfRule>
  </conditionalFormatting>
  <conditionalFormatting sqref="I158:I424">
    <cfRule type="cellIs" dxfId="2" priority="2" operator="equal">
      <formula>0</formula>
    </cfRule>
  </conditionalFormatting>
  <conditionalFormatting sqref="M2:M155">
    <cfRule type="cellIs" dxfId="1" priority="5" operator="equal">
      <formula>0</formula>
    </cfRule>
  </conditionalFormatting>
  <conditionalFormatting sqref="M158:M424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7D2B2-A275-4496-9D53-5DE1A9444E8B}">
  <dimension ref="A1:S124"/>
  <sheetViews>
    <sheetView workbookViewId="0">
      <pane xSplit="2" ySplit="3" topLeftCell="C25" activePane="bottomRight" state="frozen"/>
      <selection pane="bottomRight" activeCell="B41" sqref="B41"/>
      <selection pane="bottomLeft" activeCell="A4" sqref="A4"/>
      <selection pane="topRight" activeCell="E1" sqref="E1"/>
    </sheetView>
  </sheetViews>
  <sheetFormatPr defaultColWidth="14.42578125" defaultRowHeight="15" customHeight="1"/>
  <cols>
    <col min="1" max="1" width="5" customWidth="1"/>
    <col min="2" max="2" width="39.5703125" customWidth="1"/>
    <col min="3" max="4" width="10.7109375" customWidth="1"/>
    <col min="5" max="5" width="10.28515625" customWidth="1"/>
    <col min="6" max="9" width="10.7109375" customWidth="1"/>
    <col min="10" max="10" width="12.28515625" customWidth="1"/>
    <col min="11" max="12" width="12.140625" customWidth="1"/>
    <col min="13" max="16" width="10.7109375" customWidth="1"/>
    <col min="17" max="17" width="1.85546875" customWidth="1"/>
    <col min="18" max="18" width="8.7109375" customWidth="1"/>
  </cols>
  <sheetData>
    <row r="1" spans="1:18" ht="15.6">
      <c r="A1" s="87"/>
      <c r="B1" s="62" t="s">
        <v>0</v>
      </c>
      <c r="C1" s="87"/>
      <c r="D1" s="87"/>
      <c r="E1" s="87"/>
      <c r="F1" s="87"/>
      <c r="G1" s="87"/>
      <c r="H1" s="87"/>
      <c r="I1" s="87"/>
      <c r="J1" s="87"/>
      <c r="K1" s="64"/>
      <c r="L1" s="64"/>
      <c r="M1" s="64"/>
      <c r="N1" s="64"/>
      <c r="O1" s="173"/>
      <c r="P1" s="173"/>
      <c r="Q1" s="87"/>
    </row>
    <row r="2" spans="1:18" ht="14.45">
      <c r="A2" s="173"/>
      <c r="B2" s="173"/>
      <c r="C2" s="87"/>
      <c r="D2" s="87"/>
      <c r="E2" s="87"/>
      <c r="F2" s="87"/>
      <c r="G2" s="87"/>
      <c r="H2" s="87"/>
      <c r="I2" s="87"/>
      <c r="J2" s="87"/>
      <c r="K2" s="64"/>
      <c r="L2" s="64"/>
      <c r="M2" s="64"/>
      <c r="N2" s="64"/>
      <c r="O2" s="173"/>
      <c r="P2" s="173"/>
      <c r="Q2" s="87"/>
    </row>
    <row r="3" spans="1:18" ht="75" customHeight="1">
      <c r="A3" s="79" t="s">
        <v>1</v>
      </c>
      <c r="B3" s="79" t="s">
        <v>3</v>
      </c>
      <c r="C3" s="65" t="s">
        <v>4004</v>
      </c>
      <c r="D3" s="65" t="s">
        <v>5</v>
      </c>
      <c r="E3" s="65" t="s">
        <v>4005</v>
      </c>
      <c r="F3" s="65" t="s">
        <v>4006</v>
      </c>
      <c r="G3" s="65" t="s">
        <v>4007</v>
      </c>
      <c r="H3" s="65" t="s">
        <v>4008</v>
      </c>
      <c r="I3" s="65" t="s">
        <v>4009</v>
      </c>
      <c r="J3" s="65" t="s">
        <v>4010</v>
      </c>
      <c r="K3" s="79" t="s">
        <v>14</v>
      </c>
      <c r="L3" s="79" t="s">
        <v>15</v>
      </c>
      <c r="M3" s="79" t="s">
        <v>16</v>
      </c>
      <c r="N3" s="79" t="s">
        <v>17</v>
      </c>
      <c r="O3" s="179"/>
      <c r="P3" s="179"/>
      <c r="Q3" s="87"/>
      <c r="R3" s="3"/>
    </row>
    <row r="4" spans="1:18" ht="14.45">
      <c r="A4" s="57">
        <v>1</v>
      </c>
      <c r="B4" s="69" t="s">
        <v>22</v>
      </c>
      <c r="C4" s="66">
        <v>900</v>
      </c>
      <c r="D4" s="66"/>
      <c r="E4" s="66"/>
      <c r="F4" s="66">
        <v>1000</v>
      </c>
      <c r="G4" s="66">
        <v>1100</v>
      </c>
      <c r="H4" s="66">
        <v>1000</v>
      </c>
      <c r="I4" s="66">
        <v>979</v>
      </c>
      <c r="J4" s="66"/>
      <c r="K4" s="66">
        <v>5</v>
      </c>
      <c r="L4" s="54">
        <v>4979</v>
      </c>
      <c r="M4" s="66">
        <v>996</v>
      </c>
      <c r="N4" s="54">
        <v>3100</v>
      </c>
      <c r="O4" s="173"/>
      <c r="P4" s="173"/>
      <c r="Q4" s="87"/>
      <c r="R4" s="4"/>
    </row>
    <row r="5" spans="1:18" ht="14.45">
      <c r="A5" s="57">
        <v>2</v>
      </c>
      <c r="B5" s="69" t="s">
        <v>32</v>
      </c>
      <c r="C5" s="66"/>
      <c r="D5" s="66"/>
      <c r="E5" s="66"/>
      <c r="F5" s="66"/>
      <c r="G5" s="66">
        <v>984</v>
      </c>
      <c r="H5" s="66">
        <v>948</v>
      </c>
      <c r="I5" s="66">
        <v>895</v>
      </c>
      <c r="J5" s="66">
        <v>929</v>
      </c>
      <c r="K5" s="66">
        <v>4</v>
      </c>
      <c r="L5" s="54">
        <v>3756</v>
      </c>
      <c r="M5" s="66">
        <v>939</v>
      </c>
      <c r="N5" s="54">
        <v>2861</v>
      </c>
      <c r="O5" s="173"/>
      <c r="P5" s="173"/>
      <c r="Q5" s="87"/>
    </row>
    <row r="6" spans="1:18" ht="14.45">
      <c r="A6" s="57">
        <v>3</v>
      </c>
      <c r="B6" s="69" t="s">
        <v>25</v>
      </c>
      <c r="C6" s="66"/>
      <c r="D6" s="66">
        <v>926</v>
      </c>
      <c r="E6" s="66">
        <v>0</v>
      </c>
      <c r="F6" s="66"/>
      <c r="G6" s="66"/>
      <c r="H6" s="66">
        <v>852</v>
      </c>
      <c r="I6" s="66">
        <v>933</v>
      </c>
      <c r="J6" s="66"/>
      <c r="K6" s="66">
        <v>3</v>
      </c>
      <c r="L6" s="54">
        <v>2711</v>
      </c>
      <c r="M6" s="66">
        <v>904</v>
      </c>
      <c r="N6" s="54">
        <v>2711</v>
      </c>
      <c r="O6" s="173"/>
      <c r="P6" s="173"/>
      <c r="Q6" s="87"/>
    </row>
    <row r="7" spans="1:18" ht="14.45">
      <c r="A7" s="57">
        <v>4</v>
      </c>
      <c r="B7" s="69" t="s">
        <v>33</v>
      </c>
      <c r="C7" s="66"/>
      <c r="D7" s="66">
        <v>851</v>
      </c>
      <c r="E7" s="66">
        <v>946</v>
      </c>
      <c r="F7" s="66">
        <v>840</v>
      </c>
      <c r="G7" s="66"/>
      <c r="H7" s="66">
        <v>815</v>
      </c>
      <c r="I7" s="66">
        <v>854</v>
      </c>
      <c r="J7" s="66">
        <v>883</v>
      </c>
      <c r="K7" s="66">
        <v>6</v>
      </c>
      <c r="L7" s="54">
        <v>5189</v>
      </c>
      <c r="M7" s="66">
        <v>865</v>
      </c>
      <c r="N7" s="54">
        <v>2683</v>
      </c>
      <c r="O7" s="173"/>
      <c r="P7" s="173"/>
      <c r="Q7" s="87"/>
    </row>
    <row r="8" spans="1:18" ht="14.45">
      <c r="A8" s="57">
        <v>5</v>
      </c>
      <c r="B8" s="69" t="s">
        <v>30</v>
      </c>
      <c r="C8" s="66">
        <v>846</v>
      </c>
      <c r="D8" s="66"/>
      <c r="E8" s="66">
        <v>926</v>
      </c>
      <c r="F8" s="66">
        <v>859</v>
      </c>
      <c r="G8" s="66"/>
      <c r="H8" s="66"/>
      <c r="I8" s="66">
        <v>883</v>
      </c>
      <c r="J8" s="66"/>
      <c r="K8" s="66">
        <v>4</v>
      </c>
      <c r="L8" s="54">
        <v>3514</v>
      </c>
      <c r="M8" s="66">
        <v>879</v>
      </c>
      <c r="N8" s="54">
        <v>2668</v>
      </c>
      <c r="O8" s="173"/>
      <c r="P8" s="173"/>
      <c r="Q8" s="87"/>
    </row>
    <row r="9" spans="1:18" ht="14.45">
      <c r="A9" s="57">
        <v>6</v>
      </c>
      <c r="B9" s="69" t="s">
        <v>55</v>
      </c>
      <c r="C9" s="66"/>
      <c r="D9" s="66">
        <v>862</v>
      </c>
      <c r="E9" s="66">
        <v>885</v>
      </c>
      <c r="F9" s="66"/>
      <c r="G9" s="66"/>
      <c r="H9" s="66"/>
      <c r="I9" s="66">
        <v>866</v>
      </c>
      <c r="J9" s="66"/>
      <c r="K9" s="66">
        <v>3</v>
      </c>
      <c r="L9" s="54">
        <v>2613</v>
      </c>
      <c r="M9" s="66">
        <v>871</v>
      </c>
      <c r="N9" s="54">
        <v>2613</v>
      </c>
      <c r="O9" s="173"/>
      <c r="P9" s="173"/>
      <c r="Q9" s="87"/>
    </row>
    <row r="10" spans="1:18" ht="14.45">
      <c r="A10" s="57">
        <v>7</v>
      </c>
      <c r="B10" s="69" t="s">
        <v>53</v>
      </c>
      <c r="C10" s="66">
        <v>834</v>
      </c>
      <c r="D10" s="66"/>
      <c r="E10" s="66">
        <v>922</v>
      </c>
      <c r="F10" s="66"/>
      <c r="G10" s="66"/>
      <c r="H10" s="66"/>
      <c r="I10" s="66">
        <v>828</v>
      </c>
      <c r="J10" s="66"/>
      <c r="K10" s="66">
        <v>3</v>
      </c>
      <c r="L10" s="54">
        <v>2584</v>
      </c>
      <c r="M10" s="66">
        <v>861</v>
      </c>
      <c r="N10" s="54">
        <v>2584</v>
      </c>
      <c r="O10" s="173"/>
      <c r="P10" s="173"/>
      <c r="Q10" s="87"/>
    </row>
    <row r="11" spans="1:18" ht="14.45">
      <c r="A11" s="57">
        <v>8</v>
      </c>
      <c r="B11" s="69" t="s">
        <v>31</v>
      </c>
      <c r="C11" s="66"/>
      <c r="D11" s="66">
        <v>839</v>
      </c>
      <c r="E11" s="66">
        <v>801</v>
      </c>
      <c r="F11" s="66"/>
      <c r="G11" s="66">
        <v>915</v>
      </c>
      <c r="H11" s="66">
        <v>815</v>
      </c>
      <c r="I11" s="66">
        <v>823</v>
      </c>
      <c r="J11" s="66"/>
      <c r="K11" s="66">
        <v>5</v>
      </c>
      <c r="L11" s="54">
        <v>4193</v>
      </c>
      <c r="M11" s="66">
        <v>839</v>
      </c>
      <c r="N11" s="54">
        <v>2577</v>
      </c>
      <c r="O11" s="173"/>
      <c r="P11" s="173"/>
      <c r="Q11" s="87"/>
    </row>
    <row r="12" spans="1:18" ht="14.45">
      <c r="A12" s="57">
        <v>9</v>
      </c>
      <c r="B12" s="69" t="s">
        <v>35</v>
      </c>
      <c r="C12" s="66">
        <v>741</v>
      </c>
      <c r="D12" s="66">
        <v>812</v>
      </c>
      <c r="E12" s="66">
        <v>835</v>
      </c>
      <c r="F12" s="66">
        <v>767</v>
      </c>
      <c r="G12" s="66">
        <v>849</v>
      </c>
      <c r="H12" s="66">
        <v>774</v>
      </c>
      <c r="I12" s="66">
        <v>770</v>
      </c>
      <c r="J12" s="66">
        <v>837</v>
      </c>
      <c r="K12" s="66">
        <v>8</v>
      </c>
      <c r="L12" s="54">
        <v>6385</v>
      </c>
      <c r="M12" s="66">
        <v>798</v>
      </c>
      <c r="N12" s="54">
        <v>2521</v>
      </c>
      <c r="O12" s="173"/>
      <c r="P12" s="173"/>
      <c r="Q12" s="87"/>
    </row>
    <row r="13" spans="1:18" ht="14.45">
      <c r="A13" s="57">
        <v>10</v>
      </c>
      <c r="B13" s="69" t="s">
        <v>26</v>
      </c>
      <c r="C13" s="66"/>
      <c r="D13" s="66">
        <v>860</v>
      </c>
      <c r="E13" s="66">
        <v>861</v>
      </c>
      <c r="F13" s="66"/>
      <c r="G13" s="66"/>
      <c r="H13" s="66">
        <v>799</v>
      </c>
      <c r="I13" s="66">
        <v>0</v>
      </c>
      <c r="J13" s="66"/>
      <c r="K13" s="66">
        <v>3</v>
      </c>
      <c r="L13" s="54">
        <v>2520</v>
      </c>
      <c r="M13" s="66">
        <v>840</v>
      </c>
      <c r="N13" s="54">
        <v>2520</v>
      </c>
      <c r="O13" s="173"/>
      <c r="P13" s="173"/>
      <c r="Q13" s="87"/>
    </row>
    <row r="14" spans="1:18" ht="14.45">
      <c r="A14" s="57">
        <v>11</v>
      </c>
      <c r="B14" s="69" t="s">
        <v>28</v>
      </c>
      <c r="C14" s="66">
        <v>753</v>
      </c>
      <c r="D14" s="66"/>
      <c r="E14" s="66">
        <v>798</v>
      </c>
      <c r="F14" s="66"/>
      <c r="G14" s="66">
        <v>0</v>
      </c>
      <c r="H14" s="66">
        <v>905</v>
      </c>
      <c r="I14" s="66">
        <v>813</v>
      </c>
      <c r="J14" s="66"/>
      <c r="K14" s="66">
        <v>4</v>
      </c>
      <c r="L14" s="54">
        <v>3269</v>
      </c>
      <c r="M14" s="66">
        <v>817</v>
      </c>
      <c r="N14" s="54">
        <v>2516</v>
      </c>
      <c r="O14" s="173"/>
      <c r="P14" s="173"/>
      <c r="Q14" s="87"/>
    </row>
    <row r="15" spans="1:18" ht="14.45">
      <c r="A15" s="57">
        <v>12</v>
      </c>
      <c r="B15" s="69" t="s">
        <v>29</v>
      </c>
      <c r="C15" s="66"/>
      <c r="D15" s="66">
        <v>847</v>
      </c>
      <c r="E15" s="66"/>
      <c r="F15" s="66"/>
      <c r="G15" s="66"/>
      <c r="H15" s="66">
        <v>719</v>
      </c>
      <c r="I15" s="66"/>
      <c r="J15" s="66">
        <v>922</v>
      </c>
      <c r="K15" s="66">
        <v>3</v>
      </c>
      <c r="L15" s="54">
        <v>2488</v>
      </c>
      <c r="M15" s="66">
        <v>829</v>
      </c>
      <c r="N15" s="54">
        <v>2488</v>
      </c>
      <c r="O15" s="173"/>
      <c r="P15" s="173"/>
      <c r="Q15" s="87"/>
    </row>
    <row r="16" spans="1:18" ht="14.45">
      <c r="A16" s="57">
        <v>13</v>
      </c>
      <c r="B16" s="69" t="s">
        <v>34</v>
      </c>
      <c r="C16" s="66"/>
      <c r="D16" s="66">
        <v>790</v>
      </c>
      <c r="E16" s="66">
        <v>809</v>
      </c>
      <c r="F16" s="66"/>
      <c r="G16" s="66"/>
      <c r="H16" s="66"/>
      <c r="I16" s="66">
        <v>816</v>
      </c>
      <c r="J16" s="66"/>
      <c r="K16" s="66">
        <v>3</v>
      </c>
      <c r="L16" s="54">
        <v>2415</v>
      </c>
      <c r="M16" s="66">
        <v>805</v>
      </c>
      <c r="N16" s="54">
        <v>2415</v>
      </c>
      <c r="O16" s="173"/>
      <c r="P16" s="173"/>
      <c r="Q16" s="87"/>
    </row>
    <row r="17" spans="1:17" ht="14.45">
      <c r="A17" s="57">
        <v>14</v>
      </c>
      <c r="B17" s="55" t="s">
        <v>73</v>
      </c>
      <c r="C17" s="66">
        <v>766</v>
      </c>
      <c r="D17" s="66"/>
      <c r="E17" s="66">
        <v>796</v>
      </c>
      <c r="F17" s="66"/>
      <c r="G17" s="66"/>
      <c r="H17" s="66">
        <v>800</v>
      </c>
      <c r="I17" s="66">
        <v>819</v>
      </c>
      <c r="J17" s="66"/>
      <c r="K17" s="66">
        <v>4</v>
      </c>
      <c r="L17" s="54">
        <v>3181</v>
      </c>
      <c r="M17" s="66">
        <v>795</v>
      </c>
      <c r="N17" s="54">
        <v>2415</v>
      </c>
      <c r="O17" s="173"/>
      <c r="P17" s="173"/>
      <c r="Q17" s="87"/>
    </row>
    <row r="18" spans="1:17" ht="14.45">
      <c r="A18" s="57">
        <v>15</v>
      </c>
      <c r="B18" s="69" t="s">
        <v>61</v>
      </c>
      <c r="C18" s="66"/>
      <c r="D18" s="66"/>
      <c r="E18" s="66">
        <v>707</v>
      </c>
      <c r="F18" s="66"/>
      <c r="G18" s="66"/>
      <c r="H18" s="66"/>
      <c r="I18" s="66">
        <v>728</v>
      </c>
      <c r="J18" s="66">
        <v>763</v>
      </c>
      <c r="K18" s="66">
        <v>3</v>
      </c>
      <c r="L18" s="54">
        <v>2198</v>
      </c>
      <c r="M18" s="66">
        <v>733</v>
      </c>
      <c r="N18" s="54">
        <v>2198</v>
      </c>
      <c r="O18" s="173"/>
      <c r="P18" s="173"/>
      <c r="Q18" s="87"/>
    </row>
    <row r="19" spans="1:17" ht="14.45">
      <c r="A19" s="57">
        <v>16</v>
      </c>
      <c r="B19" s="69" t="s">
        <v>38</v>
      </c>
      <c r="C19" s="66"/>
      <c r="D19" s="66">
        <v>722</v>
      </c>
      <c r="E19" s="66"/>
      <c r="F19" s="66"/>
      <c r="G19" s="66"/>
      <c r="H19" s="66">
        <v>692</v>
      </c>
      <c r="I19" s="66">
        <v>736</v>
      </c>
      <c r="J19" s="66"/>
      <c r="K19" s="66">
        <v>3</v>
      </c>
      <c r="L19" s="54">
        <v>2150</v>
      </c>
      <c r="M19" s="66">
        <v>717</v>
      </c>
      <c r="N19" s="54">
        <v>2150</v>
      </c>
      <c r="O19" s="173"/>
      <c r="P19" s="173"/>
      <c r="Q19" s="87"/>
    </row>
    <row r="20" spans="1:17" ht="14.45">
      <c r="A20" s="57">
        <v>17</v>
      </c>
      <c r="B20" s="55" t="s">
        <v>47</v>
      </c>
      <c r="C20" s="66"/>
      <c r="D20" s="66">
        <v>668</v>
      </c>
      <c r="E20" s="66">
        <v>673</v>
      </c>
      <c r="F20" s="66">
        <v>691</v>
      </c>
      <c r="G20" s="66"/>
      <c r="H20" s="66">
        <v>667</v>
      </c>
      <c r="I20" s="66">
        <v>655</v>
      </c>
      <c r="J20" s="66"/>
      <c r="K20" s="66">
        <v>5</v>
      </c>
      <c r="L20" s="54">
        <v>3354</v>
      </c>
      <c r="M20" s="66">
        <v>671</v>
      </c>
      <c r="N20" s="54">
        <v>2032</v>
      </c>
      <c r="O20" s="173"/>
      <c r="P20" s="173"/>
      <c r="Q20" s="87"/>
    </row>
    <row r="21" spans="1:17" ht="15.75" customHeight="1">
      <c r="A21" s="57">
        <v>18</v>
      </c>
      <c r="B21" s="69" t="s">
        <v>44</v>
      </c>
      <c r="C21" s="66">
        <v>681</v>
      </c>
      <c r="D21" s="66">
        <v>675</v>
      </c>
      <c r="E21" s="66"/>
      <c r="F21" s="66"/>
      <c r="G21" s="66"/>
      <c r="H21" s="66"/>
      <c r="I21" s="66">
        <v>666</v>
      </c>
      <c r="J21" s="66"/>
      <c r="K21" s="66">
        <v>3</v>
      </c>
      <c r="L21" s="54">
        <v>2022</v>
      </c>
      <c r="M21" s="66">
        <v>674</v>
      </c>
      <c r="N21" s="54">
        <v>2022</v>
      </c>
      <c r="O21" s="173"/>
      <c r="P21" s="173"/>
      <c r="Q21" s="87"/>
    </row>
    <row r="22" spans="1:17" ht="15.75" customHeight="1">
      <c r="A22" s="57">
        <v>19</v>
      </c>
      <c r="B22" s="55" t="s">
        <v>39</v>
      </c>
      <c r="C22" s="66"/>
      <c r="D22" s="66">
        <v>673</v>
      </c>
      <c r="E22" s="66"/>
      <c r="F22" s="66">
        <v>663</v>
      </c>
      <c r="G22" s="66"/>
      <c r="H22" s="66">
        <v>649</v>
      </c>
      <c r="I22" s="66">
        <v>664</v>
      </c>
      <c r="J22" s="66"/>
      <c r="K22" s="66">
        <v>4</v>
      </c>
      <c r="L22" s="54">
        <v>2649</v>
      </c>
      <c r="M22" s="66">
        <v>662</v>
      </c>
      <c r="N22" s="54">
        <v>2000</v>
      </c>
      <c r="O22" s="173"/>
      <c r="P22" s="173"/>
      <c r="Q22" s="87"/>
    </row>
    <row r="23" spans="1:17" ht="15.75" customHeight="1">
      <c r="A23" s="57">
        <v>20</v>
      </c>
      <c r="B23" s="55" t="s">
        <v>40</v>
      </c>
      <c r="C23" s="66"/>
      <c r="D23" s="66"/>
      <c r="E23" s="66">
        <v>573</v>
      </c>
      <c r="F23" s="66"/>
      <c r="G23" s="66"/>
      <c r="H23" s="66">
        <v>684</v>
      </c>
      <c r="I23" s="66">
        <v>701</v>
      </c>
      <c r="J23" s="66"/>
      <c r="K23" s="66">
        <v>3</v>
      </c>
      <c r="L23" s="54">
        <v>1958</v>
      </c>
      <c r="M23" s="66">
        <v>653</v>
      </c>
      <c r="N23" s="54">
        <v>1958</v>
      </c>
      <c r="O23" s="173"/>
      <c r="P23" s="173"/>
      <c r="Q23" s="87"/>
    </row>
    <row r="24" spans="1:17" ht="15.75" customHeight="1">
      <c r="A24" s="57">
        <v>21</v>
      </c>
      <c r="B24" s="69" t="s">
        <v>75</v>
      </c>
      <c r="C24" s="66"/>
      <c r="D24" s="66">
        <v>910</v>
      </c>
      <c r="E24" s="66">
        <v>0</v>
      </c>
      <c r="F24" s="66"/>
      <c r="G24" s="66"/>
      <c r="H24" s="66"/>
      <c r="I24" s="66"/>
      <c r="J24" s="66">
        <v>766</v>
      </c>
      <c r="K24" s="66">
        <v>2</v>
      </c>
      <c r="L24" s="54">
        <v>1676</v>
      </c>
      <c r="M24" s="66">
        <v>838</v>
      </c>
      <c r="N24" s="54">
        <v>1676</v>
      </c>
      <c r="O24" s="173"/>
      <c r="P24" s="173"/>
      <c r="Q24" s="87"/>
    </row>
    <row r="25" spans="1:17" ht="15.75" customHeight="1">
      <c r="A25" s="57">
        <v>22</v>
      </c>
      <c r="B25" s="69" t="s">
        <v>71</v>
      </c>
      <c r="C25" s="66"/>
      <c r="D25" s="66"/>
      <c r="E25" s="66">
        <v>899</v>
      </c>
      <c r="F25" s="66"/>
      <c r="G25" s="66"/>
      <c r="H25" s="66"/>
      <c r="I25" s="66"/>
      <c r="J25" s="66"/>
      <c r="K25" s="66">
        <v>1</v>
      </c>
      <c r="L25" s="66">
        <v>899</v>
      </c>
      <c r="M25" s="66">
        <v>899</v>
      </c>
      <c r="N25" s="66">
        <v>0</v>
      </c>
      <c r="O25" s="173"/>
      <c r="P25" s="173"/>
      <c r="Q25" s="87"/>
    </row>
    <row r="26" spans="1:17" ht="15.75" customHeight="1">
      <c r="A26" s="57">
        <v>23</v>
      </c>
      <c r="B26" s="69" t="s">
        <v>27</v>
      </c>
      <c r="C26" s="66"/>
      <c r="D26" s="66"/>
      <c r="E26" s="66"/>
      <c r="F26" s="66"/>
      <c r="G26" s="66"/>
      <c r="H26" s="66"/>
      <c r="I26" s="66">
        <v>844</v>
      </c>
      <c r="J26" s="66">
        <v>939</v>
      </c>
      <c r="K26" s="66">
        <v>2</v>
      </c>
      <c r="L26" s="54">
        <v>1783</v>
      </c>
      <c r="M26" s="66">
        <v>892</v>
      </c>
      <c r="N26" s="66">
        <v>0</v>
      </c>
      <c r="O26" s="173"/>
      <c r="P26" s="173"/>
      <c r="Q26" s="87"/>
    </row>
    <row r="27" spans="1:17" ht="15.75" customHeight="1">
      <c r="A27" s="57">
        <v>24</v>
      </c>
      <c r="B27" s="69" t="s">
        <v>74</v>
      </c>
      <c r="C27" s="66"/>
      <c r="D27" s="66"/>
      <c r="E27" s="66"/>
      <c r="F27" s="66"/>
      <c r="G27" s="66">
        <v>887</v>
      </c>
      <c r="H27" s="66"/>
      <c r="I27" s="66"/>
      <c r="J27" s="66"/>
      <c r="K27" s="66">
        <v>1</v>
      </c>
      <c r="L27" s="66">
        <v>887</v>
      </c>
      <c r="M27" s="66">
        <v>887</v>
      </c>
      <c r="N27" s="66">
        <v>0</v>
      </c>
      <c r="O27" s="173"/>
      <c r="P27" s="173"/>
      <c r="Q27" s="87"/>
    </row>
    <row r="28" spans="1:17" ht="15.75" customHeight="1">
      <c r="A28" s="57">
        <v>25</v>
      </c>
      <c r="B28" s="69" t="s">
        <v>54</v>
      </c>
      <c r="C28" s="66"/>
      <c r="D28" s="66"/>
      <c r="E28" s="66"/>
      <c r="F28" s="66"/>
      <c r="G28" s="66"/>
      <c r="H28" s="66"/>
      <c r="I28" s="66">
        <v>838</v>
      </c>
      <c r="J28" s="66"/>
      <c r="K28" s="66">
        <v>1</v>
      </c>
      <c r="L28" s="66">
        <v>838</v>
      </c>
      <c r="M28" s="66">
        <v>838</v>
      </c>
      <c r="N28" s="66">
        <v>0</v>
      </c>
      <c r="O28" s="173"/>
      <c r="P28" s="173"/>
      <c r="Q28" s="87"/>
    </row>
    <row r="29" spans="1:17" ht="15.75" customHeight="1">
      <c r="A29" s="57">
        <v>26</v>
      </c>
      <c r="B29" s="67" t="s">
        <v>36</v>
      </c>
      <c r="C29" s="66"/>
      <c r="D29" s="66"/>
      <c r="E29" s="66">
        <v>849</v>
      </c>
      <c r="F29" s="66"/>
      <c r="G29" s="66"/>
      <c r="H29" s="66"/>
      <c r="I29" s="66">
        <v>811</v>
      </c>
      <c r="J29" s="66"/>
      <c r="K29" s="66">
        <v>2</v>
      </c>
      <c r="L29" s="54">
        <v>1660</v>
      </c>
      <c r="M29" s="66">
        <v>830</v>
      </c>
      <c r="N29" s="66">
        <v>0</v>
      </c>
      <c r="O29" s="173"/>
      <c r="P29" s="173"/>
      <c r="Q29" s="87"/>
    </row>
    <row r="30" spans="1:17" ht="15.75" customHeight="1">
      <c r="A30" s="57">
        <v>27</v>
      </c>
      <c r="B30" s="69" t="s">
        <v>70</v>
      </c>
      <c r="C30" s="66"/>
      <c r="D30" s="66"/>
      <c r="E30" s="66"/>
      <c r="F30" s="66"/>
      <c r="G30" s="66"/>
      <c r="H30" s="66"/>
      <c r="I30" s="66">
        <v>828</v>
      </c>
      <c r="J30" s="66"/>
      <c r="K30" s="66">
        <v>1</v>
      </c>
      <c r="L30" s="66">
        <v>828</v>
      </c>
      <c r="M30" s="66">
        <v>828</v>
      </c>
      <c r="N30" s="66">
        <v>0</v>
      </c>
      <c r="O30" s="173"/>
      <c r="P30" s="173"/>
      <c r="Q30" s="87"/>
    </row>
    <row r="31" spans="1:17" ht="15.75" customHeight="1">
      <c r="A31" s="57">
        <v>28</v>
      </c>
      <c r="B31" s="55" t="s">
        <v>51</v>
      </c>
      <c r="C31" s="66"/>
      <c r="D31" s="66"/>
      <c r="E31" s="66">
        <v>819</v>
      </c>
      <c r="F31" s="66"/>
      <c r="G31" s="66"/>
      <c r="H31" s="66"/>
      <c r="I31" s="66"/>
      <c r="J31" s="66"/>
      <c r="K31" s="66">
        <v>1</v>
      </c>
      <c r="L31" s="66">
        <v>819</v>
      </c>
      <c r="M31" s="66">
        <v>819</v>
      </c>
      <c r="N31" s="66">
        <v>0</v>
      </c>
      <c r="O31" s="173"/>
      <c r="P31" s="173"/>
      <c r="Q31" s="87"/>
    </row>
    <row r="32" spans="1:17" ht="15.75" customHeight="1">
      <c r="A32" s="57">
        <v>29</v>
      </c>
      <c r="B32" s="69" t="s">
        <v>76</v>
      </c>
      <c r="C32" s="66"/>
      <c r="D32" s="66"/>
      <c r="E32" s="66">
        <v>814</v>
      </c>
      <c r="F32" s="66"/>
      <c r="G32" s="66"/>
      <c r="H32" s="66"/>
      <c r="I32" s="66">
        <v>810</v>
      </c>
      <c r="J32" s="66"/>
      <c r="K32" s="66">
        <v>2</v>
      </c>
      <c r="L32" s="54">
        <v>1624</v>
      </c>
      <c r="M32" s="66">
        <v>812</v>
      </c>
      <c r="N32" s="66">
        <v>0</v>
      </c>
      <c r="O32" s="173"/>
      <c r="P32" s="173"/>
      <c r="Q32" s="87"/>
    </row>
    <row r="33" spans="1:19" ht="15.75" customHeight="1">
      <c r="A33" s="57">
        <v>30</v>
      </c>
      <c r="B33" s="69" t="s">
        <v>77</v>
      </c>
      <c r="C33" s="66"/>
      <c r="D33" s="66"/>
      <c r="E33" s="66"/>
      <c r="F33" s="66"/>
      <c r="G33" s="66"/>
      <c r="H33" s="66">
        <v>811</v>
      </c>
      <c r="I33" s="66"/>
      <c r="J33" s="66"/>
      <c r="K33" s="66">
        <v>1</v>
      </c>
      <c r="L33" s="66">
        <v>811</v>
      </c>
      <c r="M33" s="66">
        <v>811</v>
      </c>
      <c r="N33" s="66">
        <v>0</v>
      </c>
      <c r="O33" s="173"/>
      <c r="P33" s="173"/>
      <c r="Q33" s="87"/>
    </row>
    <row r="34" spans="1:19" ht="15.75" customHeight="1">
      <c r="A34" s="57">
        <v>31</v>
      </c>
      <c r="B34" s="69" t="s">
        <v>57</v>
      </c>
      <c r="C34" s="66"/>
      <c r="D34" s="66"/>
      <c r="E34" s="66">
        <v>826</v>
      </c>
      <c r="F34" s="66"/>
      <c r="G34" s="66"/>
      <c r="H34" s="66"/>
      <c r="I34" s="66">
        <v>792</v>
      </c>
      <c r="J34" s="66"/>
      <c r="K34" s="66">
        <v>2</v>
      </c>
      <c r="L34" s="54">
        <v>1618</v>
      </c>
      <c r="M34" s="66">
        <v>809</v>
      </c>
      <c r="N34" s="66">
        <v>0</v>
      </c>
      <c r="O34" s="173"/>
      <c r="P34" s="173"/>
      <c r="Q34" s="87"/>
    </row>
    <row r="35" spans="1:19" ht="15.75" customHeight="1">
      <c r="A35" s="57">
        <v>32</v>
      </c>
      <c r="B35" s="69" t="s">
        <v>78</v>
      </c>
      <c r="C35" s="66"/>
      <c r="D35" s="66"/>
      <c r="E35" s="66"/>
      <c r="F35" s="66"/>
      <c r="G35" s="66">
        <v>809</v>
      </c>
      <c r="H35" s="66"/>
      <c r="I35" s="66"/>
      <c r="J35" s="66"/>
      <c r="K35" s="66">
        <v>1</v>
      </c>
      <c r="L35" s="66">
        <v>809</v>
      </c>
      <c r="M35" s="66">
        <v>809</v>
      </c>
      <c r="N35" s="66">
        <v>0</v>
      </c>
      <c r="O35" s="173"/>
      <c r="P35" s="173"/>
      <c r="Q35" s="87"/>
    </row>
    <row r="36" spans="1:19" ht="15.75" customHeight="1">
      <c r="A36" s="57">
        <v>33</v>
      </c>
      <c r="B36" s="69" t="s">
        <v>79</v>
      </c>
      <c r="C36" s="66"/>
      <c r="D36" s="66"/>
      <c r="E36" s="66"/>
      <c r="F36" s="66"/>
      <c r="G36" s="66"/>
      <c r="H36" s="66"/>
      <c r="I36" s="66">
        <v>791</v>
      </c>
      <c r="J36" s="66"/>
      <c r="K36" s="66">
        <v>1</v>
      </c>
      <c r="L36" s="66">
        <v>791</v>
      </c>
      <c r="M36" s="66">
        <v>791</v>
      </c>
      <c r="N36" s="66">
        <v>0</v>
      </c>
      <c r="O36" s="173"/>
      <c r="P36" s="173"/>
      <c r="Q36" s="87"/>
    </row>
    <row r="37" spans="1:19" ht="15.75" customHeight="1">
      <c r="A37" s="57">
        <v>34</v>
      </c>
      <c r="B37" s="69" t="s">
        <v>80</v>
      </c>
      <c r="C37" s="66"/>
      <c r="D37" s="66"/>
      <c r="E37" s="66"/>
      <c r="F37" s="66"/>
      <c r="G37" s="66"/>
      <c r="H37" s="66"/>
      <c r="I37" s="66">
        <v>782</v>
      </c>
      <c r="J37" s="66"/>
      <c r="K37" s="66">
        <v>1</v>
      </c>
      <c r="L37" s="66">
        <v>782</v>
      </c>
      <c r="M37" s="66">
        <v>782</v>
      </c>
      <c r="N37" s="66">
        <v>0</v>
      </c>
      <c r="O37" s="173"/>
      <c r="P37" s="173"/>
      <c r="Q37" s="87"/>
    </row>
    <row r="38" spans="1:19" ht="15.75" customHeight="1">
      <c r="A38" s="57">
        <v>35</v>
      </c>
      <c r="B38" s="55" t="s">
        <v>60</v>
      </c>
      <c r="C38" s="66"/>
      <c r="D38" s="66"/>
      <c r="E38" s="66">
        <v>781</v>
      </c>
      <c r="F38" s="66"/>
      <c r="G38" s="66"/>
      <c r="H38" s="66"/>
      <c r="I38" s="66"/>
      <c r="J38" s="66"/>
      <c r="K38" s="66">
        <v>1</v>
      </c>
      <c r="L38" s="66">
        <v>781</v>
      </c>
      <c r="M38" s="66">
        <v>781</v>
      </c>
      <c r="N38" s="66">
        <v>0</v>
      </c>
      <c r="O38" s="173"/>
      <c r="P38" s="173"/>
      <c r="Q38" s="87"/>
    </row>
    <row r="39" spans="1:19" ht="15.75" customHeight="1">
      <c r="A39" s="57">
        <v>36</v>
      </c>
      <c r="B39" s="69" t="s">
        <v>58</v>
      </c>
      <c r="C39" s="66"/>
      <c r="D39" s="66"/>
      <c r="E39" s="66"/>
      <c r="F39" s="66">
        <v>734</v>
      </c>
      <c r="G39" s="66"/>
      <c r="H39" s="66"/>
      <c r="I39" s="66"/>
      <c r="J39" s="66"/>
      <c r="K39" s="66">
        <v>1</v>
      </c>
      <c r="L39" s="66">
        <v>734</v>
      </c>
      <c r="M39" s="66">
        <v>734</v>
      </c>
      <c r="N39" s="66">
        <v>0</v>
      </c>
      <c r="O39" s="173"/>
      <c r="P39" s="173"/>
      <c r="Q39" s="87"/>
    </row>
    <row r="40" spans="1:19" ht="15.75" customHeight="1">
      <c r="A40" s="57">
        <v>37</v>
      </c>
      <c r="B40" s="69" t="s">
        <v>81</v>
      </c>
      <c r="C40" s="66"/>
      <c r="D40" s="66"/>
      <c r="E40" s="66"/>
      <c r="F40" s="66"/>
      <c r="G40" s="66"/>
      <c r="H40" s="66"/>
      <c r="I40" s="66"/>
      <c r="J40" s="66">
        <v>720</v>
      </c>
      <c r="K40" s="66">
        <v>1</v>
      </c>
      <c r="L40" s="66">
        <v>720</v>
      </c>
      <c r="M40" s="66">
        <v>720</v>
      </c>
      <c r="N40" s="66">
        <v>0</v>
      </c>
      <c r="O40" s="173"/>
      <c r="P40" s="173"/>
      <c r="Q40" s="87"/>
    </row>
    <row r="41" spans="1:19" ht="15.75" customHeight="1">
      <c r="A41" s="57">
        <v>38</v>
      </c>
      <c r="B41" s="55" t="s">
        <v>82</v>
      </c>
      <c r="C41" s="66"/>
      <c r="D41" s="66"/>
      <c r="E41" s="66">
        <v>700</v>
      </c>
      <c r="F41" s="66"/>
      <c r="G41" s="66"/>
      <c r="H41" s="66"/>
      <c r="I41" s="66"/>
      <c r="J41" s="66"/>
      <c r="K41" s="66">
        <v>1</v>
      </c>
      <c r="L41" s="66">
        <v>700</v>
      </c>
      <c r="M41" s="66">
        <v>700</v>
      </c>
      <c r="N41" s="66">
        <v>0</v>
      </c>
      <c r="O41" s="173"/>
      <c r="P41" s="173"/>
      <c r="Q41" s="87"/>
    </row>
    <row r="42" spans="1:19" ht="15.75" customHeight="1">
      <c r="A42" s="57">
        <v>39</v>
      </c>
      <c r="B42" s="55" t="s">
        <v>66</v>
      </c>
      <c r="C42" s="66"/>
      <c r="D42" s="66"/>
      <c r="E42" s="66"/>
      <c r="F42" s="66"/>
      <c r="G42" s="66"/>
      <c r="H42" s="66">
        <v>694</v>
      </c>
      <c r="I42" s="66"/>
      <c r="J42" s="66"/>
      <c r="K42" s="66">
        <v>1</v>
      </c>
      <c r="L42" s="66">
        <v>694</v>
      </c>
      <c r="M42" s="66">
        <v>694</v>
      </c>
      <c r="N42" s="66">
        <v>0</v>
      </c>
      <c r="O42" s="173"/>
      <c r="P42" s="173"/>
      <c r="Q42" s="87"/>
    </row>
    <row r="43" spans="1:19" ht="15.75" customHeight="1">
      <c r="A43" s="57">
        <v>40</v>
      </c>
      <c r="B43" s="55" t="s">
        <v>63</v>
      </c>
      <c r="C43" s="66"/>
      <c r="D43" s="66"/>
      <c r="E43" s="66"/>
      <c r="F43" s="66"/>
      <c r="G43" s="66"/>
      <c r="H43" s="66">
        <v>692</v>
      </c>
      <c r="I43" s="66"/>
      <c r="J43" s="66"/>
      <c r="K43" s="66">
        <v>1</v>
      </c>
      <c r="L43" s="66">
        <v>692</v>
      </c>
      <c r="M43" s="66">
        <v>692</v>
      </c>
      <c r="N43" s="66">
        <v>0</v>
      </c>
      <c r="O43" s="173"/>
      <c r="P43" s="173"/>
      <c r="Q43" s="87"/>
    </row>
    <row r="44" spans="1:19" ht="15.75" customHeight="1">
      <c r="A44" s="57">
        <v>41</v>
      </c>
      <c r="B44" s="69" t="s">
        <v>83</v>
      </c>
      <c r="C44" s="66"/>
      <c r="D44" s="66">
        <v>695</v>
      </c>
      <c r="E44" s="66"/>
      <c r="F44" s="66"/>
      <c r="G44" s="66"/>
      <c r="H44" s="66"/>
      <c r="I44" s="66">
        <v>686</v>
      </c>
      <c r="J44" s="66"/>
      <c r="K44" s="66">
        <v>2</v>
      </c>
      <c r="L44" s="54">
        <v>1381</v>
      </c>
      <c r="M44" s="66">
        <v>691</v>
      </c>
      <c r="N44" s="66">
        <v>0</v>
      </c>
      <c r="O44" s="173"/>
      <c r="P44" s="173"/>
      <c r="Q44" s="87"/>
    </row>
    <row r="45" spans="1:19" ht="15.75" customHeight="1">
      <c r="A45" s="57">
        <v>42</v>
      </c>
      <c r="B45" s="55" t="s">
        <v>67</v>
      </c>
      <c r="C45" s="66"/>
      <c r="D45" s="66"/>
      <c r="E45" s="66"/>
      <c r="F45" s="66">
        <v>671</v>
      </c>
      <c r="G45" s="66"/>
      <c r="H45" s="66">
        <v>678</v>
      </c>
      <c r="I45" s="66"/>
      <c r="J45" s="66"/>
      <c r="K45" s="66">
        <v>2</v>
      </c>
      <c r="L45" s="54">
        <v>1349</v>
      </c>
      <c r="M45" s="66">
        <v>675</v>
      </c>
      <c r="N45" s="66">
        <v>0</v>
      </c>
      <c r="O45" s="172"/>
      <c r="P45" s="178"/>
      <c r="Q45" s="81" t="s">
        <v>4011</v>
      </c>
      <c r="S45" s="27" t="s">
        <v>4011</v>
      </c>
    </row>
    <row r="46" spans="1:19" ht="15.75" customHeight="1">
      <c r="A46" s="57">
        <v>43</v>
      </c>
      <c r="B46" s="55" t="s">
        <v>68</v>
      </c>
      <c r="C46" s="66"/>
      <c r="D46" s="66"/>
      <c r="E46" s="66"/>
      <c r="F46" s="66"/>
      <c r="G46" s="66"/>
      <c r="H46" s="66"/>
      <c r="I46" s="66">
        <v>674</v>
      </c>
      <c r="J46" s="66"/>
      <c r="K46" s="66">
        <v>1</v>
      </c>
      <c r="L46" s="66">
        <v>674</v>
      </c>
      <c r="M46" s="66">
        <v>674</v>
      </c>
      <c r="N46" s="66">
        <v>0</v>
      </c>
      <c r="O46" s="173"/>
      <c r="P46" s="173"/>
      <c r="Q46" s="87"/>
    </row>
    <row r="47" spans="1:19" ht="15.75" customHeight="1">
      <c r="A47" s="57">
        <v>44</v>
      </c>
      <c r="B47" s="69" t="s">
        <v>65</v>
      </c>
      <c r="C47" s="66"/>
      <c r="D47" s="66"/>
      <c r="E47" s="66">
        <v>664</v>
      </c>
      <c r="F47" s="66"/>
      <c r="G47" s="66"/>
      <c r="H47" s="66"/>
      <c r="I47" s="66"/>
      <c r="J47" s="66"/>
      <c r="K47" s="66">
        <v>1</v>
      </c>
      <c r="L47" s="66">
        <v>664</v>
      </c>
      <c r="M47" s="66">
        <v>664</v>
      </c>
      <c r="N47" s="66">
        <v>0</v>
      </c>
      <c r="O47" s="173"/>
      <c r="P47" s="173"/>
      <c r="Q47" s="87"/>
    </row>
    <row r="48" spans="1:19" ht="15.75" customHeight="1">
      <c r="A48" s="57">
        <v>45</v>
      </c>
      <c r="B48" s="69" t="s">
        <v>42</v>
      </c>
      <c r="C48" s="66"/>
      <c r="D48" s="66"/>
      <c r="E48" s="66"/>
      <c r="F48" s="66"/>
      <c r="G48" s="66"/>
      <c r="H48" s="66"/>
      <c r="I48" s="66">
        <v>663</v>
      </c>
      <c r="J48" s="66"/>
      <c r="K48" s="66">
        <v>1</v>
      </c>
      <c r="L48" s="66">
        <v>663</v>
      </c>
      <c r="M48" s="66">
        <v>663</v>
      </c>
      <c r="N48" s="66">
        <v>0</v>
      </c>
      <c r="O48" s="173"/>
      <c r="P48" s="173"/>
      <c r="Q48" s="87"/>
    </row>
    <row r="49" spans="1:18" ht="15.75" customHeight="1">
      <c r="A49" s="57">
        <v>46</v>
      </c>
      <c r="B49" s="55" t="s">
        <v>43</v>
      </c>
      <c r="C49" s="66"/>
      <c r="D49" s="66"/>
      <c r="E49" s="66">
        <v>642</v>
      </c>
      <c r="F49" s="66"/>
      <c r="G49" s="66"/>
      <c r="H49" s="66"/>
      <c r="I49" s="66"/>
      <c r="J49" s="66"/>
      <c r="K49" s="66">
        <v>1</v>
      </c>
      <c r="L49" s="66">
        <v>642</v>
      </c>
      <c r="M49" s="66">
        <v>642</v>
      </c>
      <c r="N49" s="66">
        <v>0</v>
      </c>
      <c r="O49" s="173"/>
      <c r="P49" s="173"/>
      <c r="Q49" s="87"/>
    </row>
    <row r="50" spans="1:18" ht="15.75" customHeight="1">
      <c r="A50" s="57">
        <v>47</v>
      </c>
      <c r="B50" s="69" t="s">
        <v>45</v>
      </c>
      <c r="C50" s="66"/>
      <c r="D50" s="66"/>
      <c r="E50" s="66"/>
      <c r="F50" s="66"/>
      <c r="G50" s="66"/>
      <c r="H50" s="66">
        <v>636</v>
      </c>
      <c r="I50" s="66"/>
      <c r="J50" s="66"/>
      <c r="K50" s="66">
        <v>1</v>
      </c>
      <c r="L50" s="66">
        <v>636</v>
      </c>
      <c r="M50" s="66">
        <v>636</v>
      </c>
      <c r="N50" s="66">
        <v>0</v>
      </c>
      <c r="O50" s="173"/>
      <c r="P50" s="173"/>
      <c r="Q50" s="87"/>
    </row>
    <row r="51" spans="1:18" ht="15.75" customHeight="1">
      <c r="A51" s="57">
        <v>48</v>
      </c>
      <c r="B51" s="69" t="s">
        <v>49</v>
      </c>
      <c r="C51" s="66"/>
      <c r="D51" s="66"/>
      <c r="E51" s="66"/>
      <c r="F51" s="66"/>
      <c r="G51" s="66"/>
      <c r="H51" s="66">
        <v>619</v>
      </c>
      <c r="I51" s="66"/>
      <c r="J51" s="66"/>
      <c r="K51" s="66">
        <v>1</v>
      </c>
      <c r="L51" s="66">
        <v>619</v>
      </c>
      <c r="M51" s="66">
        <v>619</v>
      </c>
      <c r="N51" s="66">
        <v>0</v>
      </c>
      <c r="O51" s="173"/>
      <c r="P51" s="173"/>
      <c r="Q51" s="87"/>
    </row>
    <row r="52" spans="1:18" ht="15.75" customHeight="1">
      <c r="A52" s="57">
        <v>49</v>
      </c>
      <c r="B52" s="69" t="s">
        <v>50</v>
      </c>
      <c r="C52" s="66"/>
      <c r="D52" s="66"/>
      <c r="E52" s="66"/>
      <c r="F52" s="66"/>
      <c r="G52" s="66"/>
      <c r="H52" s="66">
        <v>481</v>
      </c>
      <c r="I52" s="66">
        <v>564</v>
      </c>
      <c r="J52" s="66"/>
      <c r="K52" s="66">
        <v>2</v>
      </c>
      <c r="L52" s="54">
        <v>1045</v>
      </c>
      <c r="M52" s="66">
        <v>523</v>
      </c>
      <c r="N52" s="66">
        <v>0</v>
      </c>
      <c r="O52" s="173"/>
      <c r="P52" s="173"/>
      <c r="Q52" s="87"/>
    </row>
    <row r="53" spans="1:18" ht="15.75" customHeight="1">
      <c r="A53" s="57">
        <v>50</v>
      </c>
      <c r="B53" s="69" t="s">
        <v>85</v>
      </c>
      <c r="C53" s="66"/>
      <c r="D53" s="66"/>
      <c r="E53" s="66"/>
      <c r="F53" s="66"/>
      <c r="G53" s="66"/>
      <c r="H53" s="66"/>
      <c r="I53" s="66"/>
      <c r="J53" s="66">
        <v>0</v>
      </c>
      <c r="K53" s="66">
        <v>0</v>
      </c>
      <c r="L53" s="66">
        <v>0</v>
      </c>
      <c r="M53" s="66" t="e">
        <v>#DIV/0!</v>
      </c>
      <c r="N53" s="66">
        <v>0</v>
      </c>
      <c r="O53" s="173"/>
      <c r="P53" s="173"/>
      <c r="Q53" s="87"/>
    </row>
    <row r="54" spans="1:18" ht="15.75" customHeight="1">
      <c r="A54" s="57">
        <v>51</v>
      </c>
      <c r="B54" s="69" t="s">
        <v>96</v>
      </c>
      <c r="C54" s="66"/>
      <c r="D54" s="66"/>
      <c r="E54" s="66"/>
      <c r="F54" s="66"/>
      <c r="G54" s="66"/>
      <c r="H54" s="66"/>
      <c r="I54" s="66"/>
      <c r="J54" s="66"/>
      <c r="K54" s="66">
        <v>0</v>
      </c>
      <c r="L54" s="66">
        <v>0</v>
      </c>
      <c r="M54" s="66" t="e">
        <v>#DIV/0!</v>
      </c>
      <c r="N54" s="66">
        <v>0</v>
      </c>
      <c r="O54" s="173"/>
      <c r="P54" s="173"/>
      <c r="Q54" s="87"/>
    </row>
    <row r="55" spans="1:18" ht="15.75" customHeight="1">
      <c r="A55" s="57">
        <v>51</v>
      </c>
      <c r="B55" s="69" t="s">
        <v>97</v>
      </c>
      <c r="C55" s="66"/>
      <c r="D55" s="66"/>
      <c r="E55" s="66"/>
      <c r="F55" s="66"/>
      <c r="G55" s="66"/>
      <c r="H55" s="66"/>
      <c r="I55" s="66"/>
      <c r="J55" s="66"/>
      <c r="K55" s="66">
        <v>0</v>
      </c>
      <c r="L55" s="66">
        <v>0</v>
      </c>
      <c r="M55" s="66" t="e">
        <v>#DIV/0!</v>
      </c>
      <c r="N55" s="66">
        <v>0</v>
      </c>
      <c r="O55" s="173"/>
      <c r="P55" s="173"/>
      <c r="Q55" s="87"/>
    </row>
    <row r="56" spans="1:18" ht="15.75" customHeight="1">
      <c r="A56" s="57">
        <v>51</v>
      </c>
      <c r="B56" s="69" t="s">
        <v>86</v>
      </c>
      <c r="C56" s="66"/>
      <c r="D56" s="66"/>
      <c r="E56" s="66"/>
      <c r="F56" s="66"/>
      <c r="G56" s="66"/>
      <c r="H56" s="66"/>
      <c r="I56" s="66"/>
      <c r="J56" s="66"/>
      <c r="K56" s="66">
        <v>0</v>
      </c>
      <c r="L56" s="66">
        <v>0</v>
      </c>
      <c r="M56" s="66" t="e">
        <v>#DIV/0!</v>
      </c>
      <c r="N56" s="66">
        <v>0</v>
      </c>
      <c r="O56" s="173"/>
      <c r="P56" s="173"/>
      <c r="Q56" s="87"/>
    </row>
    <row r="57" spans="1:18" ht="15.75" customHeight="1">
      <c r="A57" s="57">
        <v>51</v>
      </c>
      <c r="B57" s="69" t="s">
        <v>98</v>
      </c>
      <c r="C57" s="66"/>
      <c r="D57" s="66"/>
      <c r="E57" s="66"/>
      <c r="F57" s="66"/>
      <c r="G57" s="66"/>
      <c r="H57" s="66"/>
      <c r="I57" s="66"/>
      <c r="J57" s="66"/>
      <c r="K57" s="66">
        <v>0</v>
      </c>
      <c r="L57" s="66">
        <v>0</v>
      </c>
      <c r="M57" s="66" t="e">
        <v>#DIV/0!</v>
      </c>
      <c r="N57" s="66">
        <v>0</v>
      </c>
      <c r="O57" s="173"/>
      <c r="P57" s="173"/>
      <c r="Q57" s="87"/>
    </row>
    <row r="58" spans="1:18" ht="15.75" customHeight="1">
      <c r="A58" s="57">
        <v>51</v>
      </c>
      <c r="B58" s="69" t="s">
        <v>99</v>
      </c>
      <c r="C58" s="66"/>
      <c r="D58" s="66"/>
      <c r="E58" s="66"/>
      <c r="F58" s="66"/>
      <c r="G58" s="66"/>
      <c r="H58" s="66"/>
      <c r="I58" s="66"/>
      <c r="J58" s="66"/>
      <c r="K58" s="66">
        <v>0</v>
      </c>
      <c r="L58" s="66">
        <v>0</v>
      </c>
      <c r="M58" s="66" t="e">
        <v>#DIV/0!</v>
      </c>
      <c r="N58" s="66">
        <v>0</v>
      </c>
      <c r="O58" s="173"/>
      <c r="P58" s="173"/>
      <c r="Q58" s="87"/>
    </row>
    <row r="59" spans="1:18" ht="15.75" customHeight="1">
      <c r="A59" s="57">
        <v>51</v>
      </c>
      <c r="B59" s="55" t="s">
        <v>100</v>
      </c>
      <c r="C59" s="66"/>
      <c r="D59" s="66"/>
      <c r="E59" s="66"/>
      <c r="F59" s="66"/>
      <c r="G59" s="66"/>
      <c r="H59" s="66"/>
      <c r="I59" s="66"/>
      <c r="J59" s="66"/>
      <c r="K59" s="66">
        <v>0</v>
      </c>
      <c r="L59" s="66">
        <v>0</v>
      </c>
      <c r="M59" s="66" t="e">
        <v>#DIV/0!</v>
      </c>
      <c r="N59" s="66">
        <v>0</v>
      </c>
      <c r="O59" s="173"/>
      <c r="P59" s="173"/>
      <c r="Q59" s="87"/>
    </row>
    <row r="60" spans="1:18" ht="15.75" customHeight="1">
      <c r="A60" s="57">
        <v>51</v>
      </c>
      <c r="B60" s="69" t="s">
        <v>101</v>
      </c>
      <c r="C60" s="66"/>
      <c r="D60" s="66"/>
      <c r="E60" s="66"/>
      <c r="F60" s="66"/>
      <c r="G60" s="66"/>
      <c r="H60" s="66"/>
      <c r="I60" s="66"/>
      <c r="J60" s="66"/>
      <c r="K60" s="66">
        <v>0</v>
      </c>
      <c r="L60" s="66">
        <v>0</v>
      </c>
      <c r="M60" s="66" t="e">
        <v>#DIV/0!</v>
      </c>
      <c r="N60" s="66">
        <v>0</v>
      </c>
      <c r="O60" s="173"/>
      <c r="P60" s="173"/>
      <c r="Q60" s="87"/>
    </row>
    <row r="61" spans="1:18" ht="15.75" customHeight="1">
      <c r="A61" s="57">
        <v>51</v>
      </c>
      <c r="B61" s="69" t="s">
        <v>89</v>
      </c>
      <c r="C61" s="66"/>
      <c r="D61" s="66"/>
      <c r="E61" s="66"/>
      <c r="F61" s="66"/>
      <c r="G61" s="66"/>
      <c r="H61" s="66"/>
      <c r="I61" s="66"/>
      <c r="J61" s="66"/>
      <c r="K61" s="66">
        <v>0</v>
      </c>
      <c r="L61" s="66">
        <v>0</v>
      </c>
      <c r="M61" s="66" t="e">
        <v>#DIV/0!</v>
      </c>
      <c r="N61" s="66">
        <v>0</v>
      </c>
      <c r="O61" s="173"/>
      <c r="P61" s="173"/>
      <c r="Q61" s="87"/>
    </row>
    <row r="62" spans="1:18" ht="15.75" customHeight="1">
      <c r="A62" s="57">
        <v>51</v>
      </c>
      <c r="B62" s="69" t="s">
        <v>92</v>
      </c>
      <c r="C62" s="66"/>
      <c r="D62" s="66"/>
      <c r="E62" s="66"/>
      <c r="F62" s="66"/>
      <c r="G62" s="66"/>
      <c r="H62" s="66"/>
      <c r="I62" s="66"/>
      <c r="J62" s="66"/>
      <c r="K62" s="66">
        <v>0</v>
      </c>
      <c r="L62" s="66">
        <v>0</v>
      </c>
      <c r="M62" s="66" t="e">
        <v>#DIV/0!</v>
      </c>
      <c r="N62" s="66">
        <v>0</v>
      </c>
      <c r="O62" s="70"/>
      <c r="P62" s="71"/>
      <c r="Q62" s="87"/>
      <c r="R62" s="5"/>
    </row>
    <row r="63" spans="1:18" ht="15.75" customHeight="1">
      <c r="A63" s="57">
        <v>51</v>
      </c>
      <c r="B63" s="69" t="s">
        <v>64</v>
      </c>
      <c r="C63" s="66"/>
      <c r="D63" s="66"/>
      <c r="E63" s="66"/>
      <c r="F63" s="66"/>
      <c r="G63" s="66"/>
      <c r="H63" s="66"/>
      <c r="I63" s="66"/>
      <c r="J63" s="66"/>
      <c r="K63" s="66">
        <v>0</v>
      </c>
      <c r="L63" s="66">
        <v>0</v>
      </c>
      <c r="M63" s="66" t="e">
        <v>#DIV/0!</v>
      </c>
      <c r="N63" s="66">
        <v>0</v>
      </c>
      <c r="O63" s="173"/>
      <c r="P63" s="173"/>
      <c r="Q63" s="87"/>
    </row>
    <row r="64" spans="1:18" ht="15.75" customHeight="1">
      <c r="A64" s="57">
        <v>51</v>
      </c>
      <c r="B64" s="69" t="s">
        <v>102</v>
      </c>
      <c r="C64" s="66"/>
      <c r="D64" s="66"/>
      <c r="E64" s="66"/>
      <c r="F64" s="66"/>
      <c r="G64" s="66"/>
      <c r="H64" s="66"/>
      <c r="I64" s="66"/>
      <c r="J64" s="66"/>
      <c r="K64" s="66">
        <v>0</v>
      </c>
      <c r="L64" s="66">
        <v>0</v>
      </c>
      <c r="M64" s="66" t="e">
        <v>#DIV/0!</v>
      </c>
      <c r="N64" s="66">
        <v>0</v>
      </c>
      <c r="O64" s="173"/>
      <c r="P64" s="173"/>
      <c r="Q64" s="87"/>
    </row>
    <row r="65" spans="1:17" ht="15.75" customHeight="1">
      <c r="A65" s="57">
        <v>51</v>
      </c>
      <c r="B65" s="69" t="s">
        <v>103</v>
      </c>
      <c r="C65" s="66"/>
      <c r="D65" s="66"/>
      <c r="E65" s="66"/>
      <c r="F65" s="66"/>
      <c r="G65" s="66"/>
      <c r="H65" s="66"/>
      <c r="I65" s="66"/>
      <c r="J65" s="66"/>
      <c r="K65" s="66">
        <v>0</v>
      </c>
      <c r="L65" s="66">
        <v>0</v>
      </c>
      <c r="M65" s="66" t="e">
        <v>#DIV/0!</v>
      </c>
      <c r="N65" s="66">
        <v>0</v>
      </c>
      <c r="O65" s="173"/>
      <c r="P65" s="173"/>
      <c r="Q65" s="87"/>
    </row>
    <row r="66" spans="1:17" ht="15.75" customHeight="1">
      <c r="A66" s="57">
        <v>51</v>
      </c>
      <c r="B66" s="69" t="s">
        <v>52</v>
      </c>
      <c r="C66" s="66"/>
      <c r="D66" s="66"/>
      <c r="E66" s="66"/>
      <c r="F66" s="66"/>
      <c r="G66" s="66"/>
      <c r="H66" s="66"/>
      <c r="I66" s="66"/>
      <c r="J66" s="66"/>
      <c r="K66" s="66">
        <v>0</v>
      </c>
      <c r="L66" s="66">
        <v>0</v>
      </c>
      <c r="M66" s="66" t="e">
        <v>#DIV/0!</v>
      </c>
      <c r="N66" s="66">
        <v>0</v>
      </c>
      <c r="O66" s="173"/>
      <c r="P66" s="173"/>
      <c r="Q66" s="87"/>
    </row>
    <row r="67" spans="1:17" ht="15.75" customHeight="1">
      <c r="A67" s="57">
        <v>51</v>
      </c>
      <c r="B67" s="55" t="s">
        <v>48</v>
      </c>
      <c r="C67" s="66"/>
      <c r="D67" s="66"/>
      <c r="E67" s="66"/>
      <c r="F67" s="66"/>
      <c r="G67" s="66"/>
      <c r="H67" s="66"/>
      <c r="I67" s="66"/>
      <c r="J67" s="66"/>
      <c r="K67" s="66">
        <v>0</v>
      </c>
      <c r="L67" s="66">
        <v>0</v>
      </c>
      <c r="M67" s="66" t="e">
        <v>#DIV/0!</v>
      </c>
      <c r="N67" s="66">
        <v>0</v>
      </c>
      <c r="O67" s="173"/>
      <c r="P67" s="173"/>
      <c r="Q67" s="87"/>
    </row>
    <row r="68" spans="1:17" ht="15.75" customHeight="1">
      <c r="A68" s="57">
        <v>51</v>
      </c>
      <c r="B68" s="55" t="s">
        <v>93</v>
      </c>
      <c r="C68" s="66"/>
      <c r="D68" s="66"/>
      <c r="E68" s="66"/>
      <c r="F68" s="66"/>
      <c r="G68" s="66"/>
      <c r="H68" s="66"/>
      <c r="I68" s="66"/>
      <c r="J68" s="66"/>
      <c r="K68" s="66">
        <v>0</v>
      </c>
      <c r="L68" s="66">
        <v>0</v>
      </c>
      <c r="M68" s="66" t="e">
        <v>#DIV/0!</v>
      </c>
      <c r="N68" s="66">
        <v>0</v>
      </c>
      <c r="O68" s="173"/>
      <c r="P68" s="173"/>
      <c r="Q68" s="87"/>
    </row>
    <row r="69" spans="1:17" ht="15.75" customHeight="1">
      <c r="A69" s="57">
        <v>51</v>
      </c>
      <c r="B69" s="55" t="s">
        <v>69</v>
      </c>
      <c r="C69" s="66"/>
      <c r="D69" s="66"/>
      <c r="E69" s="66"/>
      <c r="F69" s="66"/>
      <c r="G69" s="66"/>
      <c r="H69" s="66"/>
      <c r="I69" s="66"/>
      <c r="J69" s="66"/>
      <c r="K69" s="66">
        <v>0</v>
      </c>
      <c r="L69" s="66">
        <v>0</v>
      </c>
      <c r="M69" s="66" t="e">
        <v>#DIV/0!</v>
      </c>
      <c r="N69" s="66">
        <v>0</v>
      </c>
      <c r="O69" s="173"/>
      <c r="P69" s="173"/>
      <c r="Q69" s="87"/>
    </row>
    <row r="70" spans="1:17" ht="15.75" customHeight="1">
      <c r="A70" s="57">
        <v>51</v>
      </c>
      <c r="B70" s="69" t="s">
        <v>104</v>
      </c>
      <c r="C70" s="66"/>
      <c r="D70" s="66"/>
      <c r="E70" s="66"/>
      <c r="F70" s="66"/>
      <c r="G70" s="66"/>
      <c r="H70" s="66"/>
      <c r="I70" s="66"/>
      <c r="J70" s="66"/>
      <c r="K70" s="66">
        <v>0</v>
      </c>
      <c r="L70" s="66">
        <v>0</v>
      </c>
      <c r="M70" s="66" t="e">
        <v>#DIV/0!</v>
      </c>
      <c r="N70" s="66">
        <v>0</v>
      </c>
      <c r="O70" s="173"/>
      <c r="P70" s="173"/>
      <c r="Q70" s="87"/>
    </row>
    <row r="71" spans="1:17" ht="15.75" customHeight="1">
      <c r="A71" s="57">
        <v>51</v>
      </c>
      <c r="B71" s="55" t="s">
        <v>105</v>
      </c>
      <c r="C71" s="66"/>
      <c r="D71" s="66"/>
      <c r="E71" s="66"/>
      <c r="F71" s="66"/>
      <c r="G71" s="66"/>
      <c r="H71" s="66"/>
      <c r="I71" s="66"/>
      <c r="J71" s="66"/>
      <c r="K71" s="66">
        <v>0</v>
      </c>
      <c r="L71" s="66">
        <v>0</v>
      </c>
      <c r="M71" s="66" t="e">
        <v>#DIV/0!</v>
      </c>
      <c r="N71" s="66">
        <v>0</v>
      </c>
      <c r="O71" s="173"/>
      <c r="P71" s="173"/>
      <c r="Q71" s="87"/>
    </row>
    <row r="72" spans="1:17" ht="15.75" customHeight="1">
      <c r="A72" s="57">
        <v>51</v>
      </c>
      <c r="B72" s="55" t="s">
        <v>106</v>
      </c>
      <c r="C72" s="66"/>
      <c r="D72" s="66"/>
      <c r="E72" s="66"/>
      <c r="F72" s="66"/>
      <c r="G72" s="66"/>
      <c r="H72" s="66"/>
      <c r="I72" s="66"/>
      <c r="J72" s="66"/>
      <c r="K72" s="66">
        <v>0</v>
      </c>
      <c r="L72" s="66">
        <v>0</v>
      </c>
      <c r="M72" s="66" t="e">
        <v>#DIV/0!</v>
      </c>
      <c r="N72" s="66">
        <v>0</v>
      </c>
      <c r="O72" s="173"/>
      <c r="P72" s="173"/>
      <c r="Q72" s="87"/>
    </row>
    <row r="73" spans="1:17" ht="15.75" customHeight="1">
      <c r="A73" s="57">
        <v>51</v>
      </c>
      <c r="B73" s="69" t="s">
        <v>56</v>
      </c>
      <c r="C73" s="66"/>
      <c r="D73" s="66"/>
      <c r="E73" s="66"/>
      <c r="F73" s="66"/>
      <c r="G73" s="66"/>
      <c r="H73" s="66"/>
      <c r="I73" s="66"/>
      <c r="J73" s="66"/>
      <c r="K73" s="66">
        <v>0</v>
      </c>
      <c r="L73" s="66">
        <v>0</v>
      </c>
      <c r="M73" s="66" t="e">
        <v>#DIV/0!</v>
      </c>
      <c r="N73" s="66">
        <v>0</v>
      </c>
      <c r="O73" s="173"/>
      <c r="P73" s="173"/>
      <c r="Q73" s="87"/>
    </row>
    <row r="74" spans="1:17" ht="15.75" customHeight="1">
      <c r="A74" s="57">
        <v>51</v>
      </c>
      <c r="B74" s="69" t="s">
        <v>90</v>
      </c>
      <c r="C74" s="66"/>
      <c r="D74" s="66"/>
      <c r="E74" s="66"/>
      <c r="F74" s="66"/>
      <c r="G74" s="66"/>
      <c r="H74" s="66"/>
      <c r="I74" s="66"/>
      <c r="J74" s="66"/>
      <c r="K74" s="66">
        <v>0</v>
      </c>
      <c r="L74" s="66">
        <v>0</v>
      </c>
      <c r="M74" s="66" t="e">
        <v>#DIV/0!</v>
      </c>
      <c r="N74" s="66">
        <v>0</v>
      </c>
      <c r="O74" s="173"/>
      <c r="P74" s="173"/>
      <c r="Q74" s="87"/>
    </row>
    <row r="75" spans="1:17" ht="15.75" customHeight="1">
      <c r="A75" s="57">
        <v>51</v>
      </c>
      <c r="B75" s="55" t="s">
        <v>107</v>
      </c>
      <c r="C75" s="66"/>
      <c r="D75" s="66"/>
      <c r="E75" s="66"/>
      <c r="F75" s="66"/>
      <c r="G75" s="66"/>
      <c r="H75" s="66"/>
      <c r="I75" s="66"/>
      <c r="J75" s="66"/>
      <c r="K75" s="66">
        <v>0</v>
      </c>
      <c r="L75" s="66">
        <v>0</v>
      </c>
      <c r="M75" s="66" t="e">
        <v>#DIV/0!</v>
      </c>
      <c r="N75" s="66">
        <v>0</v>
      </c>
      <c r="O75" s="173"/>
      <c r="P75" s="173"/>
      <c r="Q75" s="87"/>
    </row>
    <row r="76" spans="1:17" ht="15.75" customHeight="1">
      <c r="A76" s="57">
        <v>51</v>
      </c>
      <c r="B76" s="69" t="s">
        <v>88</v>
      </c>
      <c r="C76" s="66"/>
      <c r="D76" s="66"/>
      <c r="E76" s="66"/>
      <c r="F76" s="66"/>
      <c r="G76" s="66"/>
      <c r="H76" s="66"/>
      <c r="I76" s="66"/>
      <c r="J76" s="66"/>
      <c r="K76" s="66">
        <v>0</v>
      </c>
      <c r="L76" s="66">
        <v>0</v>
      </c>
      <c r="M76" s="66" t="e">
        <v>#DIV/0!</v>
      </c>
      <c r="N76" s="66">
        <v>0</v>
      </c>
      <c r="O76" s="173"/>
      <c r="P76" s="173"/>
      <c r="Q76" s="87"/>
    </row>
    <row r="77" spans="1:17" ht="15.75" customHeight="1">
      <c r="A77" s="57">
        <v>51</v>
      </c>
      <c r="B77" s="55" t="s">
        <v>108</v>
      </c>
      <c r="C77" s="66"/>
      <c r="D77" s="66"/>
      <c r="E77" s="66"/>
      <c r="F77" s="66"/>
      <c r="G77" s="66"/>
      <c r="H77" s="66"/>
      <c r="I77" s="66"/>
      <c r="J77" s="66"/>
      <c r="K77" s="66">
        <v>0</v>
      </c>
      <c r="L77" s="66">
        <v>0</v>
      </c>
      <c r="M77" s="66" t="e">
        <v>#DIV/0!</v>
      </c>
      <c r="N77" s="66">
        <v>0</v>
      </c>
      <c r="O77" s="173"/>
      <c r="P77" s="173"/>
      <c r="Q77" s="87"/>
    </row>
    <row r="78" spans="1:17" ht="15.75" customHeight="1">
      <c r="A78" s="57">
        <v>51</v>
      </c>
      <c r="B78" s="76" t="s">
        <v>87</v>
      </c>
      <c r="C78" s="66"/>
      <c r="D78" s="66"/>
      <c r="E78" s="66"/>
      <c r="F78" s="66"/>
      <c r="G78" s="66"/>
      <c r="H78" s="66"/>
      <c r="I78" s="66"/>
      <c r="J78" s="66"/>
      <c r="K78" s="66">
        <v>0</v>
      </c>
      <c r="L78" s="66">
        <v>0</v>
      </c>
      <c r="M78" s="66" t="e">
        <v>#DIV/0!</v>
      </c>
      <c r="N78" s="66">
        <v>0</v>
      </c>
      <c r="O78" s="173"/>
      <c r="P78" s="173"/>
      <c r="Q78" s="87"/>
    </row>
    <row r="79" spans="1:17" ht="15.75" customHeight="1">
      <c r="A79" s="57">
        <v>51</v>
      </c>
      <c r="B79" s="55" t="s">
        <v>109</v>
      </c>
      <c r="C79" s="66"/>
      <c r="D79" s="66"/>
      <c r="E79" s="66"/>
      <c r="F79" s="66"/>
      <c r="G79" s="66"/>
      <c r="H79" s="66"/>
      <c r="I79" s="66"/>
      <c r="J79" s="66"/>
      <c r="K79" s="66">
        <v>0</v>
      </c>
      <c r="L79" s="66">
        <v>0</v>
      </c>
      <c r="M79" s="66" t="e">
        <v>#DIV/0!</v>
      </c>
      <c r="N79" s="66">
        <v>0</v>
      </c>
      <c r="O79" s="173"/>
      <c r="P79" s="173"/>
      <c r="Q79" s="87"/>
    </row>
    <row r="80" spans="1:17" ht="15.75" customHeight="1">
      <c r="A80" s="57">
        <v>51</v>
      </c>
      <c r="B80" s="69" t="s">
        <v>110</v>
      </c>
      <c r="C80" s="66"/>
      <c r="D80" s="66"/>
      <c r="E80" s="66"/>
      <c r="F80" s="66"/>
      <c r="G80" s="66"/>
      <c r="H80" s="66"/>
      <c r="I80" s="66"/>
      <c r="J80" s="66"/>
      <c r="K80" s="66">
        <v>0</v>
      </c>
      <c r="L80" s="66">
        <v>0</v>
      </c>
      <c r="M80" s="66" t="e">
        <v>#DIV/0!</v>
      </c>
      <c r="N80" s="66">
        <v>0</v>
      </c>
      <c r="O80" s="173"/>
      <c r="P80" s="173"/>
      <c r="Q80" s="87"/>
    </row>
    <row r="81" spans="1:17" ht="15.75" customHeight="1">
      <c r="A81" s="57">
        <v>51</v>
      </c>
      <c r="B81" s="55" t="s">
        <v>46</v>
      </c>
      <c r="C81" s="66"/>
      <c r="D81" s="66"/>
      <c r="E81" s="66"/>
      <c r="F81" s="66"/>
      <c r="G81" s="66"/>
      <c r="H81" s="66"/>
      <c r="I81" s="66"/>
      <c r="J81" s="66"/>
      <c r="K81" s="66">
        <v>0</v>
      </c>
      <c r="L81" s="66">
        <v>0</v>
      </c>
      <c r="M81" s="66" t="e">
        <v>#DIV/0!</v>
      </c>
      <c r="N81" s="66">
        <v>0</v>
      </c>
      <c r="O81" s="173"/>
      <c r="P81" s="173"/>
      <c r="Q81" s="87"/>
    </row>
    <row r="82" spans="1:17" ht="15.75" customHeight="1">
      <c r="A82" s="57">
        <v>51</v>
      </c>
      <c r="B82" s="69" t="s">
        <v>111</v>
      </c>
      <c r="C82" s="66"/>
      <c r="D82" s="66"/>
      <c r="E82" s="66"/>
      <c r="F82" s="66"/>
      <c r="G82" s="66"/>
      <c r="H82" s="66"/>
      <c r="I82" s="66"/>
      <c r="J82" s="66"/>
      <c r="K82" s="66">
        <v>0</v>
      </c>
      <c r="L82" s="66">
        <v>0</v>
      </c>
      <c r="M82" s="66" t="e">
        <v>#DIV/0!</v>
      </c>
      <c r="N82" s="66">
        <v>0</v>
      </c>
      <c r="O82" s="173"/>
      <c r="P82" s="173"/>
      <c r="Q82" s="87"/>
    </row>
    <row r="83" spans="1:17" ht="15.75" customHeight="1">
      <c r="A83" s="57">
        <v>51</v>
      </c>
      <c r="B83" s="69" t="s">
        <v>112</v>
      </c>
      <c r="C83" s="66"/>
      <c r="D83" s="66"/>
      <c r="E83" s="66"/>
      <c r="F83" s="66"/>
      <c r="G83" s="66"/>
      <c r="H83" s="66"/>
      <c r="I83" s="66"/>
      <c r="J83" s="66"/>
      <c r="K83" s="66">
        <v>0</v>
      </c>
      <c r="L83" s="66">
        <v>0</v>
      </c>
      <c r="M83" s="66" t="e">
        <v>#DIV/0!</v>
      </c>
      <c r="N83" s="66">
        <v>0</v>
      </c>
      <c r="O83" s="173"/>
      <c r="P83" s="173"/>
      <c r="Q83" s="87"/>
    </row>
    <row r="84" spans="1:17" ht="15.75" customHeight="1">
      <c r="A84" s="57">
        <v>51</v>
      </c>
      <c r="B84" s="69" t="s">
        <v>91</v>
      </c>
      <c r="C84" s="66"/>
      <c r="D84" s="66"/>
      <c r="E84" s="66"/>
      <c r="F84" s="66"/>
      <c r="G84" s="66"/>
      <c r="H84" s="66"/>
      <c r="I84" s="66"/>
      <c r="J84" s="66"/>
      <c r="K84" s="66">
        <v>0</v>
      </c>
      <c r="L84" s="66">
        <v>0</v>
      </c>
      <c r="M84" s="66" t="e">
        <v>#DIV/0!</v>
      </c>
      <c r="N84" s="66">
        <v>0</v>
      </c>
      <c r="O84" s="173"/>
      <c r="P84" s="173"/>
      <c r="Q84" s="87"/>
    </row>
    <row r="85" spans="1:17" ht="15.75" customHeight="1">
      <c r="A85" s="57">
        <v>51</v>
      </c>
      <c r="B85" s="69" t="s">
        <v>94</v>
      </c>
      <c r="C85" s="66"/>
      <c r="D85" s="66"/>
      <c r="E85" s="66"/>
      <c r="F85" s="66"/>
      <c r="G85" s="66"/>
      <c r="H85" s="66"/>
      <c r="I85" s="66"/>
      <c r="J85" s="66"/>
      <c r="K85" s="66">
        <v>0</v>
      </c>
      <c r="L85" s="66">
        <v>0</v>
      </c>
      <c r="M85" s="66" t="e">
        <v>#DIV/0!</v>
      </c>
      <c r="N85" s="66">
        <v>0</v>
      </c>
      <c r="O85" s="173"/>
      <c r="P85" s="173"/>
      <c r="Q85" s="87"/>
    </row>
    <row r="86" spans="1:17" ht="15.75" customHeight="1">
      <c r="A86" s="57">
        <v>51</v>
      </c>
      <c r="B86" s="69" t="s">
        <v>84</v>
      </c>
      <c r="C86" s="66"/>
      <c r="D86" s="66"/>
      <c r="E86" s="66"/>
      <c r="F86" s="66"/>
      <c r="G86" s="66"/>
      <c r="H86" s="66"/>
      <c r="I86" s="66"/>
      <c r="J86" s="66"/>
      <c r="K86" s="66">
        <v>0</v>
      </c>
      <c r="L86" s="66">
        <v>0</v>
      </c>
      <c r="M86" s="66" t="e">
        <v>#DIV/0!</v>
      </c>
      <c r="N86" s="66">
        <v>0</v>
      </c>
      <c r="O86" s="173"/>
      <c r="P86" s="173"/>
      <c r="Q86" s="87"/>
    </row>
    <row r="87" spans="1:17" ht="15.75" customHeight="1">
      <c r="A87" s="57">
        <v>51</v>
      </c>
      <c r="B87" s="55" t="s">
        <v>113</v>
      </c>
      <c r="C87" s="66"/>
      <c r="D87" s="66"/>
      <c r="E87" s="66"/>
      <c r="F87" s="66"/>
      <c r="G87" s="66"/>
      <c r="H87" s="66"/>
      <c r="I87" s="66"/>
      <c r="J87" s="66"/>
      <c r="K87" s="66">
        <v>0</v>
      </c>
      <c r="L87" s="66">
        <v>0</v>
      </c>
      <c r="M87" s="66" t="e">
        <v>#DIV/0!</v>
      </c>
      <c r="N87" s="66">
        <v>0</v>
      </c>
      <c r="O87" s="173"/>
      <c r="P87" s="173"/>
      <c r="Q87" s="87"/>
    </row>
    <row r="88" spans="1:17" ht="15.75" customHeight="1">
      <c r="A88" s="57">
        <v>51</v>
      </c>
      <c r="B88" s="55" t="s">
        <v>95</v>
      </c>
      <c r="C88" s="66"/>
      <c r="D88" s="66"/>
      <c r="E88" s="66"/>
      <c r="F88" s="66"/>
      <c r="G88" s="66"/>
      <c r="H88" s="66"/>
      <c r="I88" s="66"/>
      <c r="J88" s="66"/>
      <c r="K88" s="66">
        <v>0</v>
      </c>
      <c r="L88" s="66">
        <v>0</v>
      </c>
      <c r="M88" s="66" t="e">
        <v>#DIV/0!</v>
      </c>
      <c r="N88" s="66">
        <v>0</v>
      </c>
      <c r="O88" s="173"/>
      <c r="P88" s="173"/>
      <c r="Q88" s="87"/>
    </row>
    <row r="89" spans="1:17" ht="15.75" customHeight="1">
      <c r="A89" s="57">
        <v>51</v>
      </c>
      <c r="B89" s="55" t="s">
        <v>37</v>
      </c>
      <c r="C89" s="66"/>
      <c r="D89" s="66"/>
      <c r="E89" s="66"/>
      <c r="F89" s="66"/>
      <c r="G89" s="66"/>
      <c r="H89" s="66"/>
      <c r="I89" s="66"/>
      <c r="J89" s="66"/>
      <c r="K89" s="66">
        <v>0</v>
      </c>
      <c r="L89" s="66">
        <v>0</v>
      </c>
      <c r="M89" s="66" t="e">
        <v>#DIV/0!</v>
      </c>
      <c r="N89" s="66">
        <v>0</v>
      </c>
      <c r="O89" s="173"/>
      <c r="P89" s="173"/>
      <c r="Q89" s="87"/>
    </row>
    <row r="90" spans="1:17" ht="15.75" customHeight="1">
      <c r="A90" s="57">
        <v>51</v>
      </c>
      <c r="B90" s="69" t="s">
        <v>114</v>
      </c>
      <c r="C90" s="66"/>
      <c r="D90" s="66"/>
      <c r="E90" s="66"/>
      <c r="F90" s="66"/>
      <c r="G90" s="66"/>
      <c r="H90" s="66"/>
      <c r="I90" s="66"/>
      <c r="J90" s="66"/>
      <c r="K90" s="66">
        <v>0</v>
      </c>
      <c r="L90" s="66">
        <v>0</v>
      </c>
      <c r="M90" s="66" t="e">
        <v>#DIV/0!</v>
      </c>
      <c r="N90" s="66">
        <v>0</v>
      </c>
      <c r="O90" s="173"/>
      <c r="P90" s="173"/>
      <c r="Q90" s="87"/>
    </row>
    <row r="91" spans="1:17" ht="15.75" customHeight="1">
      <c r="A91" s="57">
        <v>51</v>
      </c>
      <c r="B91" s="69" t="s">
        <v>62</v>
      </c>
      <c r="C91" s="66"/>
      <c r="D91" s="66"/>
      <c r="E91" s="66"/>
      <c r="F91" s="66"/>
      <c r="G91" s="66"/>
      <c r="H91" s="66"/>
      <c r="I91" s="66"/>
      <c r="J91" s="66"/>
      <c r="K91" s="66">
        <v>0</v>
      </c>
      <c r="L91" s="66">
        <v>0</v>
      </c>
      <c r="M91" s="66" t="e">
        <v>#DIV/0!</v>
      </c>
      <c r="N91" s="66">
        <v>0</v>
      </c>
      <c r="O91" s="173"/>
      <c r="P91" s="173"/>
      <c r="Q91" s="87"/>
    </row>
    <row r="92" spans="1:17" ht="15" customHeight="1">
      <c r="A92" s="57">
        <v>51</v>
      </c>
      <c r="B92" s="69" t="s">
        <v>115</v>
      </c>
      <c r="C92" s="66"/>
      <c r="D92" s="66"/>
      <c r="E92" s="66"/>
      <c r="F92" s="66"/>
      <c r="G92" s="66"/>
      <c r="H92" s="66"/>
      <c r="I92" s="66"/>
      <c r="J92" s="66"/>
      <c r="K92" s="66">
        <v>0</v>
      </c>
      <c r="L92" s="66">
        <v>0</v>
      </c>
      <c r="M92" s="66" t="e">
        <v>#DIV/0!</v>
      </c>
      <c r="N92" s="66">
        <v>0</v>
      </c>
      <c r="O92" s="173"/>
      <c r="P92" s="173"/>
      <c r="Q92" s="87"/>
    </row>
    <row r="93" spans="1:17" ht="15" customHeight="1">
      <c r="A93" s="57">
        <v>51</v>
      </c>
      <c r="B93" s="67" t="s">
        <v>4012</v>
      </c>
      <c r="C93" s="66"/>
      <c r="D93" s="66"/>
      <c r="E93" s="66"/>
      <c r="F93" s="66"/>
      <c r="G93" s="66"/>
      <c r="H93" s="66"/>
      <c r="I93" s="66"/>
      <c r="J93" s="66"/>
      <c r="K93" s="66">
        <v>0</v>
      </c>
      <c r="L93" s="66">
        <v>0</v>
      </c>
      <c r="M93" s="66" t="e">
        <v>#DIV/0!</v>
      </c>
      <c r="N93" s="66">
        <v>0</v>
      </c>
      <c r="O93" s="173"/>
      <c r="P93" s="173"/>
      <c r="Q93" s="87"/>
    </row>
    <row r="94" spans="1:17" ht="15" customHeight="1">
      <c r="A94" s="57">
        <v>51</v>
      </c>
      <c r="B94" s="69" t="s">
        <v>116</v>
      </c>
      <c r="C94" s="66"/>
      <c r="D94" s="66"/>
      <c r="E94" s="66"/>
      <c r="F94" s="66"/>
      <c r="G94" s="66"/>
      <c r="H94" s="66"/>
      <c r="I94" s="66"/>
      <c r="J94" s="66"/>
      <c r="K94" s="66">
        <v>0</v>
      </c>
      <c r="L94" s="66">
        <v>0</v>
      </c>
      <c r="M94" s="66" t="e">
        <v>#DIV/0!</v>
      </c>
      <c r="N94" s="66">
        <v>0</v>
      </c>
      <c r="O94" s="173"/>
      <c r="P94" s="173"/>
      <c r="Q94" s="87"/>
    </row>
    <row r="95" spans="1:17" ht="15" customHeight="1">
      <c r="A95" s="57">
        <v>51</v>
      </c>
      <c r="B95" s="69" t="s">
        <v>117</v>
      </c>
      <c r="C95" s="66"/>
      <c r="D95" s="66"/>
      <c r="E95" s="66"/>
      <c r="F95" s="66"/>
      <c r="G95" s="66"/>
      <c r="H95" s="66"/>
      <c r="I95" s="66"/>
      <c r="J95" s="66"/>
      <c r="K95" s="66">
        <v>0</v>
      </c>
      <c r="L95" s="66">
        <v>0</v>
      </c>
      <c r="M95" s="66" t="e">
        <v>#DIV/0!</v>
      </c>
      <c r="N95" s="66">
        <v>0</v>
      </c>
      <c r="O95" s="173"/>
      <c r="P95" s="173"/>
      <c r="Q95" s="87"/>
    </row>
    <row r="96" spans="1:17" ht="15" customHeight="1">
      <c r="A96" s="57">
        <v>51</v>
      </c>
      <c r="B96" s="69" t="s">
        <v>118</v>
      </c>
      <c r="C96" s="66"/>
      <c r="D96" s="66"/>
      <c r="E96" s="66"/>
      <c r="F96" s="66"/>
      <c r="G96" s="66"/>
      <c r="H96" s="66"/>
      <c r="I96" s="66"/>
      <c r="J96" s="66"/>
      <c r="K96" s="66">
        <v>0</v>
      </c>
      <c r="L96" s="66">
        <v>0</v>
      </c>
      <c r="M96" s="66" t="e">
        <v>#DIV/0!</v>
      </c>
      <c r="N96" s="66">
        <v>0</v>
      </c>
      <c r="O96" s="173"/>
      <c r="P96" s="173"/>
      <c r="Q96" s="87"/>
    </row>
    <row r="97" spans="1:17" ht="15" customHeight="1">
      <c r="A97" s="57">
        <v>51</v>
      </c>
      <c r="B97" s="69" t="s">
        <v>119</v>
      </c>
      <c r="C97" s="66"/>
      <c r="D97" s="66"/>
      <c r="E97" s="66"/>
      <c r="F97" s="66"/>
      <c r="G97" s="66"/>
      <c r="H97" s="66"/>
      <c r="I97" s="66"/>
      <c r="J97" s="66"/>
      <c r="K97" s="66">
        <v>0</v>
      </c>
      <c r="L97" s="66">
        <v>0</v>
      </c>
      <c r="M97" s="66" t="e">
        <v>#DIV/0!</v>
      </c>
      <c r="N97" s="66">
        <v>0</v>
      </c>
      <c r="O97" s="173"/>
      <c r="P97" s="173"/>
      <c r="Q97" s="87"/>
    </row>
    <row r="98" spans="1:17" ht="15" customHeight="1" thickBot="1">
      <c r="A98" s="57">
        <v>51</v>
      </c>
      <c r="B98" s="69" t="s">
        <v>120</v>
      </c>
      <c r="C98" s="66"/>
      <c r="D98" s="66"/>
      <c r="E98" s="66"/>
      <c r="F98" s="66"/>
      <c r="G98" s="66"/>
      <c r="H98" s="66"/>
      <c r="I98" s="66"/>
      <c r="J98" s="66"/>
      <c r="K98" s="66">
        <v>0</v>
      </c>
      <c r="L98" s="66">
        <v>0</v>
      </c>
      <c r="M98" s="66" t="e">
        <v>#DIV/0!</v>
      </c>
      <c r="N98" s="66">
        <v>0</v>
      </c>
      <c r="O98" s="173"/>
      <c r="P98" s="173"/>
      <c r="Q98" s="87"/>
    </row>
    <row r="99" spans="1:17" ht="15" customHeight="1" thickBot="1">
      <c r="A99" s="174"/>
      <c r="B99" s="175"/>
      <c r="C99" s="72">
        <v>7</v>
      </c>
      <c r="D99" s="72">
        <v>14</v>
      </c>
      <c r="E99" s="72">
        <v>24</v>
      </c>
      <c r="F99" s="72">
        <v>8</v>
      </c>
      <c r="G99" s="72">
        <v>7</v>
      </c>
      <c r="H99" s="72">
        <v>21</v>
      </c>
      <c r="I99" s="72">
        <v>31</v>
      </c>
      <c r="J99" s="72">
        <v>9</v>
      </c>
      <c r="K99" s="75">
        <v>24</v>
      </c>
      <c r="L99" s="72">
        <v>24</v>
      </c>
      <c r="M99" s="72">
        <v>24</v>
      </c>
      <c r="N99" s="77">
        <v>21</v>
      </c>
      <c r="O99" s="176"/>
      <c r="P99" s="172"/>
      <c r="Q99" s="87"/>
    </row>
    <row r="100" spans="1:17" ht="15" customHeight="1">
      <c r="A100" s="177"/>
      <c r="B100" s="17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173"/>
      <c r="P100" s="173"/>
      <c r="Q100" s="87"/>
    </row>
    <row r="101" spans="1:17" ht="15" customHeight="1">
      <c r="A101" s="173"/>
      <c r="B101" s="173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173"/>
      <c r="P101" s="173"/>
      <c r="Q101" s="87"/>
    </row>
    <row r="102" spans="1:17" ht="15" customHeight="1">
      <c r="A102" s="173"/>
      <c r="B102" s="173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173"/>
      <c r="P102" s="173"/>
      <c r="Q102" s="87"/>
    </row>
    <row r="103" spans="1:17" ht="15" customHeight="1">
      <c r="A103" s="173"/>
      <c r="B103" s="173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173"/>
      <c r="P103" s="173"/>
      <c r="Q103" s="87"/>
    </row>
    <row r="104" spans="1:17" ht="15" customHeight="1">
      <c r="A104" s="173"/>
      <c r="B104" s="173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173"/>
      <c r="P104" s="173"/>
      <c r="Q104" s="87"/>
    </row>
    <row r="105" spans="1:17" ht="15" customHeight="1">
      <c r="A105" s="173"/>
      <c r="B105" s="173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173"/>
      <c r="P105" s="173"/>
      <c r="Q105" s="87"/>
    </row>
    <row r="106" spans="1:17" ht="15" customHeight="1">
      <c r="A106" s="173"/>
      <c r="B106" s="173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173"/>
      <c r="P106" s="173"/>
      <c r="Q106" s="87"/>
    </row>
    <row r="107" spans="1:17" ht="15" customHeight="1">
      <c r="A107" s="173"/>
      <c r="B107" s="173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173"/>
      <c r="P107" s="173"/>
      <c r="Q107" s="87"/>
    </row>
    <row r="108" spans="1:17" ht="15" customHeight="1">
      <c r="A108" s="173"/>
      <c r="B108" s="173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173"/>
      <c r="P108" s="173"/>
      <c r="Q108" s="87"/>
    </row>
    <row r="109" spans="1:17" ht="15" customHeight="1">
      <c r="A109" s="173"/>
      <c r="B109" s="173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173"/>
      <c r="P109" s="173"/>
      <c r="Q109" s="87"/>
    </row>
    <row r="110" spans="1:17" ht="15" customHeight="1">
      <c r="A110" s="173"/>
      <c r="B110" s="173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173"/>
      <c r="P110" s="173"/>
      <c r="Q110" s="87"/>
    </row>
    <row r="111" spans="1:17" ht="15" customHeight="1">
      <c r="A111" s="173"/>
      <c r="B111" s="173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173"/>
      <c r="P111" s="173"/>
      <c r="Q111" s="87"/>
    </row>
    <row r="112" spans="1:17" ht="15" customHeight="1">
      <c r="A112" s="173"/>
      <c r="B112" s="173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173"/>
      <c r="P112" s="173"/>
      <c r="Q112" s="87"/>
    </row>
    <row r="113" spans="1:17" ht="15" customHeight="1">
      <c r="A113" s="173"/>
      <c r="B113" s="173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173"/>
      <c r="P113" s="173"/>
      <c r="Q113" s="87"/>
    </row>
    <row r="114" spans="1:17" ht="15" customHeight="1">
      <c r="A114" s="173"/>
      <c r="B114" s="173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173"/>
      <c r="P114" s="173"/>
      <c r="Q114" s="87"/>
    </row>
    <row r="115" spans="1:17" ht="15" customHeight="1">
      <c r="A115" s="173"/>
      <c r="B115" s="173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173"/>
      <c r="P115" s="173"/>
      <c r="Q115" s="87"/>
    </row>
    <row r="116" spans="1:17" ht="15" customHeight="1">
      <c r="A116" s="173"/>
      <c r="B116" s="173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173"/>
      <c r="P116" s="173"/>
      <c r="Q116" s="87"/>
    </row>
    <row r="117" spans="1:17" ht="15" customHeight="1">
      <c r="A117" s="173"/>
      <c r="B117" s="173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173"/>
      <c r="P117" s="173"/>
      <c r="Q117" s="87"/>
    </row>
    <row r="118" spans="1:17" ht="15" customHeight="1">
      <c r="A118" s="173"/>
      <c r="B118" s="173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173"/>
      <c r="P118" s="173"/>
      <c r="Q118" s="87"/>
    </row>
    <row r="119" spans="1:17" ht="15" customHeight="1">
      <c r="A119" s="173"/>
      <c r="B119" s="173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173"/>
      <c r="P119" s="173"/>
      <c r="Q119" s="87"/>
    </row>
    <row r="120" spans="1:17" ht="15" customHeight="1">
      <c r="A120" s="173"/>
      <c r="B120" s="173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173"/>
      <c r="P120" s="173"/>
      <c r="Q120" s="87"/>
    </row>
    <row r="121" spans="1:17" ht="15" customHeight="1">
      <c r="A121" s="172"/>
      <c r="B121" s="172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173"/>
      <c r="P121" s="173"/>
      <c r="Q121" s="87"/>
    </row>
    <row r="122" spans="1:17" ht="15" customHeight="1">
      <c r="A122" s="87"/>
      <c r="B122" s="80"/>
      <c r="C122" s="64"/>
      <c r="D122" s="73"/>
      <c r="E122" s="64"/>
      <c r="F122" s="64"/>
      <c r="G122" s="64"/>
      <c r="H122" s="64"/>
      <c r="I122" s="66"/>
      <c r="J122" s="74"/>
      <c r="K122" s="66"/>
      <c r="L122" s="66"/>
      <c r="M122" s="66"/>
      <c r="N122" s="78"/>
      <c r="O122" s="171"/>
      <c r="P122" s="172"/>
      <c r="Q122" s="87"/>
    </row>
    <row r="123" spans="1:17" ht="15" customHeight="1">
      <c r="A123" s="87"/>
      <c r="B123" s="80"/>
      <c r="C123" s="64"/>
      <c r="D123" s="73"/>
      <c r="E123" s="64"/>
      <c r="F123" s="64"/>
      <c r="G123" s="64"/>
      <c r="H123" s="64"/>
      <c r="I123" s="66"/>
      <c r="J123" s="74"/>
      <c r="K123" s="66"/>
      <c r="L123" s="66"/>
      <c r="M123" s="66"/>
      <c r="N123" s="78"/>
      <c r="O123" s="171"/>
      <c r="P123" s="172"/>
      <c r="Q123" s="87"/>
    </row>
    <row r="124" spans="1:17" ht="15" customHeight="1">
      <c r="A124" s="87"/>
      <c r="B124" s="80"/>
      <c r="C124" s="64"/>
      <c r="D124" s="73"/>
      <c r="E124" s="64"/>
      <c r="F124" s="64"/>
      <c r="G124" s="64"/>
      <c r="H124" s="64"/>
      <c r="I124" s="66"/>
      <c r="J124" s="74"/>
      <c r="K124" s="66"/>
      <c r="L124" s="66"/>
      <c r="M124" s="66"/>
      <c r="N124" s="78"/>
      <c r="O124" s="171"/>
      <c r="P124" s="172"/>
      <c r="Q124" s="87"/>
    </row>
  </sheetData>
  <mergeCells count="147">
    <mergeCell ref="O1:P1"/>
    <mergeCell ref="A2:B2"/>
    <mergeCell ref="O2:P2"/>
    <mergeCell ref="O3:P3"/>
    <mergeCell ref="O4:P4"/>
    <mergeCell ref="O5:P5"/>
    <mergeCell ref="O12:P12"/>
    <mergeCell ref="O13:P13"/>
    <mergeCell ref="O14:P14"/>
    <mergeCell ref="O15:P15"/>
    <mergeCell ref="O16:P16"/>
    <mergeCell ref="O17:P17"/>
    <mergeCell ref="O6:P6"/>
    <mergeCell ref="O7:P7"/>
    <mergeCell ref="O8:P8"/>
    <mergeCell ref="O9:P9"/>
    <mergeCell ref="O10:P10"/>
    <mergeCell ref="O11:P11"/>
    <mergeCell ref="O24:P24"/>
    <mergeCell ref="O25:P25"/>
    <mergeCell ref="O26:P26"/>
    <mergeCell ref="O27:P27"/>
    <mergeCell ref="O28:P28"/>
    <mergeCell ref="O29:P29"/>
    <mergeCell ref="O18:P18"/>
    <mergeCell ref="O19:P19"/>
    <mergeCell ref="O20:P20"/>
    <mergeCell ref="O21:P21"/>
    <mergeCell ref="O22:P22"/>
    <mergeCell ref="O23:P23"/>
    <mergeCell ref="O36:P36"/>
    <mergeCell ref="O37:P37"/>
    <mergeCell ref="O38:P38"/>
    <mergeCell ref="O39:P39"/>
    <mergeCell ref="O40:P40"/>
    <mergeCell ref="O41:P41"/>
    <mergeCell ref="O30:P30"/>
    <mergeCell ref="O31:P31"/>
    <mergeCell ref="O32:P32"/>
    <mergeCell ref="O33:P33"/>
    <mergeCell ref="O34:P34"/>
    <mergeCell ref="O35:P35"/>
    <mergeCell ref="O48:P48"/>
    <mergeCell ref="O49:P49"/>
    <mergeCell ref="O50:P50"/>
    <mergeCell ref="O51:P51"/>
    <mergeCell ref="O52:P52"/>
    <mergeCell ref="O53:P53"/>
    <mergeCell ref="O42:P42"/>
    <mergeCell ref="O43:P43"/>
    <mergeCell ref="O44:P44"/>
    <mergeCell ref="O45:P45"/>
    <mergeCell ref="O46:P46"/>
    <mergeCell ref="O47:P47"/>
    <mergeCell ref="O60:P60"/>
    <mergeCell ref="O61:P61"/>
    <mergeCell ref="O63:P63"/>
    <mergeCell ref="O64:P64"/>
    <mergeCell ref="O65:P65"/>
    <mergeCell ref="O66:P66"/>
    <mergeCell ref="O54:P54"/>
    <mergeCell ref="O55:P55"/>
    <mergeCell ref="O56:P56"/>
    <mergeCell ref="O57:P57"/>
    <mergeCell ref="O58:P58"/>
    <mergeCell ref="O59:P59"/>
    <mergeCell ref="O73:P73"/>
    <mergeCell ref="O74:P74"/>
    <mergeCell ref="O75:P75"/>
    <mergeCell ref="O76:P76"/>
    <mergeCell ref="O77:P77"/>
    <mergeCell ref="O78:P78"/>
    <mergeCell ref="O67:P67"/>
    <mergeCell ref="O68:P68"/>
    <mergeCell ref="O69:P69"/>
    <mergeCell ref="O70:P70"/>
    <mergeCell ref="O71:P71"/>
    <mergeCell ref="O72:P72"/>
    <mergeCell ref="O85:P85"/>
    <mergeCell ref="O86:P86"/>
    <mergeCell ref="O87:P87"/>
    <mergeCell ref="O88:P88"/>
    <mergeCell ref="O89:P89"/>
    <mergeCell ref="O90:P90"/>
    <mergeCell ref="O79:P79"/>
    <mergeCell ref="O80:P80"/>
    <mergeCell ref="O81:P81"/>
    <mergeCell ref="O82:P82"/>
    <mergeCell ref="O83:P83"/>
    <mergeCell ref="O84:P84"/>
    <mergeCell ref="O97:P97"/>
    <mergeCell ref="O98:P98"/>
    <mergeCell ref="A99:B99"/>
    <mergeCell ref="O99:P99"/>
    <mergeCell ref="A100:B100"/>
    <mergeCell ref="O100:P100"/>
    <mergeCell ref="O91:P91"/>
    <mergeCell ref="O92:P92"/>
    <mergeCell ref="O93:P93"/>
    <mergeCell ref="O94:P94"/>
    <mergeCell ref="O95:P95"/>
    <mergeCell ref="O96:P96"/>
    <mergeCell ref="A104:B104"/>
    <mergeCell ref="O104:P104"/>
    <mergeCell ref="A105:B105"/>
    <mergeCell ref="O105:P105"/>
    <mergeCell ref="A106:B106"/>
    <mergeCell ref="O106:P106"/>
    <mergeCell ref="A101:B101"/>
    <mergeCell ref="O101:P101"/>
    <mergeCell ref="A102:B102"/>
    <mergeCell ref="O102:P102"/>
    <mergeCell ref="A103:B103"/>
    <mergeCell ref="O103:P103"/>
    <mergeCell ref="A110:B110"/>
    <mergeCell ref="O110:P110"/>
    <mergeCell ref="A111:B111"/>
    <mergeCell ref="O111:P111"/>
    <mergeCell ref="A112:B112"/>
    <mergeCell ref="O112:P112"/>
    <mergeCell ref="A107:B107"/>
    <mergeCell ref="O107:P107"/>
    <mergeCell ref="A108:B108"/>
    <mergeCell ref="O108:P108"/>
    <mergeCell ref="A109:B109"/>
    <mergeCell ref="O109:P109"/>
    <mergeCell ref="A116:B116"/>
    <mergeCell ref="O116:P116"/>
    <mergeCell ref="A117:B117"/>
    <mergeCell ref="O117:P117"/>
    <mergeCell ref="A118:B118"/>
    <mergeCell ref="O118:P118"/>
    <mergeCell ref="A113:B113"/>
    <mergeCell ref="O113:P113"/>
    <mergeCell ref="A114:B114"/>
    <mergeCell ref="O114:P114"/>
    <mergeCell ref="A115:B115"/>
    <mergeCell ref="O115:P115"/>
    <mergeCell ref="O122:P122"/>
    <mergeCell ref="O123:P123"/>
    <mergeCell ref="O124:P124"/>
    <mergeCell ref="A119:B119"/>
    <mergeCell ref="O119:P119"/>
    <mergeCell ref="A120:B120"/>
    <mergeCell ref="O120:P120"/>
    <mergeCell ref="A121:B121"/>
    <mergeCell ref="O121:P121"/>
  </mergeCells>
  <phoneticPr fontId="55" type="noConversion"/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5881-2232-4BD5-800A-67EAF2ABB40B}">
  <dimension ref="A1:S124"/>
  <sheetViews>
    <sheetView workbookViewId="0">
      <pane xSplit="2" ySplit="3" topLeftCell="C51" activePane="bottomRight" state="frozen"/>
      <selection pane="bottomRight" activeCell="B76" sqref="B76:O76"/>
      <selection pane="bottomLeft" activeCell="A4" sqref="A4"/>
      <selection pane="topRight" activeCell="E1" sqref="E1"/>
    </sheetView>
  </sheetViews>
  <sheetFormatPr defaultColWidth="14.42578125" defaultRowHeight="15" customHeight="1"/>
  <cols>
    <col min="1" max="1" width="5" customWidth="1"/>
    <col min="2" max="2" width="39.5703125" customWidth="1"/>
    <col min="3" max="4" width="10.7109375" customWidth="1"/>
    <col min="5" max="5" width="10.28515625" customWidth="1"/>
    <col min="6" max="9" width="10.7109375" customWidth="1"/>
    <col min="10" max="10" width="12.28515625" customWidth="1"/>
    <col min="11" max="12" width="12.140625" customWidth="1"/>
    <col min="13" max="16" width="10.7109375" customWidth="1"/>
    <col min="17" max="17" width="1.85546875" customWidth="1"/>
    <col min="18" max="18" width="8.7109375" customWidth="1"/>
  </cols>
  <sheetData>
    <row r="1" spans="1:18" ht="15.6">
      <c r="A1" s="87"/>
      <c r="B1" s="62" t="s">
        <v>0</v>
      </c>
      <c r="C1" s="87"/>
      <c r="D1" s="87"/>
      <c r="E1" s="87"/>
      <c r="F1" s="87"/>
      <c r="G1" s="87"/>
      <c r="H1" s="87"/>
      <c r="I1" s="87"/>
      <c r="J1" s="87"/>
      <c r="K1" s="87"/>
      <c r="L1" s="64"/>
      <c r="M1" s="64"/>
      <c r="N1" s="64"/>
      <c r="O1" s="64"/>
      <c r="P1" s="173"/>
      <c r="Q1" s="173"/>
      <c r="R1" s="87"/>
    </row>
    <row r="2" spans="1:18" ht="14.45">
      <c r="A2" s="173"/>
      <c r="B2" s="173"/>
      <c r="C2" s="87"/>
      <c r="D2" s="87"/>
      <c r="E2" s="87"/>
      <c r="F2" s="87"/>
      <c r="G2" s="87"/>
      <c r="H2" s="87"/>
      <c r="I2" s="87"/>
      <c r="J2" s="87"/>
      <c r="K2" s="87"/>
      <c r="L2" s="64"/>
      <c r="M2" s="64"/>
      <c r="N2" s="64"/>
      <c r="O2" s="64"/>
      <c r="P2" s="173"/>
      <c r="Q2" s="173"/>
      <c r="R2" s="87"/>
    </row>
    <row r="3" spans="1:18" ht="75" customHeight="1">
      <c r="A3" s="79" t="s">
        <v>1</v>
      </c>
      <c r="B3" s="79" t="s">
        <v>3</v>
      </c>
      <c r="C3" s="65" t="s">
        <v>4013</v>
      </c>
      <c r="D3" s="65" t="s">
        <v>4014</v>
      </c>
      <c r="E3" s="65" t="s">
        <v>4015</v>
      </c>
      <c r="F3" s="65" t="s">
        <v>4016</v>
      </c>
      <c r="G3" s="65" t="s">
        <v>4017</v>
      </c>
      <c r="H3" s="65" t="s">
        <v>4018</v>
      </c>
      <c r="I3" s="65" t="s">
        <v>4019</v>
      </c>
      <c r="J3" s="65" t="s">
        <v>4020</v>
      </c>
      <c r="K3" s="65" t="s">
        <v>4021</v>
      </c>
      <c r="L3" s="79" t="s">
        <v>14</v>
      </c>
      <c r="M3" s="79" t="s">
        <v>15</v>
      </c>
      <c r="N3" s="79" t="s">
        <v>16</v>
      </c>
      <c r="O3" s="79" t="s">
        <v>17</v>
      </c>
      <c r="P3" s="179"/>
      <c r="Q3" s="179"/>
      <c r="R3" s="87"/>
    </row>
    <row r="4" spans="1:18" ht="14.45">
      <c r="A4" s="57">
        <v>1</v>
      </c>
      <c r="B4" s="69" t="s">
        <v>22</v>
      </c>
      <c r="C4" s="66">
        <v>850</v>
      </c>
      <c r="D4" s="66"/>
      <c r="E4" s="66">
        <v>1000</v>
      </c>
      <c r="F4" s="66">
        <v>955</v>
      </c>
      <c r="G4" s="66">
        <v>900</v>
      </c>
      <c r="H4" s="66">
        <v>1000</v>
      </c>
      <c r="I4" s="66">
        <v>992</v>
      </c>
      <c r="J4" s="66">
        <v>989</v>
      </c>
      <c r="K4" s="66">
        <v>1200</v>
      </c>
      <c r="L4" s="66">
        <v>8</v>
      </c>
      <c r="M4" s="54">
        <v>7886</v>
      </c>
      <c r="N4" s="66">
        <v>986</v>
      </c>
      <c r="O4" s="54">
        <v>3200</v>
      </c>
      <c r="P4" s="173"/>
      <c r="Q4" s="173"/>
      <c r="R4" s="87"/>
    </row>
    <row r="5" spans="1:18" ht="14.45">
      <c r="A5" s="57">
        <v>2</v>
      </c>
      <c r="B5" s="69" t="s">
        <v>25</v>
      </c>
      <c r="C5" s="66">
        <v>830</v>
      </c>
      <c r="D5" s="66">
        <v>943</v>
      </c>
      <c r="E5" s="66">
        <v>951</v>
      </c>
      <c r="F5" s="66">
        <v>941</v>
      </c>
      <c r="G5" s="66">
        <v>891</v>
      </c>
      <c r="H5" s="66">
        <v>957</v>
      </c>
      <c r="I5" s="66"/>
      <c r="J5" s="66">
        <v>947</v>
      </c>
      <c r="K5" s="66">
        <v>1054</v>
      </c>
      <c r="L5" s="66">
        <v>8</v>
      </c>
      <c r="M5" s="54">
        <v>7514</v>
      </c>
      <c r="N5" s="66">
        <v>939</v>
      </c>
      <c r="O5" s="54">
        <v>2962</v>
      </c>
      <c r="P5" s="173"/>
      <c r="Q5" s="173"/>
      <c r="R5" s="87"/>
    </row>
    <row r="6" spans="1:18" ht="14.45">
      <c r="A6" s="57">
        <v>3</v>
      </c>
      <c r="B6" s="69" t="s">
        <v>54</v>
      </c>
      <c r="C6" s="66"/>
      <c r="D6" s="66">
        <v>931</v>
      </c>
      <c r="E6" s="66">
        <v>0</v>
      </c>
      <c r="F6" s="66"/>
      <c r="G6" s="66"/>
      <c r="H6" s="66"/>
      <c r="I6" s="66">
        <v>963</v>
      </c>
      <c r="J6" s="66">
        <v>913</v>
      </c>
      <c r="K6" s="66"/>
      <c r="L6" s="66">
        <v>3</v>
      </c>
      <c r="M6" s="54">
        <v>2807</v>
      </c>
      <c r="N6" s="66">
        <v>936</v>
      </c>
      <c r="O6" s="54">
        <v>2807</v>
      </c>
      <c r="P6" s="173"/>
      <c r="Q6" s="173"/>
      <c r="R6" s="87"/>
    </row>
    <row r="7" spans="1:18" ht="14.45">
      <c r="A7" s="57">
        <v>4</v>
      </c>
      <c r="B7" s="69" t="s">
        <v>57</v>
      </c>
      <c r="C7" s="66">
        <v>769</v>
      </c>
      <c r="D7" s="66"/>
      <c r="E7" s="66">
        <v>840</v>
      </c>
      <c r="F7" s="66"/>
      <c r="G7" s="66"/>
      <c r="H7" s="66"/>
      <c r="I7" s="66"/>
      <c r="J7" s="66">
        <v>850</v>
      </c>
      <c r="K7" s="66">
        <v>1109</v>
      </c>
      <c r="L7" s="66">
        <v>4</v>
      </c>
      <c r="M7" s="54">
        <v>3568</v>
      </c>
      <c r="N7" s="66">
        <v>892</v>
      </c>
      <c r="O7" s="54">
        <v>2799</v>
      </c>
      <c r="P7" s="173"/>
      <c r="Q7" s="173"/>
      <c r="R7" s="87"/>
    </row>
    <row r="8" spans="1:18" ht="14.45">
      <c r="A8" s="57">
        <v>5</v>
      </c>
      <c r="B8" s="69" t="s">
        <v>84</v>
      </c>
      <c r="C8" s="66">
        <v>756</v>
      </c>
      <c r="D8" s="66"/>
      <c r="E8" s="66"/>
      <c r="F8" s="66"/>
      <c r="G8" s="66">
        <v>772</v>
      </c>
      <c r="H8" s="66"/>
      <c r="I8" s="66">
        <v>864</v>
      </c>
      <c r="J8" s="66">
        <v>834</v>
      </c>
      <c r="K8" s="66">
        <v>999</v>
      </c>
      <c r="L8" s="66">
        <v>5</v>
      </c>
      <c r="M8" s="54">
        <v>4225</v>
      </c>
      <c r="N8" s="66">
        <v>845</v>
      </c>
      <c r="O8" s="54">
        <v>2697</v>
      </c>
      <c r="P8" s="173"/>
      <c r="Q8" s="173"/>
      <c r="R8" s="87"/>
    </row>
    <row r="9" spans="1:18" ht="14.45">
      <c r="A9" s="57">
        <v>6</v>
      </c>
      <c r="B9" s="55" t="s">
        <v>51</v>
      </c>
      <c r="C9" s="66"/>
      <c r="D9" s="66"/>
      <c r="E9" s="66"/>
      <c r="F9" s="66">
        <v>816</v>
      </c>
      <c r="G9" s="66"/>
      <c r="H9" s="66"/>
      <c r="I9" s="66"/>
      <c r="J9" s="66">
        <v>791</v>
      </c>
      <c r="K9" s="66">
        <v>1069</v>
      </c>
      <c r="L9" s="66">
        <v>3</v>
      </c>
      <c r="M9" s="54">
        <v>2676</v>
      </c>
      <c r="N9" s="66">
        <v>892</v>
      </c>
      <c r="O9" s="54">
        <v>2676</v>
      </c>
      <c r="P9" s="173"/>
      <c r="Q9" s="173"/>
      <c r="R9" s="87"/>
    </row>
    <row r="10" spans="1:18" ht="14.45">
      <c r="A10" s="57">
        <v>7</v>
      </c>
      <c r="B10" s="69" t="s">
        <v>27</v>
      </c>
      <c r="C10" s="66"/>
      <c r="D10" s="66"/>
      <c r="E10" s="66">
        <v>856</v>
      </c>
      <c r="F10" s="66">
        <v>852</v>
      </c>
      <c r="G10" s="66"/>
      <c r="H10" s="66">
        <v>900</v>
      </c>
      <c r="I10" s="66"/>
      <c r="J10" s="66">
        <v>875</v>
      </c>
      <c r="K10" s="66"/>
      <c r="L10" s="66">
        <v>4</v>
      </c>
      <c r="M10" s="54">
        <v>3483</v>
      </c>
      <c r="N10" s="66">
        <v>871</v>
      </c>
      <c r="O10" s="54">
        <v>2631</v>
      </c>
      <c r="P10" s="173"/>
      <c r="Q10" s="173"/>
      <c r="R10" s="87"/>
    </row>
    <row r="11" spans="1:18" ht="14.45">
      <c r="A11" s="57">
        <v>8</v>
      </c>
      <c r="B11" s="69" t="s">
        <v>26</v>
      </c>
      <c r="C11" s="66"/>
      <c r="D11" s="66">
        <v>873</v>
      </c>
      <c r="E11" s="66">
        <v>884</v>
      </c>
      <c r="F11" s="66"/>
      <c r="G11" s="66"/>
      <c r="H11" s="66"/>
      <c r="I11" s="66"/>
      <c r="J11" s="66">
        <v>872</v>
      </c>
      <c r="K11" s="66"/>
      <c r="L11" s="66">
        <v>3</v>
      </c>
      <c r="M11" s="54">
        <v>2629</v>
      </c>
      <c r="N11" s="66">
        <v>876</v>
      </c>
      <c r="O11" s="54">
        <v>2629</v>
      </c>
      <c r="P11" s="173"/>
      <c r="Q11" s="173"/>
      <c r="R11" s="87"/>
    </row>
    <row r="12" spans="1:18" ht="14.45">
      <c r="A12" s="57">
        <v>9</v>
      </c>
      <c r="B12" s="69" t="s">
        <v>55</v>
      </c>
      <c r="C12" s="66">
        <v>792</v>
      </c>
      <c r="D12" s="66"/>
      <c r="E12" s="66">
        <v>909</v>
      </c>
      <c r="F12" s="66">
        <v>836</v>
      </c>
      <c r="G12" s="66">
        <v>834</v>
      </c>
      <c r="H12" s="66"/>
      <c r="I12" s="66"/>
      <c r="J12" s="66">
        <v>876</v>
      </c>
      <c r="K12" s="66"/>
      <c r="L12" s="66">
        <v>5</v>
      </c>
      <c r="M12" s="54">
        <v>4247</v>
      </c>
      <c r="N12" s="66">
        <v>849</v>
      </c>
      <c r="O12" s="54">
        <v>2621</v>
      </c>
      <c r="P12" s="173"/>
      <c r="Q12" s="173"/>
      <c r="R12" s="87"/>
    </row>
    <row r="13" spans="1:18" ht="14.45">
      <c r="A13" s="57">
        <v>10</v>
      </c>
      <c r="B13" s="69" t="s">
        <v>30</v>
      </c>
      <c r="C13" s="66">
        <v>807</v>
      </c>
      <c r="D13" s="66"/>
      <c r="E13" s="66">
        <v>895</v>
      </c>
      <c r="F13" s="66"/>
      <c r="G13" s="66">
        <v>839</v>
      </c>
      <c r="H13" s="66"/>
      <c r="I13" s="66"/>
      <c r="J13" s="66">
        <v>858</v>
      </c>
      <c r="K13" s="66"/>
      <c r="L13" s="66">
        <v>4</v>
      </c>
      <c r="M13" s="54">
        <v>3399</v>
      </c>
      <c r="N13" s="66">
        <v>850</v>
      </c>
      <c r="O13" s="54">
        <v>2592</v>
      </c>
      <c r="P13" s="173"/>
      <c r="Q13" s="173"/>
      <c r="R13" s="87"/>
    </row>
    <row r="14" spans="1:18" ht="14.45">
      <c r="A14" s="57">
        <v>11</v>
      </c>
      <c r="B14" s="69" t="s">
        <v>53</v>
      </c>
      <c r="C14" s="66">
        <v>788</v>
      </c>
      <c r="D14" s="66"/>
      <c r="E14" s="66">
        <v>924</v>
      </c>
      <c r="F14" s="66"/>
      <c r="G14" s="66"/>
      <c r="H14" s="66"/>
      <c r="I14" s="66"/>
      <c r="J14" s="66">
        <v>863</v>
      </c>
      <c r="K14" s="66"/>
      <c r="L14" s="66">
        <v>3</v>
      </c>
      <c r="M14" s="54">
        <v>2575</v>
      </c>
      <c r="N14" s="66">
        <v>858</v>
      </c>
      <c r="O14" s="54">
        <v>2575</v>
      </c>
      <c r="P14" s="173"/>
      <c r="Q14" s="173"/>
      <c r="R14" s="87"/>
    </row>
    <row r="15" spans="1:18" ht="14.45">
      <c r="A15" s="57">
        <v>12</v>
      </c>
      <c r="B15" s="69" t="s">
        <v>33</v>
      </c>
      <c r="C15" s="66"/>
      <c r="D15" s="66">
        <v>818</v>
      </c>
      <c r="E15" s="66">
        <v>862</v>
      </c>
      <c r="F15" s="66">
        <v>810</v>
      </c>
      <c r="G15" s="66"/>
      <c r="H15" s="66">
        <v>806</v>
      </c>
      <c r="I15" s="66"/>
      <c r="J15" s="66">
        <v>834</v>
      </c>
      <c r="K15" s="66"/>
      <c r="L15" s="66">
        <v>5</v>
      </c>
      <c r="M15" s="54">
        <v>4130</v>
      </c>
      <c r="N15" s="66">
        <v>826</v>
      </c>
      <c r="O15" s="54">
        <v>2514</v>
      </c>
      <c r="P15" s="173"/>
      <c r="Q15" s="173"/>
      <c r="R15" s="87"/>
    </row>
    <row r="16" spans="1:18" ht="14.45">
      <c r="A16" s="57">
        <v>13</v>
      </c>
      <c r="B16" s="55" t="s">
        <v>4022</v>
      </c>
      <c r="C16" s="66"/>
      <c r="D16" s="66">
        <v>777</v>
      </c>
      <c r="E16" s="66">
        <v>810</v>
      </c>
      <c r="F16" s="66"/>
      <c r="G16" s="66"/>
      <c r="H16" s="66"/>
      <c r="I16" s="66">
        <v>907</v>
      </c>
      <c r="J16" s="66"/>
      <c r="K16" s="66"/>
      <c r="L16" s="66">
        <v>3</v>
      </c>
      <c r="M16" s="54">
        <v>2494</v>
      </c>
      <c r="N16" s="66">
        <v>831</v>
      </c>
      <c r="O16" s="54">
        <v>2494</v>
      </c>
      <c r="P16" s="173"/>
      <c r="Q16" s="173"/>
      <c r="R16" s="87"/>
    </row>
    <row r="17" spans="1:18" ht="14.45">
      <c r="A17" s="57">
        <v>14</v>
      </c>
      <c r="B17" s="69" t="s">
        <v>35</v>
      </c>
      <c r="C17" s="66">
        <v>716</v>
      </c>
      <c r="D17" s="66">
        <v>821</v>
      </c>
      <c r="E17" s="66">
        <v>832</v>
      </c>
      <c r="F17" s="66">
        <v>795</v>
      </c>
      <c r="G17" s="66"/>
      <c r="H17" s="66"/>
      <c r="I17" s="66">
        <v>775</v>
      </c>
      <c r="J17" s="66">
        <v>793</v>
      </c>
      <c r="K17" s="66"/>
      <c r="L17" s="66">
        <v>6</v>
      </c>
      <c r="M17" s="54">
        <v>4732</v>
      </c>
      <c r="N17" s="66">
        <v>789</v>
      </c>
      <c r="O17" s="54">
        <v>2448</v>
      </c>
      <c r="P17" s="173"/>
      <c r="Q17" s="173"/>
      <c r="R17" s="87"/>
    </row>
    <row r="18" spans="1:18" ht="14.45">
      <c r="A18" s="57">
        <v>15</v>
      </c>
      <c r="B18" s="69" t="s">
        <v>34</v>
      </c>
      <c r="C18" s="66"/>
      <c r="D18" s="66">
        <v>760</v>
      </c>
      <c r="E18" s="66">
        <v>759</v>
      </c>
      <c r="F18" s="66">
        <v>747</v>
      </c>
      <c r="G18" s="66"/>
      <c r="H18" s="66">
        <v>767</v>
      </c>
      <c r="I18" s="66"/>
      <c r="J18" s="66">
        <v>781</v>
      </c>
      <c r="K18" s="66"/>
      <c r="L18" s="66">
        <v>5</v>
      </c>
      <c r="M18" s="54">
        <v>3814</v>
      </c>
      <c r="N18" s="66">
        <v>763</v>
      </c>
      <c r="O18" s="54">
        <v>2308</v>
      </c>
      <c r="P18" s="173"/>
      <c r="Q18" s="173"/>
      <c r="R18" s="87"/>
    </row>
    <row r="19" spans="1:18" ht="14.45">
      <c r="A19" s="57">
        <v>16</v>
      </c>
      <c r="B19" s="69" t="s">
        <v>75</v>
      </c>
      <c r="C19" s="66"/>
      <c r="D19" s="66"/>
      <c r="E19" s="66">
        <v>781</v>
      </c>
      <c r="F19" s="66">
        <v>760</v>
      </c>
      <c r="G19" s="66"/>
      <c r="H19" s="66"/>
      <c r="I19" s="66">
        <v>745</v>
      </c>
      <c r="J19" s="66"/>
      <c r="K19" s="66"/>
      <c r="L19" s="66">
        <v>3</v>
      </c>
      <c r="M19" s="54">
        <v>2286</v>
      </c>
      <c r="N19" s="66">
        <v>762</v>
      </c>
      <c r="O19" s="54">
        <v>2286</v>
      </c>
      <c r="P19" s="173"/>
      <c r="Q19" s="173"/>
      <c r="R19" s="87"/>
    </row>
    <row r="20" spans="1:18" ht="14.45">
      <c r="A20" s="57">
        <v>17</v>
      </c>
      <c r="B20" s="69" t="s">
        <v>28</v>
      </c>
      <c r="C20" s="66">
        <v>718</v>
      </c>
      <c r="D20" s="66"/>
      <c r="E20" s="66"/>
      <c r="F20" s="66">
        <v>745</v>
      </c>
      <c r="G20" s="66">
        <v>735</v>
      </c>
      <c r="H20" s="66"/>
      <c r="I20" s="66"/>
      <c r="J20" s="66">
        <v>773</v>
      </c>
      <c r="K20" s="66"/>
      <c r="L20" s="66">
        <v>4</v>
      </c>
      <c r="M20" s="54">
        <v>2971</v>
      </c>
      <c r="N20" s="66">
        <v>743</v>
      </c>
      <c r="O20" s="54">
        <v>2253</v>
      </c>
      <c r="P20" s="173"/>
      <c r="Q20" s="173"/>
      <c r="R20" s="87"/>
    </row>
    <row r="21" spans="1:18" ht="15.75" customHeight="1">
      <c r="A21" s="57">
        <v>18</v>
      </c>
      <c r="B21" s="69" t="s">
        <v>85</v>
      </c>
      <c r="C21" s="66"/>
      <c r="D21" s="66"/>
      <c r="E21" s="66">
        <v>710</v>
      </c>
      <c r="F21" s="66"/>
      <c r="G21" s="66"/>
      <c r="H21" s="66"/>
      <c r="I21" s="66">
        <v>693</v>
      </c>
      <c r="J21" s="66">
        <v>732</v>
      </c>
      <c r="K21" s="66"/>
      <c r="L21" s="66">
        <v>3</v>
      </c>
      <c r="M21" s="54">
        <v>2135</v>
      </c>
      <c r="N21" s="66">
        <v>712</v>
      </c>
      <c r="O21" s="54">
        <v>2135</v>
      </c>
      <c r="P21" s="173"/>
      <c r="Q21" s="173"/>
      <c r="R21" s="87"/>
    </row>
    <row r="22" spans="1:18" ht="15.75" customHeight="1">
      <c r="A22" s="57">
        <v>19</v>
      </c>
      <c r="B22" s="69" t="s">
        <v>42</v>
      </c>
      <c r="C22" s="66"/>
      <c r="D22" s="66"/>
      <c r="E22" s="66"/>
      <c r="F22" s="66">
        <v>674</v>
      </c>
      <c r="G22" s="66"/>
      <c r="H22" s="66">
        <v>689</v>
      </c>
      <c r="I22" s="66"/>
      <c r="J22" s="66">
        <v>727</v>
      </c>
      <c r="K22" s="66"/>
      <c r="L22" s="66">
        <v>3</v>
      </c>
      <c r="M22" s="54">
        <v>2090</v>
      </c>
      <c r="N22" s="66">
        <v>697</v>
      </c>
      <c r="O22" s="54">
        <v>2090</v>
      </c>
      <c r="P22" s="173"/>
      <c r="Q22" s="173"/>
      <c r="R22" s="87"/>
    </row>
    <row r="23" spans="1:18" ht="15.75" customHeight="1">
      <c r="A23" s="57">
        <v>20</v>
      </c>
      <c r="B23" s="55" t="s">
        <v>43</v>
      </c>
      <c r="C23" s="66"/>
      <c r="D23" s="66">
        <v>654</v>
      </c>
      <c r="E23" s="66">
        <v>667</v>
      </c>
      <c r="F23" s="66">
        <v>686</v>
      </c>
      <c r="G23" s="66"/>
      <c r="H23" s="66"/>
      <c r="I23" s="66"/>
      <c r="J23" s="66"/>
      <c r="K23" s="66"/>
      <c r="L23" s="66">
        <v>3</v>
      </c>
      <c r="M23" s="54">
        <v>2007</v>
      </c>
      <c r="N23" s="66">
        <v>669</v>
      </c>
      <c r="O23" s="54">
        <v>2007</v>
      </c>
      <c r="P23" s="173"/>
      <c r="Q23" s="173"/>
      <c r="R23" s="87"/>
    </row>
    <row r="24" spans="1:18" ht="15.75" customHeight="1">
      <c r="A24" s="57">
        <v>21</v>
      </c>
      <c r="B24" s="55" t="s">
        <v>39</v>
      </c>
      <c r="C24" s="66"/>
      <c r="D24" s="66"/>
      <c r="E24" s="66">
        <v>494</v>
      </c>
      <c r="F24" s="66"/>
      <c r="G24" s="66"/>
      <c r="H24" s="66">
        <v>666</v>
      </c>
      <c r="I24" s="66"/>
      <c r="J24" s="66">
        <v>681</v>
      </c>
      <c r="K24" s="66"/>
      <c r="L24" s="66">
        <v>3</v>
      </c>
      <c r="M24" s="54">
        <v>1841</v>
      </c>
      <c r="N24" s="66">
        <v>614</v>
      </c>
      <c r="O24" s="54">
        <v>1841</v>
      </c>
      <c r="P24" s="173"/>
      <c r="Q24" s="173"/>
      <c r="R24" s="87"/>
    </row>
    <row r="25" spans="1:18" ht="15.75" customHeight="1">
      <c r="A25" s="57">
        <v>22</v>
      </c>
      <c r="B25" s="69" t="s">
        <v>44</v>
      </c>
      <c r="C25" s="66">
        <v>637</v>
      </c>
      <c r="D25" s="66">
        <v>0</v>
      </c>
      <c r="E25" s="66">
        <v>712</v>
      </c>
      <c r="F25" s="66"/>
      <c r="G25" s="66"/>
      <c r="H25" s="66"/>
      <c r="I25" s="66"/>
      <c r="J25" s="66"/>
      <c r="K25" s="66"/>
      <c r="L25" s="66">
        <v>2</v>
      </c>
      <c r="M25" s="54">
        <v>1349</v>
      </c>
      <c r="N25" s="66">
        <v>675</v>
      </c>
      <c r="O25" s="54">
        <v>1349</v>
      </c>
      <c r="P25" s="173"/>
      <c r="Q25" s="173"/>
      <c r="R25" s="87"/>
    </row>
    <row r="26" spans="1:18" ht="15.75" customHeight="1">
      <c r="A26" s="57">
        <v>23</v>
      </c>
      <c r="B26" s="69" t="s">
        <v>86</v>
      </c>
      <c r="C26" s="66"/>
      <c r="D26" s="66"/>
      <c r="E26" s="66"/>
      <c r="F26" s="66"/>
      <c r="G26" s="66"/>
      <c r="H26" s="66"/>
      <c r="I26" s="66"/>
      <c r="J26" s="66"/>
      <c r="K26" s="66">
        <v>1021</v>
      </c>
      <c r="L26" s="66">
        <v>1</v>
      </c>
      <c r="M26" s="54">
        <v>1021</v>
      </c>
      <c r="N26" s="54">
        <v>1021</v>
      </c>
      <c r="O26" s="66">
        <v>0</v>
      </c>
      <c r="P26" s="173"/>
      <c r="Q26" s="173"/>
      <c r="R26" s="87"/>
    </row>
    <row r="27" spans="1:18" ht="15.75" customHeight="1">
      <c r="A27" s="57">
        <v>24</v>
      </c>
      <c r="B27" s="69" t="s">
        <v>77</v>
      </c>
      <c r="C27" s="66"/>
      <c r="D27" s="66"/>
      <c r="E27" s="66"/>
      <c r="F27" s="66"/>
      <c r="G27" s="66"/>
      <c r="H27" s="66"/>
      <c r="I27" s="66"/>
      <c r="J27" s="66"/>
      <c r="K27" s="66">
        <v>989</v>
      </c>
      <c r="L27" s="66">
        <v>1</v>
      </c>
      <c r="M27" s="66">
        <v>989</v>
      </c>
      <c r="N27" s="66">
        <v>989</v>
      </c>
      <c r="O27" s="66">
        <v>0</v>
      </c>
      <c r="P27" s="173"/>
      <c r="Q27" s="173"/>
      <c r="R27" s="87"/>
    </row>
    <row r="28" spans="1:18" ht="15.75" customHeight="1">
      <c r="A28" s="57">
        <v>25</v>
      </c>
      <c r="B28" s="76" t="s">
        <v>87</v>
      </c>
      <c r="C28" s="66"/>
      <c r="D28" s="66"/>
      <c r="E28" s="66"/>
      <c r="F28" s="66"/>
      <c r="G28" s="66"/>
      <c r="H28" s="66"/>
      <c r="I28" s="66"/>
      <c r="J28" s="66"/>
      <c r="K28" s="66">
        <v>972</v>
      </c>
      <c r="L28" s="66">
        <v>1</v>
      </c>
      <c r="M28" s="66">
        <v>972</v>
      </c>
      <c r="N28" s="66">
        <v>972</v>
      </c>
      <c r="O28" s="66">
        <v>0</v>
      </c>
      <c r="P28" s="173"/>
      <c r="Q28" s="173"/>
      <c r="R28" s="87"/>
    </row>
    <row r="29" spans="1:18" ht="15.75" customHeight="1">
      <c r="A29" s="57">
        <v>26</v>
      </c>
      <c r="B29" s="69" t="s">
        <v>88</v>
      </c>
      <c r="C29" s="66"/>
      <c r="D29" s="66"/>
      <c r="E29" s="66"/>
      <c r="F29" s="66"/>
      <c r="G29" s="66"/>
      <c r="H29" s="66"/>
      <c r="I29" s="66"/>
      <c r="J29" s="66"/>
      <c r="K29" s="66">
        <v>965</v>
      </c>
      <c r="L29" s="66">
        <v>1</v>
      </c>
      <c r="M29" s="66">
        <v>965</v>
      </c>
      <c r="N29" s="66">
        <v>965</v>
      </c>
      <c r="O29" s="66">
        <v>0</v>
      </c>
      <c r="P29" s="173"/>
      <c r="Q29" s="173"/>
      <c r="R29" s="87"/>
    </row>
    <row r="30" spans="1:18" ht="15.75" customHeight="1">
      <c r="A30" s="57">
        <v>27</v>
      </c>
      <c r="B30" s="69" t="s">
        <v>76</v>
      </c>
      <c r="C30" s="66"/>
      <c r="D30" s="66">
        <v>833</v>
      </c>
      <c r="E30" s="66"/>
      <c r="F30" s="66"/>
      <c r="G30" s="66"/>
      <c r="H30" s="66"/>
      <c r="I30" s="66"/>
      <c r="J30" s="66"/>
      <c r="K30" s="66">
        <v>1055</v>
      </c>
      <c r="L30" s="66">
        <v>2</v>
      </c>
      <c r="M30" s="54">
        <v>1888</v>
      </c>
      <c r="N30" s="66">
        <v>944</v>
      </c>
      <c r="O30" s="66">
        <v>0</v>
      </c>
      <c r="P30" s="173"/>
      <c r="Q30" s="173"/>
      <c r="R30" s="87"/>
    </row>
    <row r="31" spans="1:18" ht="15.75" customHeight="1">
      <c r="A31" s="57">
        <v>28</v>
      </c>
      <c r="B31" s="69" t="s">
        <v>89</v>
      </c>
      <c r="C31" s="66"/>
      <c r="D31" s="66"/>
      <c r="E31" s="66">
        <v>857</v>
      </c>
      <c r="F31" s="66"/>
      <c r="G31" s="66"/>
      <c r="H31" s="66"/>
      <c r="I31" s="66"/>
      <c r="J31" s="66"/>
      <c r="K31" s="66">
        <v>982</v>
      </c>
      <c r="L31" s="66">
        <v>2</v>
      </c>
      <c r="M31" s="54">
        <v>1839</v>
      </c>
      <c r="N31" s="66">
        <v>920</v>
      </c>
      <c r="O31" s="66">
        <v>0</v>
      </c>
      <c r="P31" s="173"/>
      <c r="Q31" s="173"/>
      <c r="R31" s="87"/>
    </row>
    <row r="32" spans="1:18" ht="15.75" customHeight="1">
      <c r="A32" s="57">
        <v>29</v>
      </c>
      <c r="B32" s="69" t="s">
        <v>71</v>
      </c>
      <c r="C32" s="66">
        <v>833</v>
      </c>
      <c r="D32" s="66"/>
      <c r="E32" s="66">
        <v>776</v>
      </c>
      <c r="F32" s="66"/>
      <c r="G32" s="66"/>
      <c r="H32" s="66"/>
      <c r="I32" s="66">
        <v>1055</v>
      </c>
      <c r="J32" s="66"/>
      <c r="K32" s="66"/>
      <c r="L32" s="66">
        <v>3</v>
      </c>
      <c r="M32" s="54">
        <v>2664</v>
      </c>
      <c r="N32" s="66">
        <v>888</v>
      </c>
      <c r="O32" s="66">
        <v>0</v>
      </c>
      <c r="P32" s="173"/>
      <c r="Q32" s="173"/>
      <c r="R32" s="87"/>
    </row>
    <row r="33" spans="1:19" ht="15.75" customHeight="1">
      <c r="A33" s="57">
        <v>30</v>
      </c>
      <c r="B33" s="69" t="s">
        <v>52</v>
      </c>
      <c r="C33" s="66"/>
      <c r="D33" s="66"/>
      <c r="E33" s="66"/>
      <c r="F33" s="66"/>
      <c r="G33" s="66"/>
      <c r="H33" s="66"/>
      <c r="I33" s="66"/>
      <c r="J33" s="66">
        <v>879</v>
      </c>
      <c r="K33" s="66"/>
      <c r="L33" s="66">
        <v>1</v>
      </c>
      <c r="M33" s="66">
        <v>879</v>
      </c>
      <c r="N33" s="66">
        <v>879</v>
      </c>
      <c r="O33" s="66">
        <v>0</v>
      </c>
      <c r="P33" s="173"/>
      <c r="Q33" s="173"/>
      <c r="R33" s="87"/>
    </row>
    <row r="34" spans="1:19" ht="15.75" customHeight="1">
      <c r="A34" s="57">
        <v>31</v>
      </c>
      <c r="B34" s="69" t="s">
        <v>32</v>
      </c>
      <c r="C34" s="66"/>
      <c r="D34" s="66"/>
      <c r="E34" s="66"/>
      <c r="F34" s="66"/>
      <c r="G34" s="66"/>
      <c r="H34" s="66"/>
      <c r="I34" s="66"/>
      <c r="J34" s="66">
        <v>873</v>
      </c>
      <c r="K34" s="66"/>
      <c r="L34" s="66">
        <v>1</v>
      </c>
      <c r="M34" s="66">
        <v>873</v>
      </c>
      <c r="N34" s="66">
        <v>873</v>
      </c>
      <c r="O34" s="66">
        <v>0</v>
      </c>
      <c r="P34" s="173"/>
      <c r="Q34" s="173"/>
      <c r="R34" s="87"/>
    </row>
    <row r="35" spans="1:19" ht="15.75" customHeight="1">
      <c r="A35" s="57">
        <v>32</v>
      </c>
      <c r="B35" s="69" t="s">
        <v>62</v>
      </c>
      <c r="C35" s="66"/>
      <c r="D35" s="66">
        <v>849</v>
      </c>
      <c r="E35" s="66"/>
      <c r="F35" s="66"/>
      <c r="G35" s="66"/>
      <c r="H35" s="66"/>
      <c r="I35" s="66"/>
      <c r="J35" s="66"/>
      <c r="K35" s="66"/>
      <c r="L35" s="66">
        <v>1</v>
      </c>
      <c r="M35" s="66">
        <v>849</v>
      </c>
      <c r="N35" s="66">
        <v>849</v>
      </c>
      <c r="O35" s="66">
        <v>0</v>
      </c>
      <c r="P35" s="173"/>
      <c r="Q35" s="173"/>
      <c r="R35" s="87"/>
    </row>
    <row r="36" spans="1:19" ht="15.75" customHeight="1">
      <c r="A36" s="57">
        <v>33</v>
      </c>
      <c r="B36" s="69" t="s">
        <v>80</v>
      </c>
      <c r="C36" s="66"/>
      <c r="D36" s="66">
        <v>784</v>
      </c>
      <c r="E36" s="66"/>
      <c r="F36" s="66"/>
      <c r="G36" s="66"/>
      <c r="H36" s="66"/>
      <c r="I36" s="66">
        <v>912</v>
      </c>
      <c r="J36" s="66"/>
      <c r="K36" s="66"/>
      <c r="L36" s="66">
        <v>2</v>
      </c>
      <c r="M36" s="54">
        <v>1696</v>
      </c>
      <c r="N36" s="66">
        <v>848</v>
      </c>
      <c r="O36" s="66">
        <v>0</v>
      </c>
      <c r="P36" s="173"/>
      <c r="Q36" s="173"/>
      <c r="R36" s="87"/>
    </row>
    <row r="37" spans="1:19" ht="15.75" customHeight="1">
      <c r="A37" s="57">
        <v>34</v>
      </c>
      <c r="B37" s="55" t="s">
        <v>73</v>
      </c>
      <c r="C37" s="66"/>
      <c r="D37" s="66"/>
      <c r="E37" s="66"/>
      <c r="F37" s="66"/>
      <c r="G37" s="66"/>
      <c r="H37" s="66"/>
      <c r="I37" s="66"/>
      <c r="J37" s="66">
        <v>839</v>
      </c>
      <c r="K37" s="66"/>
      <c r="L37" s="66">
        <v>1</v>
      </c>
      <c r="M37" s="66">
        <v>839</v>
      </c>
      <c r="N37" s="66">
        <v>839</v>
      </c>
      <c r="O37" s="66">
        <v>0</v>
      </c>
      <c r="P37" s="173"/>
      <c r="Q37" s="173"/>
      <c r="R37" s="87"/>
    </row>
    <row r="38" spans="1:19" ht="15.75" customHeight="1">
      <c r="A38" s="57">
        <v>35</v>
      </c>
      <c r="B38" s="69" t="s">
        <v>29</v>
      </c>
      <c r="C38" s="66"/>
      <c r="D38" s="66">
        <v>833</v>
      </c>
      <c r="E38" s="66"/>
      <c r="F38" s="66"/>
      <c r="G38" s="66"/>
      <c r="H38" s="66"/>
      <c r="I38" s="66"/>
      <c r="J38" s="66"/>
      <c r="K38" s="66"/>
      <c r="L38" s="66">
        <v>1</v>
      </c>
      <c r="M38" s="66">
        <v>833</v>
      </c>
      <c r="N38" s="66">
        <v>833</v>
      </c>
      <c r="O38" s="66">
        <v>0</v>
      </c>
      <c r="P38" s="173"/>
      <c r="Q38" s="173"/>
      <c r="R38" s="87"/>
    </row>
    <row r="39" spans="1:19" ht="15.75" customHeight="1">
      <c r="A39" s="57">
        <v>36</v>
      </c>
      <c r="B39" s="69" t="s">
        <v>83</v>
      </c>
      <c r="C39" s="66"/>
      <c r="D39" s="66"/>
      <c r="E39" s="66"/>
      <c r="F39" s="66"/>
      <c r="G39" s="66"/>
      <c r="H39" s="66"/>
      <c r="I39" s="66"/>
      <c r="J39" s="66"/>
      <c r="K39" s="66">
        <v>817</v>
      </c>
      <c r="L39" s="66">
        <v>1</v>
      </c>
      <c r="M39" s="66">
        <v>817</v>
      </c>
      <c r="N39" s="66">
        <v>817</v>
      </c>
      <c r="O39" s="66">
        <v>0</v>
      </c>
      <c r="P39" s="173"/>
      <c r="Q39" s="173"/>
      <c r="R39" s="87"/>
    </row>
    <row r="40" spans="1:19" ht="15.75" customHeight="1">
      <c r="A40" s="57">
        <v>37</v>
      </c>
      <c r="B40" s="69" t="s">
        <v>70</v>
      </c>
      <c r="C40" s="66"/>
      <c r="D40" s="66">
        <v>790</v>
      </c>
      <c r="E40" s="66"/>
      <c r="F40" s="66">
        <v>814</v>
      </c>
      <c r="G40" s="66"/>
      <c r="H40" s="66"/>
      <c r="I40" s="66"/>
      <c r="J40" s="66"/>
      <c r="K40" s="66"/>
      <c r="L40" s="66">
        <v>2</v>
      </c>
      <c r="M40" s="54">
        <v>1604</v>
      </c>
      <c r="N40" s="66">
        <v>802</v>
      </c>
      <c r="O40" s="66">
        <v>0</v>
      </c>
      <c r="P40" s="173"/>
      <c r="Q40" s="173"/>
      <c r="R40" s="87"/>
    </row>
    <row r="41" spans="1:19" ht="15.75" customHeight="1">
      <c r="A41" s="57">
        <v>38</v>
      </c>
      <c r="B41" s="69" t="s">
        <v>56</v>
      </c>
      <c r="C41" s="66"/>
      <c r="D41" s="66"/>
      <c r="E41" s="66"/>
      <c r="F41" s="66"/>
      <c r="G41" s="66"/>
      <c r="H41" s="66"/>
      <c r="I41" s="66"/>
      <c r="J41" s="66">
        <v>761</v>
      </c>
      <c r="K41" s="66"/>
      <c r="L41" s="66">
        <v>1</v>
      </c>
      <c r="M41" s="66">
        <v>761</v>
      </c>
      <c r="N41" s="66">
        <v>761</v>
      </c>
      <c r="O41" s="66">
        <v>0</v>
      </c>
      <c r="P41" s="173"/>
      <c r="Q41" s="173"/>
      <c r="R41" s="87"/>
    </row>
    <row r="42" spans="1:19" ht="15.75" customHeight="1">
      <c r="A42" s="57">
        <v>39</v>
      </c>
      <c r="B42" s="55" t="s">
        <v>37</v>
      </c>
      <c r="C42" s="66"/>
      <c r="D42" s="66"/>
      <c r="E42" s="66"/>
      <c r="F42" s="66"/>
      <c r="G42" s="66"/>
      <c r="H42" s="66">
        <v>723</v>
      </c>
      <c r="I42" s="66"/>
      <c r="J42" s="66">
        <v>781</v>
      </c>
      <c r="K42" s="66"/>
      <c r="L42" s="66">
        <v>2</v>
      </c>
      <c r="M42" s="54">
        <v>1504</v>
      </c>
      <c r="N42" s="66">
        <v>752</v>
      </c>
      <c r="O42" s="66">
        <v>0</v>
      </c>
      <c r="P42" s="173"/>
      <c r="Q42" s="173"/>
      <c r="R42" s="87"/>
    </row>
    <row r="43" spans="1:19" ht="15.75" customHeight="1">
      <c r="A43" s="57">
        <v>40</v>
      </c>
      <c r="B43" s="69" t="s">
        <v>65</v>
      </c>
      <c r="C43" s="66"/>
      <c r="D43" s="66"/>
      <c r="E43" s="66">
        <v>763</v>
      </c>
      <c r="F43" s="66"/>
      <c r="G43" s="66"/>
      <c r="H43" s="66"/>
      <c r="I43" s="66"/>
      <c r="J43" s="66">
        <v>732</v>
      </c>
      <c r="K43" s="66"/>
      <c r="L43" s="66">
        <v>2</v>
      </c>
      <c r="M43" s="54">
        <v>1495</v>
      </c>
      <c r="N43" s="66">
        <v>748</v>
      </c>
      <c r="O43" s="66">
        <v>0</v>
      </c>
      <c r="P43" s="173"/>
      <c r="Q43" s="173"/>
      <c r="R43" s="87"/>
    </row>
    <row r="44" spans="1:19" ht="15.75" customHeight="1">
      <c r="A44" s="57">
        <v>41</v>
      </c>
      <c r="B44" s="69" t="s">
        <v>90</v>
      </c>
      <c r="C44" s="66"/>
      <c r="D44" s="66"/>
      <c r="E44" s="66"/>
      <c r="F44" s="66"/>
      <c r="G44" s="66"/>
      <c r="H44" s="66"/>
      <c r="I44" s="66"/>
      <c r="J44" s="66">
        <v>743</v>
      </c>
      <c r="K44" s="66"/>
      <c r="L44" s="66">
        <v>1</v>
      </c>
      <c r="M44" s="66">
        <v>743</v>
      </c>
      <c r="N44" s="66">
        <v>743</v>
      </c>
      <c r="O44" s="66">
        <v>0</v>
      </c>
      <c r="P44" s="173"/>
      <c r="Q44" s="173"/>
      <c r="R44" s="87"/>
    </row>
    <row r="45" spans="1:19" ht="15.75" customHeight="1">
      <c r="A45" s="57">
        <v>42</v>
      </c>
      <c r="B45" s="55" t="s">
        <v>82</v>
      </c>
      <c r="C45" s="66"/>
      <c r="D45" s="66"/>
      <c r="E45" s="66"/>
      <c r="F45" s="66"/>
      <c r="G45" s="66"/>
      <c r="H45" s="66"/>
      <c r="I45" s="66">
        <v>739</v>
      </c>
      <c r="J45" s="66"/>
      <c r="K45" s="66"/>
      <c r="L45" s="66">
        <v>1</v>
      </c>
      <c r="M45" s="66">
        <v>739</v>
      </c>
      <c r="N45" s="66">
        <v>739</v>
      </c>
      <c r="O45" s="66">
        <v>0</v>
      </c>
      <c r="P45" s="172"/>
      <c r="Q45" s="178"/>
      <c r="R45" s="81" t="s">
        <v>4011</v>
      </c>
      <c r="S45" s="27" t="s">
        <v>4011</v>
      </c>
    </row>
    <row r="46" spans="1:19" ht="15.75" customHeight="1">
      <c r="A46" s="57">
        <v>43</v>
      </c>
      <c r="B46" s="69" t="s">
        <v>91</v>
      </c>
      <c r="C46" s="66"/>
      <c r="D46" s="66"/>
      <c r="E46" s="66"/>
      <c r="F46" s="66"/>
      <c r="G46" s="66"/>
      <c r="H46" s="66"/>
      <c r="I46" s="66"/>
      <c r="J46" s="66">
        <v>714</v>
      </c>
      <c r="K46" s="66"/>
      <c r="L46" s="66">
        <v>1</v>
      </c>
      <c r="M46" s="66">
        <v>714</v>
      </c>
      <c r="N46" s="66">
        <v>714</v>
      </c>
      <c r="O46" s="66">
        <v>0</v>
      </c>
      <c r="P46" s="173"/>
      <c r="Q46" s="173"/>
      <c r="R46" s="87"/>
    </row>
    <row r="47" spans="1:19" ht="15.75" customHeight="1">
      <c r="A47" s="57">
        <v>44</v>
      </c>
      <c r="B47" s="69" t="s">
        <v>4023</v>
      </c>
      <c r="C47" s="66"/>
      <c r="D47" s="66"/>
      <c r="E47" s="66">
        <v>711</v>
      </c>
      <c r="F47" s="66"/>
      <c r="G47" s="66"/>
      <c r="H47" s="66"/>
      <c r="I47" s="66"/>
      <c r="J47" s="66"/>
      <c r="K47" s="66"/>
      <c r="L47" s="66">
        <v>1</v>
      </c>
      <c r="M47" s="66">
        <v>711</v>
      </c>
      <c r="N47" s="66">
        <v>711</v>
      </c>
      <c r="O47" s="66">
        <v>0</v>
      </c>
      <c r="P47" s="173"/>
      <c r="Q47" s="173"/>
      <c r="R47" s="87"/>
    </row>
    <row r="48" spans="1:19" ht="15.75" customHeight="1">
      <c r="A48" s="57">
        <v>45</v>
      </c>
      <c r="B48" s="69" t="s">
        <v>92</v>
      </c>
      <c r="C48" s="66"/>
      <c r="D48" s="66"/>
      <c r="E48" s="66">
        <v>693</v>
      </c>
      <c r="F48" s="66"/>
      <c r="G48" s="66"/>
      <c r="H48" s="66"/>
      <c r="I48" s="66"/>
      <c r="J48" s="66"/>
      <c r="K48" s="66"/>
      <c r="L48" s="66">
        <v>1</v>
      </c>
      <c r="M48" s="66">
        <v>693</v>
      </c>
      <c r="N48" s="66">
        <v>693</v>
      </c>
      <c r="O48" s="66">
        <v>0</v>
      </c>
      <c r="P48" s="173"/>
      <c r="Q48" s="173"/>
      <c r="R48" s="87"/>
    </row>
    <row r="49" spans="1:18" ht="15.75" customHeight="1">
      <c r="A49" s="57">
        <v>46</v>
      </c>
      <c r="B49" s="55" t="s">
        <v>67</v>
      </c>
      <c r="C49" s="66"/>
      <c r="D49" s="66"/>
      <c r="E49" s="66">
        <v>686</v>
      </c>
      <c r="F49" s="66"/>
      <c r="G49" s="66"/>
      <c r="H49" s="66">
        <v>680</v>
      </c>
      <c r="I49" s="66"/>
      <c r="J49" s="66">
        <v>700</v>
      </c>
      <c r="K49" s="66"/>
      <c r="L49" s="66">
        <v>3</v>
      </c>
      <c r="M49" s="54">
        <v>2066</v>
      </c>
      <c r="N49" s="66">
        <v>689</v>
      </c>
      <c r="O49" s="66">
        <v>0</v>
      </c>
      <c r="P49" s="173"/>
      <c r="Q49" s="173"/>
      <c r="R49" s="87"/>
    </row>
    <row r="50" spans="1:18" ht="15.75" customHeight="1">
      <c r="A50" s="57">
        <v>47</v>
      </c>
      <c r="B50" s="69" t="s">
        <v>74</v>
      </c>
      <c r="C50" s="66"/>
      <c r="D50" s="66"/>
      <c r="E50" s="66">
        <v>656</v>
      </c>
      <c r="F50" s="66"/>
      <c r="G50" s="66">
        <v>620</v>
      </c>
      <c r="H50" s="66"/>
      <c r="I50" s="66"/>
      <c r="J50" s="66"/>
      <c r="K50" s="66"/>
      <c r="L50" s="66">
        <v>2</v>
      </c>
      <c r="M50" s="54">
        <v>1276</v>
      </c>
      <c r="N50" s="66">
        <v>638</v>
      </c>
      <c r="O50" s="66">
        <v>0</v>
      </c>
      <c r="P50" s="173"/>
      <c r="Q50" s="173"/>
      <c r="R50" s="87"/>
    </row>
    <row r="51" spans="1:18" ht="15.75" customHeight="1">
      <c r="A51" s="57">
        <v>48</v>
      </c>
      <c r="B51" s="55" t="s">
        <v>48</v>
      </c>
      <c r="C51" s="66"/>
      <c r="D51" s="66">
        <v>624</v>
      </c>
      <c r="E51" s="66"/>
      <c r="F51" s="66"/>
      <c r="G51" s="66"/>
      <c r="H51" s="66"/>
      <c r="I51" s="66"/>
      <c r="J51" s="66"/>
      <c r="K51" s="66"/>
      <c r="L51" s="66">
        <v>1</v>
      </c>
      <c r="M51" s="66">
        <v>624</v>
      </c>
      <c r="N51" s="66">
        <v>624</v>
      </c>
      <c r="O51" s="66">
        <v>0</v>
      </c>
      <c r="P51" s="173"/>
      <c r="Q51" s="173"/>
      <c r="R51" s="87"/>
    </row>
    <row r="52" spans="1:18" ht="15.75" customHeight="1">
      <c r="A52" s="57">
        <v>49</v>
      </c>
      <c r="B52" s="55" t="s">
        <v>4024</v>
      </c>
      <c r="C52" s="66"/>
      <c r="D52" s="66"/>
      <c r="E52" s="66">
        <v>612</v>
      </c>
      <c r="F52" s="66"/>
      <c r="G52" s="66"/>
      <c r="H52" s="66"/>
      <c r="I52" s="66"/>
      <c r="J52" s="66"/>
      <c r="K52" s="66"/>
      <c r="L52" s="66">
        <v>1</v>
      </c>
      <c r="M52" s="66">
        <v>612</v>
      </c>
      <c r="N52" s="66">
        <v>612</v>
      </c>
      <c r="O52" s="66">
        <v>0</v>
      </c>
      <c r="P52" s="173"/>
      <c r="Q52" s="173"/>
      <c r="R52" s="87"/>
    </row>
    <row r="53" spans="1:18" ht="15.75" customHeight="1">
      <c r="A53" s="57">
        <v>50</v>
      </c>
      <c r="B53" s="69" t="s">
        <v>96</v>
      </c>
      <c r="C53" s="66"/>
      <c r="D53" s="66"/>
      <c r="E53" s="66"/>
      <c r="F53" s="66"/>
      <c r="G53" s="66"/>
      <c r="H53" s="66"/>
      <c r="I53" s="66"/>
      <c r="J53" s="66"/>
      <c r="K53" s="66"/>
      <c r="L53" s="66">
        <v>0</v>
      </c>
      <c r="M53" s="66">
        <v>0</v>
      </c>
      <c r="N53" s="66" t="e">
        <v>#DIV/0!</v>
      </c>
      <c r="O53" s="66">
        <v>0</v>
      </c>
      <c r="P53" s="173"/>
      <c r="Q53" s="173"/>
      <c r="R53" s="87"/>
    </row>
    <row r="54" spans="1:18" ht="15.75" customHeight="1">
      <c r="A54" s="57">
        <v>51</v>
      </c>
      <c r="B54" s="69" t="s">
        <v>97</v>
      </c>
      <c r="C54" s="66"/>
      <c r="D54" s="66"/>
      <c r="E54" s="66"/>
      <c r="F54" s="66"/>
      <c r="G54" s="66"/>
      <c r="H54" s="66"/>
      <c r="I54" s="66"/>
      <c r="J54" s="66"/>
      <c r="K54" s="66"/>
      <c r="L54" s="66">
        <v>0</v>
      </c>
      <c r="M54" s="66">
        <v>0</v>
      </c>
      <c r="N54" s="66" t="e">
        <v>#DIV/0!</v>
      </c>
      <c r="O54" s="66">
        <v>0</v>
      </c>
      <c r="P54" s="173"/>
      <c r="Q54" s="173"/>
      <c r="R54" s="87"/>
    </row>
    <row r="55" spans="1:18" ht="15.75" customHeight="1">
      <c r="A55" s="57">
        <v>52</v>
      </c>
      <c r="B55" s="69" t="s">
        <v>98</v>
      </c>
      <c r="C55" s="66"/>
      <c r="D55" s="66"/>
      <c r="E55" s="66"/>
      <c r="F55" s="66"/>
      <c r="G55" s="66"/>
      <c r="H55" s="66"/>
      <c r="I55" s="66"/>
      <c r="J55" s="66"/>
      <c r="K55" s="66"/>
      <c r="L55" s="66">
        <v>0</v>
      </c>
      <c r="M55" s="66">
        <v>0</v>
      </c>
      <c r="N55" s="66" t="e">
        <v>#DIV/0!</v>
      </c>
      <c r="O55" s="66">
        <v>0</v>
      </c>
      <c r="P55" s="173"/>
      <c r="Q55" s="173"/>
      <c r="R55" s="87"/>
    </row>
    <row r="56" spans="1:18" ht="15.75" customHeight="1">
      <c r="A56" s="57">
        <v>53</v>
      </c>
      <c r="B56" s="69" t="s">
        <v>99</v>
      </c>
      <c r="C56" s="66"/>
      <c r="D56" s="66"/>
      <c r="E56" s="66"/>
      <c r="F56" s="66"/>
      <c r="G56" s="66"/>
      <c r="H56" s="66"/>
      <c r="I56" s="66"/>
      <c r="J56" s="66"/>
      <c r="K56" s="66"/>
      <c r="L56" s="66">
        <v>0</v>
      </c>
      <c r="M56" s="66">
        <v>0</v>
      </c>
      <c r="N56" s="66" t="e">
        <v>#DIV/0!</v>
      </c>
      <c r="O56" s="66">
        <v>0</v>
      </c>
      <c r="P56" s="173"/>
      <c r="Q56" s="173"/>
      <c r="R56" s="87"/>
    </row>
    <row r="57" spans="1:18" ht="15.75" customHeight="1">
      <c r="A57" s="57">
        <v>54</v>
      </c>
      <c r="B57" s="55" t="s">
        <v>100</v>
      </c>
      <c r="C57" s="66"/>
      <c r="D57" s="66"/>
      <c r="E57" s="66"/>
      <c r="F57" s="66"/>
      <c r="G57" s="66"/>
      <c r="H57" s="66"/>
      <c r="I57" s="66"/>
      <c r="J57" s="66"/>
      <c r="K57" s="66"/>
      <c r="L57" s="66">
        <v>0</v>
      </c>
      <c r="M57" s="66">
        <v>0</v>
      </c>
      <c r="N57" s="66" t="e">
        <v>#DIV/0!</v>
      </c>
      <c r="O57" s="66">
        <v>0</v>
      </c>
      <c r="P57" s="173"/>
      <c r="Q57" s="173"/>
      <c r="R57" s="87"/>
    </row>
    <row r="58" spans="1:18" ht="15.75" customHeight="1">
      <c r="A58" s="57">
        <v>55</v>
      </c>
      <c r="B58" s="69" t="s">
        <v>101</v>
      </c>
      <c r="C58" s="66"/>
      <c r="D58" s="66"/>
      <c r="E58" s="66"/>
      <c r="F58" s="66"/>
      <c r="G58" s="66"/>
      <c r="H58" s="66"/>
      <c r="I58" s="66"/>
      <c r="J58" s="66"/>
      <c r="K58" s="66"/>
      <c r="L58" s="66">
        <v>0</v>
      </c>
      <c r="M58" s="66">
        <v>0</v>
      </c>
      <c r="N58" s="66" t="e">
        <v>#DIV/0!</v>
      </c>
      <c r="O58" s="66">
        <v>0</v>
      </c>
      <c r="P58" s="173"/>
      <c r="Q58" s="173"/>
      <c r="R58" s="87"/>
    </row>
    <row r="59" spans="1:18" ht="15.75" customHeight="1">
      <c r="A59" s="57">
        <v>56</v>
      </c>
      <c r="B59" s="69" t="s">
        <v>58</v>
      </c>
      <c r="C59" s="66"/>
      <c r="D59" s="66"/>
      <c r="E59" s="66"/>
      <c r="F59" s="66"/>
      <c r="G59" s="66"/>
      <c r="H59" s="66"/>
      <c r="I59" s="66"/>
      <c r="J59" s="66"/>
      <c r="K59" s="66"/>
      <c r="L59" s="66">
        <v>0</v>
      </c>
      <c r="M59" s="66">
        <v>0</v>
      </c>
      <c r="N59" s="66" t="e">
        <v>#DIV/0!</v>
      </c>
      <c r="O59" s="66">
        <v>0</v>
      </c>
      <c r="P59" s="173"/>
      <c r="Q59" s="173"/>
      <c r="R59" s="87"/>
    </row>
    <row r="60" spans="1:18" ht="15.75" customHeight="1">
      <c r="A60" s="57">
        <v>57</v>
      </c>
      <c r="B60" s="69" t="s">
        <v>64</v>
      </c>
      <c r="C60" s="66"/>
      <c r="D60" s="66"/>
      <c r="E60" s="66"/>
      <c r="F60" s="66"/>
      <c r="G60" s="66"/>
      <c r="H60" s="66"/>
      <c r="I60" s="66"/>
      <c r="J60" s="66"/>
      <c r="K60" s="66"/>
      <c r="L60" s="66">
        <v>0</v>
      </c>
      <c r="M60" s="66">
        <v>0</v>
      </c>
      <c r="N60" s="66" t="e">
        <v>#DIV/0!</v>
      </c>
      <c r="O60" s="66">
        <v>0</v>
      </c>
      <c r="P60" s="173"/>
      <c r="Q60" s="173"/>
      <c r="R60" s="87"/>
    </row>
    <row r="61" spans="1:18" ht="15.75" customHeight="1">
      <c r="A61" s="57">
        <v>58</v>
      </c>
      <c r="B61" s="69" t="s">
        <v>49</v>
      </c>
      <c r="C61" s="66"/>
      <c r="D61" s="66"/>
      <c r="E61" s="66"/>
      <c r="F61" s="66"/>
      <c r="G61" s="66"/>
      <c r="H61" s="66"/>
      <c r="I61" s="66"/>
      <c r="J61" s="66"/>
      <c r="K61" s="66"/>
      <c r="L61" s="66">
        <v>0</v>
      </c>
      <c r="M61" s="66">
        <v>0</v>
      </c>
      <c r="N61" s="66" t="e">
        <v>#DIV/0!</v>
      </c>
      <c r="O61" s="66">
        <v>0</v>
      </c>
      <c r="P61" s="173"/>
      <c r="Q61" s="173"/>
      <c r="R61" s="87"/>
    </row>
    <row r="62" spans="1:18" ht="15.75" customHeight="1">
      <c r="A62" s="57">
        <v>59</v>
      </c>
      <c r="B62" s="69" t="s">
        <v>102</v>
      </c>
      <c r="C62" s="66"/>
      <c r="D62" s="66"/>
      <c r="E62" s="66"/>
      <c r="F62" s="66"/>
      <c r="G62" s="66"/>
      <c r="H62" s="66"/>
      <c r="I62" s="66"/>
      <c r="J62" s="66"/>
      <c r="K62" s="66"/>
      <c r="L62" s="66">
        <v>0</v>
      </c>
      <c r="M62" s="66">
        <v>0</v>
      </c>
      <c r="N62" s="66" t="e">
        <v>#DIV/0!</v>
      </c>
      <c r="O62" s="66">
        <v>0</v>
      </c>
      <c r="P62" s="70"/>
      <c r="Q62" s="71"/>
      <c r="R62" s="87"/>
    </row>
    <row r="63" spans="1:18" ht="15.75" customHeight="1">
      <c r="A63" s="57">
        <v>60</v>
      </c>
      <c r="B63" s="69" t="s">
        <v>103</v>
      </c>
      <c r="C63" s="66"/>
      <c r="D63" s="66"/>
      <c r="E63" s="66"/>
      <c r="F63" s="66"/>
      <c r="G63" s="66"/>
      <c r="H63" s="66"/>
      <c r="I63" s="66"/>
      <c r="J63" s="66"/>
      <c r="K63" s="66"/>
      <c r="L63" s="66">
        <v>0</v>
      </c>
      <c r="M63" s="66">
        <v>0</v>
      </c>
      <c r="N63" s="66" t="e">
        <v>#DIV/0!</v>
      </c>
      <c r="O63" s="66">
        <v>0</v>
      </c>
      <c r="P63" s="173"/>
      <c r="Q63" s="173"/>
      <c r="R63" s="87"/>
    </row>
    <row r="64" spans="1:18" ht="15.75" customHeight="1">
      <c r="A64" s="57">
        <v>61</v>
      </c>
      <c r="B64" s="55" t="s">
        <v>68</v>
      </c>
      <c r="C64" s="66"/>
      <c r="D64" s="66"/>
      <c r="E64" s="66"/>
      <c r="F64" s="66"/>
      <c r="G64" s="66"/>
      <c r="H64" s="66"/>
      <c r="I64" s="66"/>
      <c r="J64" s="66"/>
      <c r="K64" s="66"/>
      <c r="L64" s="66">
        <v>0</v>
      </c>
      <c r="M64" s="66">
        <v>0</v>
      </c>
      <c r="N64" s="66" t="e">
        <v>#DIV/0!</v>
      </c>
      <c r="O64" s="66">
        <v>0</v>
      </c>
      <c r="P64" s="173"/>
      <c r="Q64" s="173"/>
      <c r="R64" s="87"/>
    </row>
    <row r="65" spans="1:18" ht="15.75" customHeight="1">
      <c r="A65" s="57">
        <v>62</v>
      </c>
      <c r="B65" s="69" t="s">
        <v>50</v>
      </c>
      <c r="C65" s="66"/>
      <c r="D65" s="66"/>
      <c r="E65" s="66"/>
      <c r="F65" s="66"/>
      <c r="G65" s="66"/>
      <c r="H65" s="66"/>
      <c r="I65" s="66"/>
      <c r="J65" s="66"/>
      <c r="K65" s="66"/>
      <c r="L65" s="66">
        <v>0</v>
      </c>
      <c r="M65" s="66">
        <v>0</v>
      </c>
      <c r="N65" s="66" t="e">
        <v>#DIV/0!</v>
      </c>
      <c r="O65" s="66">
        <v>0</v>
      </c>
      <c r="P65" s="173"/>
      <c r="Q65" s="173"/>
      <c r="R65" s="87"/>
    </row>
    <row r="66" spans="1:18" ht="15.75" customHeight="1">
      <c r="A66" s="57">
        <v>63</v>
      </c>
      <c r="B66" s="69" t="s">
        <v>4025</v>
      </c>
      <c r="C66" s="66"/>
      <c r="D66" s="66"/>
      <c r="E66" s="66"/>
      <c r="F66" s="66"/>
      <c r="G66" s="66"/>
      <c r="H66" s="66"/>
      <c r="I66" s="66"/>
      <c r="J66" s="66"/>
      <c r="K66" s="66"/>
      <c r="L66" s="66">
        <v>0</v>
      </c>
      <c r="M66" s="66">
        <v>0</v>
      </c>
      <c r="N66" s="66" t="e">
        <v>#DIV/0!</v>
      </c>
      <c r="O66" s="66">
        <v>0</v>
      </c>
      <c r="P66" s="173"/>
      <c r="Q66" s="173"/>
      <c r="R66" s="87"/>
    </row>
    <row r="67" spans="1:18" ht="15.75" customHeight="1">
      <c r="A67" s="57">
        <v>64</v>
      </c>
      <c r="B67" s="69" t="s">
        <v>45</v>
      </c>
      <c r="C67" s="66"/>
      <c r="D67" s="66"/>
      <c r="E67" s="66"/>
      <c r="F67" s="66"/>
      <c r="G67" s="66"/>
      <c r="H67" s="66"/>
      <c r="I67" s="66"/>
      <c r="J67" s="66"/>
      <c r="K67" s="66"/>
      <c r="L67" s="66">
        <v>0</v>
      </c>
      <c r="M67" s="66">
        <v>0</v>
      </c>
      <c r="N67" s="66" t="e">
        <v>#DIV/0!</v>
      </c>
      <c r="O67" s="66">
        <v>0</v>
      </c>
      <c r="P67" s="173"/>
      <c r="Q67" s="173"/>
      <c r="R67" s="87"/>
    </row>
    <row r="68" spans="1:18" ht="15.75" customHeight="1">
      <c r="A68" s="57">
        <v>65</v>
      </c>
      <c r="B68" s="69" t="s">
        <v>104</v>
      </c>
      <c r="C68" s="66"/>
      <c r="D68" s="66"/>
      <c r="E68" s="66"/>
      <c r="F68" s="66"/>
      <c r="G68" s="66"/>
      <c r="H68" s="66"/>
      <c r="I68" s="66"/>
      <c r="J68" s="66"/>
      <c r="K68" s="66"/>
      <c r="L68" s="66">
        <v>0</v>
      </c>
      <c r="M68" s="66">
        <v>0</v>
      </c>
      <c r="N68" s="66" t="e">
        <v>#DIV/0!</v>
      </c>
      <c r="O68" s="66">
        <v>0</v>
      </c>
      <c r="P68" s="173"/>
      <c r="Q68" s="173"/>
      <c r="R68" s="87"/>
    </row>
    <row r="69" spans="1:18" ht="15.75" customHeight="1">
      <c r="A69" s="57">
        <v>66</v>
      </c>
      <c r="B69" s="55" t="s">
        <v>105</v>
      </c>
      <c r="C69" s="66"/>
      <c r="D69" s="66"/>
      <c r="E69" s="66"/>
      <c r="F69" s="66"/>
      <c r="G69" s="66"/>
      <c r="H69" s="66"/>
      <c r="I69" s="66"/>
      <c r="J69" s="66"/>
      <c r="K69" s="66"/>
      <c r="L69" s="66">
        <v>0</v>
      </c>
      <c r="M69" s="66">
        <v>0</v>
      </c>
      <c r="N69" s="66" t="e">
        <v>#DIV/0!</v>
      </c>
      <c r="O69" s="66">
        <v>0</v>
      </c>
      <c r="P69" s="173"/>
      <c r="Q69" s="173"/>
      <c r="R69" s="87"/>
    </row>
    <row r="70" spans="1:18" ht="15.75" customHeight="1">
      <c r="A70" s="57">
        <v>67</v>
      </c>
      <c r="B70" s="55" t="s">
        <v>106</v>
      </c>
      <c r="C70" s="66"/>
      <c r="D70" s="66"/>
      <c r="E70" s="66"/>
      <c r="F70" s="66"/>
      <c r="G70" s="66"/>
      <c r="H70" s="66"/>
      <c r="I70" s="66"/>
      <c r="J70" s="66"/>
      <c r="K70" s="66"/>
      <c r="L70" s="66">
        <v>0</v>
      </c>
      <c r="M70" s="66">
        <v>0</v>
      </c>
      <c r="N70" s="66" t="e">
        <v>#DIV/0!</v>
      </c>
      <c r="O70" s="66">
        <v>0</v>
      </c>
      <c r="P70" s="173"/>
      <c r="Q70" s="173"/>
      <c r="R70" s="87"/>
    </row>
    <row r="71" spans="1:18" ht="15.75" customHeight="1">
      <c r="A71" s="57">
        <v>68</v>
      </c>
      <c r="B71" s="55" t="s">
        <v>66</v>
      </c>
      <c r="C71" s="66"/>
      <c r="D71" s="66"/>
      <c r="E71" s="66"/>
      <c r="F71" s="66"/>
      <c r="G71" s="66"/>
      <c r="H71" s="66"/>
      <c r="I71" s="66"/>
      <c r="J71" s="66"/>
      <c r="K71" s="66"/>
      <c r="L71" s="66">
        <v>0</v>
      </c>
      <c r="M71" s="66">
        <v>0</v>
      </c>
      <c r="N71" s="66" t="e">
        <v>#DIV/0!</v>
      </c>
      <c r="O71" s="66">
        <v>0</v>
      </c>
      <c r="P71" s="173"/>
      <c r="Q71" s="173"/>
      <c r="R71" s="87"/>
    </row>
    <row r="72" spans="1:18" ht="15.75" customHeight="1">
      <c r="A72" s="57">
        <v>69</v>
      </c>
      <c r="B72" s="69" t="s">
        <v>4026</v>
      </c>
      <c r="C72" s="66"/>
      <c r="D72" s="66"/>
      <c r="E72" s="66"/>
      <c r="F72" s="66"/>
      <c r="G72" s="66"/>
      <c r="H72" s="66"/>
      <c r="I72" s="66"/>
      <c r="J72" s="66"/>
      <c r="K72" s="66"/>
      <c r="L72" s="66">
        <v>0</v>
      </c>
      <c r="M72" s="66">
        <v>0</v>
      </c>
      <c r="N72" s="66" t="e">
        <v>#DIV/0!</v>
      </c>
      <c r="O72" s="66">
        <v>0</v>
      </c>
      <c r="P72" s="173"/>
      <c r="Q72" s="173"/>
      <c r="R72" s="87"/>
    </row>
    <row r="73" spans="1:18" ht="15.75" customHeight="1">
      <c r="A73" s="57">
        <v>70</v>
      </c>
      <c r="B73" s="69" t="s">
        <v>79</v>
      </c>
      <c r="C73" s="66"/>
      <c r="D73" s="66"/>
      <c r="E73" s="66"/>
      <c r="F73" s="66"/>
      <c r="G73" s="66"/>
      <c r="H73" s="66"/>
      <c r="I73" s="66"/>
      <c r="J73" s="66"/>
      <c r="K73" s="66"/>
      <c r="L73" s="66">
        <v>0</v>
      </c>
      <c r="M73" s="66">
        <v>0</v>
      </c>
      <c r="N73" s="66" t="e">
        <v>#DIV/0!</v>
      </c>
      <c r="O73" s="66">
        <v>0</v>
      </c>
      <c r="P73" s="173"/>
      <c r="Q73" s="173"/>
      <c r="R73" s="87"/>
    </row>
    <row r="74" spans="1:18" ht="15.75" customHeight="1">
      <c r="A74" s="57">
        <v>71</v>
      </c>
      <c r="B74" s="69" t="s">
        <v>4027</v>
      </c>
      <c r="C74" s="66"/>
      <c r="D74" s="66"/>
      <c r="E74" s="66"/>
      <c r="F74" s="66"/>
      <c r="G74" s="66"/>
      <c r="H74" s="66"/>
      <c r="I74" s="66"/>
      <c r="J74" s="66"/>
      <c r="K74" s="66"/>
      <c r="L74" s="66">
        <v>0</v>
      </c>
      <c r="M74" s="66">
        <v>0</v>
      </c>
      <c r="N74" s="66" t="e">
        <v>#DIV/0!</v>
      </c>
      <c r="O74" s="66">
        <v>0</v>
      </c>
      <c r="P74" s="173"/>
      <c r="Q74" s="173"/>
      <c r="R74" s="87"/>
    </row>
    <row r="75" spans="1:18" ht="15.75" customHeight="1">
      <c r="A75" s="57">
        <v>72</v>
      </c>
      <c r="B75" s="55" t="s">
        <v>4028</v>
      </c>
      <c r="C75" s="66"/>
      <c r="D75" s="66"/>
      <c r="E75" s="66"/>
      <c r="F75" s="66"/>
      <c r="G75" s="66"/>
      <c r="H75" s="66"/>
      <c r="I75" s="66"/>
      <c r="J75" s="66"/>
      <c r="K75" s="66"/>
      <c r="L75" s="66">
        <v>0</v>
      </c>
      <c r="M75" s="66">
        <v>0</v>
      </c>
      <c r="N75" s="66" t="e">
        <v>#DIV/0!</v>
      </c>
      <c r="O75" s="66">
        <v>0</v>
      </c>
      <c r="P75" s="173"/>
      <c r="Q75" s="173"/>
      <c r="R75" s="87"/>
    </row>
    <row r="76" spans="1:18" ht="15.75" customHeight="1">
      <c r="A76" s="57">
        <v>73</v>
      </c>
      <c r="B76" s="55" t="s">
        <v>4029</v>
      </c>
      <c r="C76" s="66"/>
      <c r="D76" s="66"/>
      <c r="E76" s="66"/>
      <c r="F76" s="66"/>
      <c r="G76" s="66"/>
      <c r="H76" s="66"/>
      <c r="I76" s="66"/>
      <c r="J76" s="66"/>
      <c r="K76" s="66"/>
      <c r="L76" s="66">
        <v>0</v>
      </c>
      <c r="M76" s="66">
        <v>0</v>
      </c>
      <c r="N76" s="66" t="e">
        <v>#DIV/0!</v>
      </c>
      <c r="O76" s="66">
        <v>0</v>
      </c>
      <c r="P76" s="173"/>
      <c r="Q76" s="173"/>
      <c r="R76" s="87"/>
    </row>
    <row r="77" spans="1:18" ht="15.75" customHeight="1">
      <c r="A77" s="57">
        <v>74</v>
      </c>
      <c r="B77" s="55" t="s">
        <v>108</v>
      </c>
      <c r="C77" s="66"/>
      <c r="D77" s="66"/>
      <c r="E77" s="66"/>
      <c r="F77" s="66"/>
      <c r="G77" s="66"/>
      <c r="H77" s="66"/>
      <c r="I77" s="66"/>
      <c r="J77" s="66"/>
      <c r="K77" s="66"/>
      <c r="L77" s="66">
        <v>0</v>
      </c>
      <c r="M77" s="66">
        <v>0</v>
      </c>
      <c r="N77" s="66" t="e">
        <v>#DIV/0!</v>
      </c>
      <c r="O77" s="66">
        <v>0</v>
      </c>
      <c r="P77" s="173"/>
      <c r="Q77" s="173"/>
      <c r="R77" s="87"/>
    </row>
    <row r="78" spans="1:18" ht="15.75" customHeight="1">
      <c r="A78" s="57">
        <v>75</v>
      </c>
      <c r="B78" s="55" t="s">
        <v>109</v>
      </c>
      <c r="C78" s="66"/>
      <c r="D78" s="66"/>
      <c r="E78" s="66"/>
      <c r="F78" s="66"/>
      <c r="G78" s="66"/>
      <c r="H78" s="66"/>
      <c r="I78" s="66"/>
      <c r="J78" s="66"/>
      <c r="K78" s="66"/>
      <c r="L78" s="66">
        <v>0</v>
      </c>
      <c r="M78" s="66">
        <v>0</v>
      </c>
      <c r="N78" s="66" t="e">
        <v>#DIV/0!</v>
      </c>
      <c r="O78" s="66">
        <v>0</v>
      </c>
      <c r="P78" s="173"/>
      <c r="Q78" s="173"/>
      <c r="R78" s="87"/>
    </row>
    <row r="79" spans="1:18" ht="15.75" customHeight="1">
      <c r="A79" s="57">
        <v>76</v>
      </c>
      <c r="B79" s="55" t="s">
        <v>63</v>
      </c>
      <c r="C79" s="66"/>
      <c r="D79" s="66"/>
      <c r="E79" s="66"/>
      <c r="F79" s="66"/>
      <c r="G79" s="66"/>
      <c r="H79" s="66"/>
      <c r="I79" s="66"/>
      <c r="J79" s="66"/>
      <c r="K79" s="66"/>
      <c r="L79" s="66">
        <v>0</v>
      </c>
      <c r="M79" s="66">
        <v>0</v>
      </c>
      <c r="N79" s="66" t="e">
        <v>#DIV/0!</v>
      </c>
      <c r="O79" s="66">
        <v>0</v>
      </c>
      <c r="P79" s="173"/>
      <c r="Q79" s="173"/>
      <c r="R79" s="87"/>
    </row>
    <row r="80" spans="1:18" ht="15.75" customHeight="1">
      <c r="A80" s="57">
        <v>77</v>
      </c>
      <c r="B80" s="69" t="s">
        <v>110</v>
      </c>
      <c r="C80" s="66"/>
      <c r="D80" s="66"/>
      <c r="E80" s="66"/>
      <c r="F80" s="66"/>
      <c r="G80" s="66"/>
      <c r="H80" s="66"/>
      <c r="I80" s="66"/>
      <c r="J80" s="66"/>
      <c r="K80" s="66"/>
      <c r="L80" s="66">
        <v>0</v>
      </c>
      <c r="M80" s="66">
        <v>0</v>
      </c>
      <c r="N80" s="66" t="e">
        <v>#DIV/0!</v>
      </c>
      <c r="O80" s="66">
        <v>0</v>
      </c>
      <c r="P80" s="173"/>
      <c r="Q80" s="173"/>
      <c r="R80" s="87"/>
    </row>
    <row r="81" spans="1:18" ht="15.75" customHeight="1">
      <c r="A81" s="57">
        <v>78</v>
      </c>
      <c r="B81" s="55" t="s">
        <v>4030</v>
      </c>
      <c r="C81" s="66"/>
      <c r="D81" s="66"/>
      <c r="E81" s="66"/>
      <c r="F81" s="66"/>
      <c r="G81" s="66"/>
      <c r="H81" s="66"/>
      <c r="I81" s="66"/>
      <c r="J81" s="66"/>
      <c r="K81" s="66"/>
      <c r="L81" s="66">
        <v>0</v>
      </c>
      <c r="M81" s="66">
        <v>0</v>
      </c>
      <c r="N81" s="66" t="e">
        <v>#DIV/0!</v>
      </c>
      <c r="O81" s="66">
        <v>0</v>
      </c>
      <c r="P81" s="173"/>
      <c r="Q81" s="173"/>
      <c r="R81" s="87"/>
    </row>
    <row r="82" spans="1:18" ht="15.75" customHeight="1">
      <c r="A82" s="57">
        <v>79</v>
      </c>
      <c r="B82" s="69" t="s">
        <v>111</v>
      </c>
      <c r="C82" s="66"/>
      <c r="D82" s="66"/>
      <c r="E82" s="66"/>
      <c r="F82" s="66"/>
      <c r="G82" s="66"/>
      <c r="H82" s="66"/>
      <c r="I82" s="66"/>
      <c r="J82" s="66"/>
      <c r="K82" s="66"/>
      <c r="L82" s="66">
        <v>0</v>
      </c>
      <c r="M82" s="66">
        <v>0</v>
      </c>
      <c r="N82" s="66" t="e">
        <v>#DIV/0!</v>
      </c>
      <c r="O82" s="66">
        <v>0</v>
      </c>
      <c r="P82" s="173"/>
      <c r="Q82" s="173"/>
      <c r="R82" s="87"/>
    </row>
    <row r="83" spans="1:18" ht="15.75" customHeight="1">
      <c r="A83" s="57">
        <v>80</v>
      </c>
      <c r="B83" s="69" t="s">
        <v>112</v>
      </c>
      <c r="C83" s="66"/>
      <c r="D83" s="66"/>
      <c r="E83" s="66"/>
      <c r="F83" s="66"/>
      <c r="G83" s="66"/>
      <c r="H83" s="66"/>
      <c r="I83" s="66"/>
      <c r="J83" s="66"/>
      <c r="K83" s="66"/>
      <c r="L83" s="66">
        <v>0</v>
      </c>
      <c r="M83" s="66">
        <v>0</v>
      </c>
      <c r="N83" s="66" t="e">
        <v>#DIV/0!</v>
      </c>
      <c r="O83" s="66">
        <v>0</v>
      </c>
      <c r="P83" s="173"/>
      <c r="Q83" s="173"/>
      <c r="R83" s="87"/>
    </row>
    <row r="84" spans="1:18" ht="15.75" customHeight="1">
      <c r="A84" s="57">
        <v>81</v>
      </c>
      <c r="B84" s="69" t="s">
        <v>4031</v>
      </c>
      <c r="C84" s="66"/>
      <c r="D84" s="66"/>
      <c r="E84" s="66"/>
      <c r="F84" s="66"/>
      <c r="G84" s="66"/>
      <c r="H84" s="66"/>
      <c r="I84" s="66"/>
      <c r="J84" s="66"/>
      <c r="K84" s="66"/>
      <c r="L84" s="66">
        <v>0</v>
      </c>
      <c r="M84" s="66">
        <v>0</v>
      </c>
      <c r="N84" s="66" t="e">
        <v>#DIV/0!</v>
      </c>
      <c r="O84" s="66">
        <v>0</v>
      </c>
      <c r="P84" s="173"/>
      <c r="Q84" s="173"/>
      <c r="R84" s="87"/>
    </row>
    <row r="85" spans="1:18" ht="15.75" customHeight="1">
      <c r="A85" s="57">
        <v>82</v>
      </c>
      <c r="B85" s="69" t="s">
        <v>4032</v>
      </c>
      <c r="C85" s="66"/>
      <c r="D85" s="66"/>
      <c r="E85" s="66"/>
      <c r="F85" s="66"/>
      <c r="G85" s="66"/>
      <c r="H85" s="66"/>
      <c r="I85" s="66"/>
      <c r="J85" s="66"/>
      <c r="K85" s="66"/>
      <c r="L85" s="66">
        <v>0</v>
      </c>
      <c r="M85" s="66">
        <v>0</v>
      </c>
      <c r="N85" s="66" t="e">
        <v>#DIV/0!</v>
      </c>
      <c r="O85" s="66">
        <v>0</v>
      </c>
      <c r="P85" s="173"/>
      <c r="Q85" s="173"/>
      <c r="R85" s="87"/>
    </row>
    <row r="86" spans="1:18" ht="15.75" customHeight="1">
      <c r="A86" s="57">
        <v>83</v>
      </c>
      <c r="B86" s="55" t="s">
        <v>113</v>
      </c>
      <c r="C86" s="66"/>
      <c r="D86" s="66"/>
      <c r="E86" s="66"/>
      <c r="F86" s="66"/>
      <c r="G86" s="66"/>
      <c r="H86" s="66"/>
      <c r="I86" s="66"/>
      <c r="J86" s="66"/>
      <c r="K86" s="66"/>
      <c r="L86" s="66">
        <v>0</v>
      </c>
      <c r="M86" s="66">
        <v>0</v>
      </c>
      <c r="N86" s="66" t="e">
        <v>#DIV/0!</v>
      </c>
      <c r="O86" s="66">
        <v>0</v>
      </c>
      <c r="P86" s="173"/>
      <c r="Q86" s="173"/>
      <c r="R86" s="87"/>
    </row>
    <row r="87" spans="1:18" ht="15.75" customHeight="1">
      <c r="A87" s="57">
        <v>84</v>
      </c>
      <c r="B87" s="69" t="s">
        <v>78</v>
      </c>
      <c r="C87" s="66"/>
      <c r="D87" s="66"/>
      <c r="E87" s="66"/>
      <c r="F87" s="66"/>
      <c r="G87" s="66"/>
      <c r="H87" s="66"/>
      <c r="I87" s="66"/>
      <c r="J87" s="66"/>
      <c r="K87" s="66"/>
      <c r="L87" s="66">
        <v>0</v>
      </c>
      <c r="M87" s="66">
        <v>0</v>
      </c>
      <c r="N87" s="66" t="e">
        <v>#DIV/0!</v>
      </c>
      <c r="O87" s="66">
        <v>0</v>
      </c>
      <c r="P87" s="173"/>
      <c r="Q87" s="173"/>
      <c r="R87" s="87"/>
    </row>
    <row r="88" spans="1:18" ht="15.75" customHeight="1">
      <c r="A88" s="57">
        <v>85</v>
      </c>
      <c r="B88" s="69" t="s">
        <v>114</v>
      </c>
      <c r="C88" s="66"/>
      <c r="D88" s="66"/>
      <c r="E88" s="66"/>
      <c r="F88" s="66"/>
      <c r="G88" s="66"/>
      <c r="H88" s="66"/>
      <c r="I88" s="66"/>
      <c r="J88" s="66"/>
      <c r="K88" s="66"/>
      <c r="L88" s="66">
        <v>0</v>
      </c>
      <c r="M88" s="66">
        <v>0</v>
      </c>
      <c r="N88" s="66" t="e">
        <v>#DIV/0!</v>
      </c>
      <c r="O88" s="66">
        <v>0</v>
      </c>
      <c r="P88" s="173"/>
      <c r="Q88" s="173"/>
      <c r="R88" s="87"/>
    </row>
    <row r="89" spans="1:18" ht="15.75" customHeight="1">
      <c r="A89" s="57">
        <v>86</v>
      </c>
      <c r="B89" s="55" t="s">
        <v>4033</v>
      </c>
      <c r="C89" s="66"/>
      <c r="D89" s="66"/>
      <c r="E89" s="66"/>
      <c r="F89" s="66"/>
      <c r="G89" s="66"/>
      <c r="H89" s="66"/>
      <c r="I89" s="66"/>
      <c r="J89" s="66"/>
      <c r="K89" s="66"/>
      <c r="L89" s="66">
        <v>0</v>
      </c>
      <c r="M89" s="66">
        <v>0</v>
      </c>
      <c r="N89" s="66" t="e">
        <v>#DIV/0!</v>
      </c>
      <c r="O89" s="66">
        <v>0</v>
      </c>
      <c r="P89" s="173"/>
      <c r="Q89" s="173"/>
      <c r="R89" s="87"/>
    </row>
    <row r="90" spans="1:18" ht="15.75" customHeight="1">
      <c r="A90" s="57">
        <v>87</v>
      </c>
      <c r="B90" s="69" t="s">
        <v>115</v>
      </c>
      <c r="C90" s="66"/>
      <c r="D90" s="66"/>
      <c r="E90" s="66"/>
      <c r="F90" s="66"/>
      <c r="G90" s="66"/>
      <c r="H90" s="66"/>
      <c r="I90" s="66"/>
      <c r="J90" s="66"/>
      <c r="K90" s="66"/>
      <c r="L90" s="66">
        <v>0</v>
      </c>
      <c r="M90" s="66">
        <v>0</v>
      </c>
      <c r="N90" s="66" t="e">
        <v>#DIV/0!</v>
      </c>
      <c r="O90" s="66">
        <v>0</v>
      </c>
      <c r="P90" s="173"/>
      <c r="Q90" s="173"/>
      <c r="R90" s="87"/>
    </row>
    <row r="91" spans="1:18" ht="15.75" customHeight="1">
      <c r="A91" s="57">
        <v>88</v>
      </c>
      <c r="B91" s="69" t="s">
        <v>116</v>
      </c>
      <c r="C91" s="66"/>
      <c r="D91" s="66"/>
      <c r="E91" s="66"/>
      <c r="F91" s="66"/>
      <c r="G91" s="66"/>
      <c r="H91" s="66"/>
      <c r="I91" s="66"/>
      <c r="J91" s="66"/>
      <c r="K91" s="66"/>
      <c r="L91" s="66">
        <v>0</v>
      </c>
      <c r="M91" s="66">
        <v>0</v>
      </c>
      <c r="N91" s="66" t="e">
        <v>#DIV/0!</v>
      </c>
      <c r="O91" s="66">
        <v>0</v>
      </c>
      <c r="P91" s="173"/>
      <c r="Q91" s="173"/>
      <c r="R91" s="87"/>
    </row>
    <row r="92" spans="1:18" ht="15" customHeight="1">
      <c r="A92" s="57">
        <v>89</v>
      </c>
      <c r="B92" s="69" t="s">
        <v>117</v>
      </c>
      <c r="C92" s="66"/>
      <c r="D92" s="66"/>
      <c r="E92" s="66"/>
      <c r="F92" s="66"/>
      <c r="G92" s="66"/>
      <c r="H92" s="66"/>
      <c r="I92" s="66"/>
      <c r="J92" s="66"/>
      <c r="K92" s="66"/>
      <c r="L92" s="66">
        <v>0</v>
      </c>
      <c r="M92" s="66">
        <v>0</v>
      </c>
      <c r="N92" s="66" t="e">
        <v>#DIV/0!</v>
      </c>
      <c r="O92" s="66">
        <v>0</v>
      </c>
      <c r="P92" s="173"/>
      <c r="Q92" s="173"/>
      <c r="R92" s="87"/>
    </row>
    <row r="93" spans="1:18" ht="15" customHeight="1">
      <c r="A93" s="57">
        <v>90</v>
      </c>
      <c r="B93" s="69" t="s">
        <v>38</v>
      </c>
      <c r="C93" s="66"/>
      <c r="D93" s="66"/>
      <c r="E93" s="66"/>
      <c r="F93" s="66"/>
      <c r="G93" s="66"/>
      <c r="H93" s="66"/>
      <c r="I93" s="66"/>
      <c r="J93" s="66"/>
      <c r="K93" s="66"/>
      <c r="L93" s="66">
        <v>0</v>
      </c>
      <c r="M93" s="66">
        <v>0</v>
      </c>
      <c r="N93" s="66" t="e">
        <v>#DIV/0!</v>
      </c>
      <c r="O93" s="66">
        <v>0</v>
      </c>
      <c r="P93" s="173"/>
      <c r="Q93" s="173"/>
      <c r="R93" s="87"/>
    </row>
    <row r="94" spans="1:18" ht="15" customHeight="1">
      <c r="A94" s="57">
        <v>91</v>
      </c>
      <c r="B94" s="69" t="s">
        <v>118</v>
      </c>
      <c r="C94" s="66"/>
      <c r="D94" s="66"/>
      <c r="E94" s="66"/>
      <c r="F94" s="66"/>
      <c r="G94" s="66"/>
      <c r="H94" s="66"/>
      <c r="I94" s="66"/>
      <c r="J94" s="66"/>
      <c r="K94" s="66"/>
      <c r="L94" s="66">
        <v>0</v>
      </c>
      <c r="M94" s="66">
        <v>0</v>
      </c>
      <c r="N94" s="66" t="e">
        <v>#DIV/0!</v>
      </c>
      <c r="O94" s="66">
        <v>0</v>
      </c>
      <c r="P94" s="173"/>
      <c r="Q94" s="173"/>
      <c r="R94" s="87"/>
    </row>
    <row r="95" spans="1:18" ht="15" customHeight="1">
      <c r="A95" s="57">
        <v>92</v>
      </c>
      <c r="B95" s="69" t="s">
        <v>119</v>
      </c>
      <c r="C95" s="66"/>
      <c r="D95" s="66"/>
      <c r="E95" s="66"/>
      <c r="F95" s="66"/>
      <c r="G95" s="66"/>
      <c r="H95" s="66"/>
      <c r="I95" s="66"/>
      <c r="J95" s="66"/>
      <c r="K95" s="66"/>
      <c r="L95" s="66">
        <v>0</v>
      </c>
      <c r="M95" s="66">
        <v>0</v>
      </c>
      <c r="N95" s="66" t="e">
        <v>#DIV/0!</v>
      </c>
      <c r="O95" s="66">
        <v>0</v>
      </c>
      <c r="P95" s="173"/>
      <c r="Q95" s="173"/>
      <c r="R95" s="87"/>
    </row>
    <row r="96" spans="1:18" ht="15" customHeight="1" thickBot="1">
      <c r="A96" s="57">
        <v>93</v>
      </c>
      <c r="B96" s="69" t="s">
        <v>120</v>
      </c>
      <c r="C96" s="66"/>
      <c r="D96" s="66"/>
      <c r="E96" s="66"/>
      <c r="F96" s="66"/>
      <c r="G96" s="66"/>
      <c r="H96" s="66"/>
      <c r="I96" s="66"/>
      <c r="J96" s="66"/>
      <c r="K96" s="66"/>
      <c r="L96" s="66">
        <v>0</v>
      </c>
      <c r="M96" s="66">
        <v>0</v>
      </c>
      <c r="N96" s="66" t="e">
        <v>#DIV/0!</v>
      </c>
      <c r="O96" s="66">
        <v>0</v>
      </c>
      <c r="P96" s="173"/>
      <c r="Q96" s="173"/>
      <c r="R96" s="87"/>
    </row>
    <row r="97" spans="1:18" ht="15" customHeight="1" thickBot="1">
      <c r="A97" s="174"/>
      <c r="B97" s="175"/>
      <c r="C97" s="72">
        <v>11</v>
      </c>
      <c r="D97" s="82">
        <v>15</v>
      </c>
      <c r="E97" s="72">
        <v>26</v>
      </c>
      <c r="F97" s="72">
        <v>13</v>
      </c>
      <c r="G97" s="72">
        <v>7</v>
      </c>
      <c r="H97" s="72">
        <v>9</v>
      </c>
      <c r="I97" s="72">
        <v>10</v>
      </c>
      <c r="J97" s="72">
        <v>27</v>
      </c>
      <c r="K97" s="83">
        <v>12</v>
      </c>
      <c r="L97" s="75">
        <v>49</v>
      </c>
      <c r="M97" s="72">
        <v>49</v>
      </c>
      <c r="N97" s="72">
        <v>49</v>
      </c>
      <c r="O97" s="77">
        <v>22</v>
      </c>
      <c r="P97" s="176"/>
      <c r="Q97" s="172"/>
      <c r="R97" s="87"/>
    </row>
    <row r="98" spans="1:18" ht="15" customHeight="1" thickBot="1">
      <c r="A98" s="57">
        <v>51</v>
      </c>
      <c r="B98" s="69" t="s">
        <v>120</v>
      </c>
      <c r="C98" s="66"/>
      <c r="D98" s="66"/>
      <c r="E98" s="66"/>
      <c r="F98" s="66"/>
      <c r="G98" s="66"/>
      <c r="H98" s="66"/>
      <c r="I98" s="66"/>
      <c r="J98" s="66"/>
      <c r="K98" s="66">
        <v>0</v>
      </c>
      <c r="L98" s="66">
        <v>0</v>
      </c>
      <c r="M98" s="66" t="e">
        <v>#DIV/0!</v>
      </c>
      <c r="N98" s="66">
        <v>0</v>
      </c>
      <c r="O98" s="173"/>
      <c r="P98" s="173"/>
      <c r="Q98" s="87"/>
    </row>
    <row r="99" spans="1:18" ht="15" customHeight="1" thickBot="1">
      <c r="A99" s="174"/>
      <c r="B99" s="175"/>
      <c r="C99" s="72">
        <v>7</v>
      </c>
      <c r="D99" s="72">
        <v>14</v>
      </c>
      <c r="E99" s="72">
        <v>24</v>
      </c>
      <c r="F99" s="72">
        <v>8</v>
      </c>
      <c r="G99" s="72">
        <v>7</v>
      </c>
      <c r="H99" s="72">
        <v>21</v>
      </c>
      <c r="I99" s="72">
        <v>31</v>
      </c>
      <c r="J99" s="72">
        <v>9</v>
      </c>
      <c r="K99" s="75">
        <v>24</v>
      </c>
      <c r="L99" s="72">
        <v>24</v>
      </c>
      <c r="M99" s="72">
        <v>24</v>
      </c>
      <c r="N99" s="77">
        <v>21</v>
      </c>
      <c r="O99" s="176"/>
      <c r="P99" s="172"/>
      <c r="Q99" s="87"/>
    </row>
    <row r="100" spans="1:18" ht="15" customHeight="1">
      <c r="A100" s="177"/>
      <c r="B100" s="17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173"/>
      <c r="P100" s="173"/>
      <c r="Q100" s="87"/>
    </row>
    <row r="101" spans="1:18" ht="15" customHeight="1">
      <c r="A101" s="173"/>
      <c r="B101" s="173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173"/>
      <c r="P101" s="173"/>
      <c r="Q101" s="87"/>
    </row>
    <row r="102" spans="1:18" ht="15" customHeight="1">
      <c r="A102" s="173"/>
      <c r="B102" s="173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173"/>
      <c r="P102" s="173"/>
      <c r="Q102" s="87"/>
    </row>
    <row r="103" spans="1:18" ht="15" customHeight="1">
      <c r="A103" s="173"/>
      <c r="B103" s="173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173"/>
      <c r="P103" s="173"/>
      <c r="Q103" s="87"/>
    </row>
    <row r="104" spans="1:18" ht="15" customHeight="1">
      <c r="A104" s="173"/>
      <c r="B104" s="173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173"/>
      <c r="P104" s="173"/>
      <c r="Q104" s="87"/>
    </row>
    <row r="105" spans="1:18" ht="15" customHeight="1">
      <c r="A105" s="173"/>
      <c r="B105" s="173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173"/>
      <c r="P105" s="173"/>
      <c r="Q105" s="87"/>
    </row>
    <row r="106" spans="1:18" ht="15" customHeight="1">
      <c r="A106" s="173"/>
      <c r="B106" s="173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173"/>
      <c r="P106" s="173"/>
      <c r="Q106" s="87"/>
    </row>
    <row r="107" spans="1:18" ht="15" customHeight="1">
      <c r="A107" s="173"/>
      <c r="B107" s="173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173"/>
      <c r="P107" s="173"/>
      <c r="Q107" s="87"/>
    </row>
    <row r="108" spans="1:18" ht="15" customHeight="1">
      <c r="A108" s="173"/>
      <c r="B108" s="173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173"/>
      <c r="P108" s="173"/>
      <c r="Q108" s="87"/>
    </row>
    <row r="109" spans="1:18" ht="15" customHeight="1">
      <c r="A109" s="173"/>
      <c r="B109" s="173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173"/>
      <c r="P109" s="173"/>
      <c r="Q109" s="87"/>
    </row>
    <row r="110" spans="1:18" ht="15" customHeight="1">
      <c r="A110" s="173"/>
      <c r="B110" s="173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173"/>
      <c r="P110" s="173"/>
      <c r="Q110" s="87"/>
    </row>
    <row r="111" spans="1:18" ht="15" customHeight="1">
      <c r="A111" s="173"/>
      <c r="B111" s="173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173"/>
      <c r="P111" s="173"/>
      <c r="Q111" s="87"/>
    </row>
    <row r="112" spans="1:18" ht="15" customHeight="1">
      <c r="A112" s="173"/>
      <c r="B112" s="173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173"/>
      <c r="P112" s="173"/>
      <c r="Q112" s="87"/>
    </row>
    <row r="113" spans="1:17" ht="15" customHeight="1">
      <c r="A113" s="173"/>
      <c r="B113" s="173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173"/>
      <c r="P113" s="173"/>
      <c r="Q113" s="87"/>
    </row>
    <row r="114" spans="1:17" ht="15" customHeight="1">
      <c r="A114" s="173"/>
      <c r="B114" s="173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173"/>
      <c r="P114" s="173"/>
      <c r="Q114" s="87"/>
    </row>
    <row r="115" spans="1:17" ht="15" customHeight="1">
      <c r="A115" s="173"/>
      <c r="B115" s="173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173"/>
      <c r="P115" s="173"/>
      <c r="Q115" s="87"/>
    </row>
    <row r="116" spans="1:17" ht="15" customHeight="1">
      <c r="A116" s="173"/>
      <c r="B116" s="173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173"/>
      <c r="P116" s="173"/>
      <c r="Q116" s="87"/>
    </row>
    <row r="117" spans="1:17" ht="15" customHeight="1">
      <c r="A117" s="173"/>
      <c r="B117" s="173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173"/>
      <c r="P117" s="173"/>
      <c r="Q117" s="87"/>
    </row>
    <row r="118" spans="1:17" ht="15" customHeight="1">
      <c r="A118" s="173"/>
      <c r="B118" s="173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173"/>
      <c r="P118" s="173"/>
      <c r="Q118" s="87"/>
    </row>
    <row r="119" spans="1:17" ht="15" customHeight="1">
      <c r="A119" s="173"/>
      <c r="B119" s="173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173"/>
      <c r="P119" s="173"/>
      <c r="Q119" s="87"/>
    </row>
    <row r="120" spans="1:17" ht="15" customHeight="1">
      <c r="A120" s="173"/>
      <c r="B120" s="173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173"/>
      <c r="P120" s="173"/>
      <c r="Q120" s="87"/>
    </row>
    <row r="121" spans="1:17" ht="15" customHeight="1">
      <c r="A121" s="172"/>
      <c r="B121" s="172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173"/>
      <c r="P121" s="173"/>
      <c r="Q121" s="87"/>
    </row>
    <row r="122" spans="1:17" ht="15" customHeight="1">
      <c r="A122" s="87"/>
      <c r="B122" s="80"/>
      <c r="C122" s="64"/>
      <c r="D122" s="73"/>
      <c r="E122" s="64"/>
      <c r="F122" s="64"/>
      <c r="G122" s="64"/>
      <c r="H122" s="64"/>
      <c r="I122" s="66"/>
      <c r="J122" s="74"/>
      <c r="K122" s="66"/>
      <c r="L122" s="66"/>
      <c r="M122" s="66"/>
      <c r="N122" s="78"/>
      <c r="O122" s="171"/>
      <c r="P122" s="172"/>
      <c r="Q122" s="87"/>
    </row>
    <row r="123" spans="1:17" ht="15" customHeight="1">
      <c r="A123" s="87"/>
      <c r="B123" s="80"/>
      <c r="C123" s="64"/>
      <c r="D123" s="73"/>
      <c r="E123" s="64"/>
      <c r="F123" s="64"/>
      <c r="G123" s="64"/>
      <c r="H123" s="64"/>
      <c r="I123" s="66"/>
      <c r="J123" s="74"/>
      <c r="K123" s="66"/>
      <c r="L123" s="66"/>
      <c r="M123" s="66"/>
      <c r="N123" s="78"/>
      <c r="O123" s="171"/>
      <c r="P123" s="172"/>
      <c r="Q123" s="87"/>
    </row>
    <row r="124" spans="1:17" ht="15" customHeight="1">
      <c r="A124" s="87"/>
      <c r="B124" s="80"/>
      <c r="C124" s="64"/>
      <c r="D124" s="73"/>
      <c r="E124" s="64"/>
      <c r="F124" s="64"/>
      <c r="G124" s="64"/>
      <c r="H124" s="64"/>
      <c r="I124" s="66"/>
      <c r="J124" s="74"/>
      <c r="K124" s="66"/>
      <c r="L124" s="66"/>
      <c r="M124" s="66"/>
      <c r="N124" s="78"/>
      <c r="O124" s="171"/>
      <c r="P124" s="172"/>
      <c r="Q124" s="87"/>
    </row>
  </sheetData>
  <mergeCells count="148">
    <mergeCell ref="P8:Q8"/>
    <mergeCell ref="P9:Q9"/>
    <mergeCell ref="P10:Q10"/>
    <mergeCell ref="P11:Q11"/>
    <mergeCell ref="A2:B2"/>
    <mergeCell ref="P24:Q24"/>
    <mergeCell ref="P25:Q25"/>
    <mergeCell ref="P26:Q26"/>
    <mergeCell ref="P27:Q27"/>
    <mergeCell ref="P22:Q22"/>
    <mergeCell ref="P23:Q23"/>
    <mergeCell ref="P12:Q12"/>
    <mergeCell ref="P13:Q13"/>
    <mergeCell ref="P14:Q14"/>
    <mergeCell ref="P15:Q15"/>
    <mergeCell ref="P16:Q16"/>
    <mergeCell ref="P17:Q17"/>
    <mergeCell ref="P18:Q18"/>
    <mergeCell ref="P19:Q19"/>
    <mergeCell ref="P20:Q20"/>
    <mergeCell ref="P21:Q21"/>
    <mergeCell ref="A99:B99"/>
    <mergeCell ref="O99:P99"/>
    <mergeCell ref="A100:B100"/>
    <mergeCell ref="O100:P100"/>
    <mergeCell ref="A97:B97"/>
    <mergeCell ref="P97:Q97"/>
    <mergeCell ref="P95:Q95"/>
    <mergeCell ref="P96:Q96"/>
    <mergeCell ref="P85:Q85"/>
    <mergeCell ref="P86:Q86"/>
    <mergeCell ref="P87:Q87"/>
    <mergeCell ref="P88:Q88"/>
    <mergeCell ref="A109:B109"/>
    <mergeCell ref="O109:P109"/>
    <mergeCell ref="A104:B104"/>
    <mergeCell ref="O104:P104"/>
    <mergeCell ref="A105:B105"/>
    <mergeCell ref="O105:P105"/>
    <mergeCell ref="A106:B106"/>
    <mergeCell ref="O106:P106"/>
    <mergeCell ref="A101:B101"/>
    <mergeCell ref="O101:P101"/>
    <mergeCell ref="A102:B102"/>
    <mergeCell ref="O102:P102"/>
    <mergeCell ref="A103:B103"/>
    <mergeCell ref="O103:P103"/>
    <mergeCell ref="A120:B120"/>
    <mergeCell ref="O120:P120"/>
    <mergeCell ref="A121:B121"/>
    <mergeCell ref="O121:P121"/>
    <mergeCell ref="A116:B116"/>
    <mergeCell ref="O116:P116"/>
    <mergeCell ref="A117:B117"/>
    <mergeCell ref="O117:P117"/>
    <mergeCell ref="A118:B118"/>
    <mergeCell ref="O118:P118"/>
    <mergeCell ref="P1:Q1"/>
    <mergeCell ref="P2:Q2"/>
    <mergeCell ref="P3:Q3"/>
    <mergeCell ref="P4:Q4"/>
    <mergeCell ref="P5:Q5"/>
    <mergeCell ref="P6:Q6"/>
    <mergeCell ref="P7:Q7"/>
    <mergeCell ref="A119:B119"/>
    <mergeCell ref="O119:P119"/>
    <mergeCell ref="A113:B113"/>
    <mergeCell ref="O113:P113"/>
    <mergeCell ref="A114:B114"/>
    <mergeCell ref="O114:P114"/>
    <mergeCell ref="A115:B115"/>
    <mergeCell ref="O115:P115"/>
    <mergeCell ref="A110:B110"/>
    <mergeCell ref="O110:P110"/>
    <mergeCell ref="A111:B111"/>
    <mergeCell ref="O111:P111"/>
    <mergeCell ref="A112:B112"/>
    <mergeCell ref="O112:P112"/>
    <mergeCell ref="A107:B107"/>
    <mergeCell ref="O107:P107"/>
    <mergeCell ref="A108:B108"/>
    <mergeCell ref="O122:P122"/>
    <mergeCell ref="O123:P123"/>
    <mergeCell ref="O124:P124"/>
    <mergeCell ref="O108:P108"/>
    <mergeCell ref="O98:P98"/>
    <mergeCell ref="P83:Q83"/>
    <mergeCell ref="P84:Q84"/>
    <mergeCell ref="P73:Q73"/>
    <mergeCell ref="P74:Q74"/>
    <mergeCell ref="P75:Q75"/>
    <mergeCell ref="P76:Q76"/>
    <mergeCell ref="P89:Q89"/>
    <mergeCell ref="P90:Q90"/>
    <mergeCell ref="P91:Q91"/>
    <mergeCell ref="P92:Q92"/>
    <mergeCell ref="P93:Q93"/>
    <mergeCell ref="P94:Q94"/>
    <mergeCell ref="P77:Q77"/>
    <mergeCell ref="P78:Q78"/>
    <mergeCell ref="P79:Q79"/>
    <mergeCell ref="P80:Q80"/>
    <mergeCell ref="P81:Q81"/>
    <mergeCell ref="P82:Q82"/>
    <mergeCell ref="P71:Q71"/>
    <mergeCell ref="P72:Q72"/>
    <mergeCell ref="P60:Q60"/>
    <mergeCell ref="P61:Q61"/>
    <mergeCell ref="P63:Q63"/>
    <mergeCell ref="P64:Q64"/>
    <mergeCell ref="P58:Q58"/>
    <mergeCell ref="P40:Q40"/>
    <mergeCell ref="P41:Q41"/>
    <mergeCell ref="P42:Q42"/>
    <mergeCell ref="P43:Q43"/>
    <mergeCell ref="P44:Q44"/>
    <mergeCell ref="P45:Q45"/>
    <mergeCell ref="P66:Q66"/>
    <mergeCell ref="P67:Q67"/>
    <mergeCell ref="P68:Q68"/>
    <mergeCell ref="P69:Q69"/>
    <mergeCell ref="P70:Q70"/>
    <mergeCell ref="P48:Q48"/>
    <mergeCell ref="P49:Q49"/>
    <mergeCell ref="P50:Q50"/>
    <mergeCell ref="P51:Q51"/>
    <mergeCell ref="P46:Q46"/>
    <mergeCell ref="P47:Q47"/>
    <mergeCell ref="P28:Q28"/>
    <mergeCell ref="P29:Q29"/>
    <mergeCell ref="P30:Q30"/>
    <mergeCell ref="P31:Q31"/>
    <mergeCell ref="P32:Q32"/>
    <mergeCell ref="P33:Q33"/>
    <mergeCell ref="P34:Q34"/>
    <mergeCell ref="P35:Q35"/>
    <mergeCell ref="P65:Q65"/>
    <mergeCell ref="P52:Q52"/>
    <mergeCell ref="P53:Q53"/>
    <mergeCell ref="P54:Q54"/>
    <mergeCell ref="P55:Q55"/>
    <mergeCell ref="P56:Q56"/>
    <mergeCell ref="P57:Q57"/>
    <mergeCell ref="P59:Q59"/>
    <mergeCell ref="P36:Q36"/>
    <mergeCell ref="P37:Q37"/>
    <mergeCell ref="P38:Q38"/>
    <mergeCell ref="P39:Q39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Justas Bagdonavicius</dc:creator>
  <cp:keywords/>
  <dc:description/>
  <cp:lastModifiedBy/>
  <cp:revision/>
  <dcterms:created xsi:type="dcterms:W3CDTF">2015-12-03T12:00:11Z</dcterms:created>
  <dcterms:modified xsi:type="dcterms:W3CDTF">2026-10-15T09:20:09Z</dcterms:modified>
  <cp:category/>
  <cp:contentStatus/>
</cp:coreProperties>
</file>